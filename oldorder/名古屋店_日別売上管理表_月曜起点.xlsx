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ダッシュボード" sheetId="1" r:id="rId4"/>
    <sheet state="visible" name="2026年04月" sheetId="2" r:id="rId5"/>
    <sheet state="visible" name="2026年05月" sheetId="3" r:id="rId6"/>
    <sheet state="visible" name="2026年06月" sheetId="4" r:id="rId7"/>
    <sheet state="visible" name="2026年07月" sheetId="5" r:id="rId8"/>
    <sheet state="visible" name="2026年08月" sheetId="6" r:id="rId9"/>
    <sheet state="visible" name="2026年09月" sheetId="7" r:id="rId10"/>
    <sheet state="visible" name="2026年10月" sheetId="8" r:id="rId11"/>
    <sheet state="visible" name="2026年11月" sheetId="9" r:id="rId12"/>
    <sheet state="visible" name="2026年12月" sheetId="10" r:id="rId13"/>
    <sheet state="visible" name="2027年01月" sheetId="11" r:id="rId14"/>
    <sheet state="visible" name="2027年02月" sheetId="12" r:id="rId15"/>
    <sheet state="visible" name="2027年03月" sheetId="13" r:id="rId16"/>
    <sheet state="visible" name="設定" sheetId="14" r:id="rId17"/>
  </sheets>
  <definedNames/>
  <calcPr fullCalcOnLoad="1"/>
  <extLst>
    <ext uri="GoogleSheetsCustomDataVersion2">
      <go:sheetsCustomData xmlns:go="http://customooxmlschemas.google.com/" r:id="rId18" roundtripDataChecksum="UTALK1B/Yb3ULDwbsAEMi6rewGYALZd7zY0zYB5NiHk="/>
    </ext>
  </extLst>
</workbook>
</file>

<file path=xl/sharedStrings.xml><?xml version="1.0" encoding="utf-8"?>
<sst xmlns="http://schemas.openxmlformats.org/spreadsheetml/2006/main" count="211" uniqueCount="211">
  <si>
    <r>
      <rPr>
        <rFont val="Arial"/>
        <b/>
        <color rgb="FFFFFFFF"/>
        <sz val="15.0"/>
      </rPr>
      <t xml:space="preserve">OLD ORDER </t>
    </r>
    <r>
      <rPr>
        <rFont val="Noto Sans CJK SC"/>
        <b/>
        <color rgb="FFFFFFFF"/>
        <sz val="15.0"/>
      </rPr>
      <t xml:space="preserve">名古屋店　売上管理ダッシュボード　</t>
    </r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4</t>
    </r>
    <r>
      <rPr>
        <rFont val="Noto Sans CJK SC"/>
        <b/>
        <color rgb="FFFFFFFF"/>
        <sz val="15.0"/>
      </rPr>
      <t>月〜</t>
    </r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3</t>
    </r>
    <r>
      <rPr>
        <rFont val="Noto Sans CJK SC"/>
        <b/>
        <color rgb="FFFFFFFF"/>
        <sz val="15.0"/>
      </rPr>
      <t>月</t>
    </r>
  </si>
  <si>
    <t>各月シートの入力欄を埋めると、ここに自動集計されます。単位：円</t>
  </si>
  <si>
    <t>年間予算</t>
  </si>
  <si>
    <r>
      <rPr>
        <rFont val="Noto Sans CJK SC"/>
        <b/>
        <color theme="1"/>
        <sz val="10.0"/>
      </rPr>
      <t>当期実績</t>
    </r>
    <r>
      <rPr>
        <rFont val="Noto Sans"/>
        <b/>
        <color theme="1"/>
        <sz val="10.0"/>
      </rPr>
      <t>(YTD)</t>
    </r>
  </si>
  <si>
    <t>年間予算進捗</t>
  </si>
  <si>
    <t>経過月 達成率</t>
  </si>
  <si>
    <t>残り必要額</t>
  </si>
  <si>
    <t>月</t>
  </si>
  <si>
    <t>月間予算</t>
  </si>
  <si>
    <t>当月実績</t>
  </si>
  <si>
    <t>達成率</t>
  </si>
  <si>
    <t>予実差</t>
  </si>
  <si>
    <t>前年実績</t>
  </si>
  <si>
    <t>前年比</t>
  </si>
  <si>
    <t>購入人数</t>
  </si>
  <si>
    <t>来客数</t>
  </si>
  <si>
    <t>決定率</t>
  </si>
  <si>
    <t>客単価</t>
  </si>
  <si>
    <t>累計予算</t>
  </si>
  <si>
    <t>累計実績</t>
  </si>
  <si>
    <t>累計達成率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</si>
  <si>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4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</si>
  <si>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</si>
  <si>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</si>
  <si>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</si>
  <si>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</si>
  <si>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</si>
  <si>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</si>
  <si>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11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</si>
  <si>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12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</si>
  <si>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</si>
  <si>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</si>
  <si>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月</t>
    </r>
  </si>
  <si>
    <t>合計</t>
  </si>
  <si>
    <t>※前年実績は「設定」シートの青字セルに入力。元データが無い月は空欄です。</t>
  </si>
  <si>
    <t>※「経過月 達成率」は予算と実績の両方が入っている月だけで計算します。</t>
  </si>
  <si>
    <t>【グラフ】</t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</si>
  <si>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4</t>
    </r>
    <r>
      <rPr>
        <rFont val="Noto Sans CJK SC"/>
        <b/>
        <color rgb="FFFFFFFF"/>
        <sz val="15.0"/>
      </rPr>
      <t>月　名古屋店 日別売上管理</t>
    </r>
  </si>
  <si>
    <t>青字＋薄黄色のセルが入力欄。白セルは数式なので触らないでください。単位：円</t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</si>
  <si>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</si>
  <si>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t>残り必要日商</t>
  </si>
  <si>
    <t>日次予算合計</t>
  </si>
  <si>
    <t>着地見込</t>
  </si>
  <si>
    <t>セット率</t>
  </si>
  <si>
    <t>試着率</t>
  </si>
  <si>
    <t>日付</t>
  </si>
  <si>
    <t>曜</t>
  </si>
  <si>
    <t>日次予算</t>
  </si>
  <si>
    <t>現金</t>
  </si>
  <si>
    <t>クレジット</t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</si>
  <si>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</si>
  <si>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t>実績合計</t>
  </si>
  <si>
    <t>日次達成</t>
  </si>
  <si>
    <t>累計達成</t>
  </si>
  <si>
    <t>累計予実差</t>
  </si>
  <si>
    <t>ペース</t>
  </si>
  <si>
    <t>販売点数</t>
  </si>
  <si>
    <t>試着組数</t>
  </si>
  <si>
    <t>試着個数</t>
  </si>
  <si>
    <t>クロス
クーポン</t>
  </si>
  <si>
    <t>インスタ
フォロワー</t>
  </si>
  <si>
    <t>経費</t>
  </si>
  <si>
    <t>メモ</t>
  </si>
  <si>
    <t>曜日</t>
  </si>
  <si>
    <t>平均日商</t>
  </si>
  <si>
    <t>日数</t>
  </si>
  <si>
    <t>火</t>
  </si>
  <si>
    <t>水</t>
  </si>
  <si>
    <t>木</t>
  </si>
  <si>
    <t>金</t>
  </si>
  <si>
    <t>土</t>
  </si>
  <si>
    <t>日</t>
  </si>
  <si>
    <t>※実績入力後に曜日別の傾向が出ます</t>
  </si>
  <si>
    <t>■ 週次サマリー（火曜〜翌月曜）</t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</si>
  <si>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</si>
  <si>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t>週</t>
  </si>
  <si>
    <t>期間</t>
  </si>
  <si>
    <t>売上</t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</si>
  <si>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</si>
  <si>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05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</si>
  <si>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</si>
  <si>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t>月計</t>
  </si>
  <si>
    <t>フォロワーは月末値</t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</si>
  <si>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5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</si>
  <si>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</si>
  <si>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</si>
  <si>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</si>
  <si>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</si>
  <si>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06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</si>
  <si>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</si>
  <si>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6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</si>
  <si>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</si>
  <si>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</si>
  <si>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</si>
  <si>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</si>
  <si>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07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</si>
  <si>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</si>
  <si>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t>2026年7月　名古屋店 日別売上管理</t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</si>
  <si>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</si>
  <si>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t>商品券</t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</si>
  <si>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</si>
  <si>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</si>
  <si>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</si>
  <si>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08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</si>
  <si>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</si>
  <si>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8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</si>
  <si>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</si>
  <si>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</si>
  <si>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</si>
  <si>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</si>
  <si>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09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</si>
  <si>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</si>
  <si>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9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</si>
  <si>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</si>
  <si>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</si>
  <si>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t>経費→Daiso(消耗品購入)</t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</si>
  <si>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</si>
  <si>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t>経費→消耗品(スギ薬局)</t>
  </si>
  <si>
    <t>経費→消耗品(DAISO)</t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</si>
  <si>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</si>
  <si>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10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</si>
  <si>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</si>
  <si>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10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</si>
  <si>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</si>
  <si>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</si>
  <si>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Arial"/>
        <color rgb="FF808080"/>
        <sz val="8.0"/>
      </rPr>
      <t>第</t>
    </r>
    <r>
      <rPr>
        <rFont val="Noto Sans"/>
        <color rgb="FF808080"/>
        <sz val="8.0"/>
      </rPr>
      <t>1月</t>
    </r>
    <r>
      <rPr>
        <rFont val="Arial"/>
        <color rgb="FF808080"/>
        <sz val="8.0"/>
      </rPr>
      <t>曜</t>
    </r>
  </si>
  <si>
    <t>サッカーのreel伸びててフォロワー増</t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</si>
  <si>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</si>
  <si>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11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</si>
  <si>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</si>
  <si>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11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</si>
  <si>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</si>
  <si>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</si>
  <si>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</si>
  <si>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</si>
  <si>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12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</si>
  <si>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</si>
  <si>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12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</si>
  <si>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</si>
  <si>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</si>
  <si>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</si>
  <si>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</si>
  <si>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2027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01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</si>
  <si>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</si>
  <si>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</si>
  <si>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</si>
  <si>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</si>
  <si>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</si>
  <si>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</si>
  <si>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2027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02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</si>
  <si>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</si>
  <si>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2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</si>
  <si>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(/28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</si>
  <si>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</si>
  <si>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</si>
  <si>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</si>
  <si>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2027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03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</si>
  <si>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</si>
  <si>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3</t>
    </r>
    <r>
      <rPr>
        <rFont val="Noto Sans CJK SC"/>
        <b/>
        <color rgb="FFFFFFFF"/>
        <sz val="15.0"/>
      </rPr>
      <t>月　名古屋店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</si>
  <si>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</si>
  <si>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rgb="FFFFFFFF"/>
        <sz val="10.0"/>
      </rPr>
      <t xml:space="preserve">内訳差額
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要確認</t>
    </r>
    <r>
      <rPr>
        <rFont val="Noto Sans"/>
        <b/>
        <color rgb="FFFFFFFF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</si>
  <si>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</si>
  <si>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</si>
  <si>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※最終週の翌月分（</t>
    </r>
    <r>
      <rPr>
        <rFont val="Noto Sans"/>
        <color rgb="FF808080"/>
        <sz val="8.0"/>
      </rPr>
      <t>4/1</t>
    </r>
    <r>
      <rPr>
        <rFont val="Noto Sans CJK SC"/>
        <color rgb="FF808080"/>
        <sz val="8.0"/>
      </rPr>
      <t>〜）は集計対象外です（翌期のシートが無いため）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</si>
  <si>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</si>
  <si>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t>設定（月間予算・前年実績）</t>
  </si>
  <si>
    <t>← 青字＋薄黄色セルが入力（月間予算・前年実績）</t>
  </si>
  <si>
    <t>年間予算（合計）</t>
  </si>
  <si>
    <t>日商目安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</si>
  <si>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4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</si>
  <si>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</si>
  <si>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</si>
  <si>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</si>
  <si>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</si>
  <si>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</si>
  <si>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</si>
  <si>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11</t>
    </r>
    <r>
      <rPr>
        <rFont val="Noto Sans CJK SC"/>
        <color theme="1"/>
        <sz val="11.0"/>
      </rPr>
      <t>月</t>
    </r>
  </si>
  <si>
    <r>
      <rPr>
        <rFont val="Noto Sans"/>
        <color rgb="FF808080"/>
        <sz val="8.0"/>
      </rPr>
      <t>※2025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11</t>
    </r>
    <r>
      <rPr>
        <rFont val="Noto Sans CJK SC"/>
        <color rgb="FF808080"/>
        <sz val="8.0"/>
      </rPr>
      <t>月は</t>
    </r>
    <r>
      <rPr>
        <rFont val="Noto Sans"/>
        <color rgb="FF808080"/>
        <sz val="8.0"/>
      </rPr>
      <t>11</t>
    </r>
    <r>
      <rPr>
        <rFont val="Noto Sans CJK SC"/>
        <color rgb="FF808080"/>
        <sz val="8.0"/>
      </rPr>
      <t>日分のみ入力の旧データ。要確認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</si>
  <si>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12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</si>
  <si>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</si>
  <si>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</si>
  <si>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月</t>
    </r>
  </si>
  <si>
    <r>
      <rPr>
        <rFont val="Noto Sans"/>
        <color rgb="FF808080"/>
        <sz val="8.0"/>
      </rPr>
      <t>※2026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3</t>
    </r>
    <r>
      <rPr>
        <rFont val="Noto Sans CJK SC"/>
        <color rgb="FF808080"/>
        <sz val="8.0"/>
      </rPr>
      <t>月は旧シートの日付列が</t>
    </r>
    <r>
      <rPr>
        <rFont val="Noto Sans"/>
        <color rgb="FF808080"/>
        <sz val="8.0"/>
      </rPr>
      <t>3799</t>
    </r>
    <r>
      <rPr>
        <rFont val="Noto Sans CJK SC"/>
        <color rgb="FF808080"/>
        <sz val="8.0"/>
      </rPr>
      <t>年になっていたため売上列から集計</t>
    </r>
  </si>
  <si>
    <t>【入力ルール】</t>
  </si>
  <si>
    <t>・入力するのは青字＋薄黄色のセルだけ。白セルはすべて数式です。</t>
  </si>
  <si>
    <t>・各月シートの入力欄：日次予算／現金／クレジット／購入人数／販売点数／来客数／試着組数／試着個数／クロスクーポン／フォロワー／経費／メモ</t>
  </si>
  <si>
    <t>・試着組数・試着個数は必ず数値で入力（旧ファイルは文字列だったため合計・試着率が集計されていませんでした）。</t>
  </si>
  <si>
    <t>・「ペース」列は累計実績が累計予算に届いているかを自動判定します（◎ペース内／▲遅れ／予算未入力）。</t>
  </si>
  <si>
    <r>
      <rPr>
        <rFont val="Noto Sans CJK SC"/>
        <color theme="1"/>
        <sz val="9.0"/>
      </rPr>
      <t>・各月シート右側に「週次サマリー（火曜〜翌月曜）」。その月の第</t>
    </r>
    <r>
      <rPr>
        <rFont val="Arial"/>
        <color theme="1"/>
        <sz val="9.0"/>
      </rPr>
      <t>1</t>
    </r>
    <r>
      <rPr>
        <rFont val="Noto Sans CJK SC"/>
        <color theme="1"/>
        <sz val="9.0"/>
      </rPr>
      <t>火曜からスタートし、最終週は翌月シートの実績を自動合算します。</t>
    </r>
  </si>
  <si>
    <r>
      <rPr>
        <rFont val="Noto Sans CJK SC"/>
        <color theme="1"/>
        <sz val="9.0"/>
      </rPr>
      <t>・火曜起点のため、月初の月曜まで（例：</t>
    </r>
    <r>
      <rPr>
        <rFont val="Arial"/>
        <color theme="1"/>
        <sz val="9.0"/>
      </rPr>
      <t>6/1</t>
    </r>
    <r>
      <rPr>
        <rFont val="Noto Sans CJK SC"/>
        <color theme="1"/>
        <sz val="9.0"/>
      </rPr>
      <t>）はその月の週次サマリーには出ず、前月シートの最終週に含まれます。週次の合計は月計と一致しません。</t>
    </r>
  </si>
  <si>
    <r>
      <rPr>
        <rFont val="Noto Sans CJK SC"/>
        <color theme="1"/>
        <sz val="9.0"/>
      </rPr>
      <t>・週次の決定率・客単価・セット率は「週合計</t>
    </r>
    <r>
      <rPr>
        <rFont val="Arial"/>
        <color theme="1"/>
        <sz val="9.0"/>
      </rPr>
      <t>÷</t>
    </r>
    <r>
      <rPr>
        <rFont val="Noto Sans CJK SC"/>
        <color theme="1"/>
        <sz val="9.0"/>
      </rPr>
      <t>週合計」で算出（日次の率を</t>
    </r>
    <r>
      <rPr>
        <rFont val="Arial"/>
        <color theme="1"/>
        <sz val="9.0"/>
      </rPr>
      <t>AVERAGE</t>
    </r>
    <r>
      <rPr>
        <rFont val="Noto Sans CJK SC"/>
        <color theme="1"/>
        <sz val="9.0"/>
      </rPr>
      <t>すると客数の少ない日に引っ張られて歪みます）。</t>
    </r>
  </si>
  <si>
    <r>
      <rPr>
        <rFont val="Noto Sans CJK SC"/>
        <color theme="1"/>
        <sz val="9.0"/>
      </rPr>
      <t>・「月間予算」タイル（</t>
    </r>
    <r>
      <rPr>
        <rFont val="Arial"/>
        <color theme="1"/>
        <sz val="9.0"/>
      </rPr>
      <t>A4</t>
    </r>
    <r>
      <rPr>
        <rFont val="Noto Sans CJK SC"/>
        <color theme="1"/>
        <sz val="9.0"/>
      </rPr>
      <t>）と「日次予算合計」タイル（</t>
    </r>
    <r>
      <rPr>
        <rFont val="Arial"/>
        <color theme="1"/>
        <sz val="9.0"/>
      </rPr>
      <t>A6</t>
    </r>
    <r>
      <rPr>
        <rFont val="Noto Sans CJK SC"/>
        <color theme="1"/>
        <sz val="9.0"/>
      </rPr>
      <t>）がズレていたら、日次予算の合計が月間予算と一致していません。累計予算・累計達成・ペース・累計予実差・日別グラフはすべて日次予算を使うので、ズレたままだとペース判定が正しくなくなります。</t>
    </r>
  </si>
  <si>
    <t>【前提・注意】</t>
  </si>
  <si>
    <r>
      <rPr>
        <rFont val="Noto Sans CJK SC"/>
        <color theme="1"/>
        <sz val="9.0"/>
      </rPr>
      <t>・商品券の列は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月シート以降にのみ置いてあります（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月は元ファイルに列が無かったため）。現金・クレジットと並ぶ支払手段として実績合計に含まれます。</t>
    </r>
  </si>
  <si>
    <r>
      <rPr>
        <rFont val="Noto Sans CJK SC"/>
        <color theme="1"/>
        <sz val="9.0"/>
      </rPr>
      <t>・そのため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月は</t>
    </r>
    <r>
      <rPr>
        <rFont val="Arial"/>
        <color theme="1"/>
        <sz val="9.0"/>
      </rPr>
      <t>26</t>
    </r>
    <r>
      <rPr>
        <rFont val="Noto Sans CJK SC"/>
        <color theme="1"/>
        <sz val="9.0"/>
      </rPr>
      <t>列、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月以降は</t>
    </r>
    <r>
      <rPr>
        <rFont val="Arial"/>
        <color theme="1"/>
        <sz val="9.0"/>
      </rPr>
      <t>27</t>
    </r>
    <r>
      <rPr>
        <rFont val="Noto Sans CJK SC"/>
        <color theme="1"/>
        <sz val="9.0"/>
      </rPr>
      <t>列です。列の位置がひとつズレるので、月をまたいでコピー貼り付けするときは注意してください。</t>
    </r>
  </si>
  <si>
    <r>
      <rPr>
        <rFont val="Noto Sans CJK SC"/>
        <color theme="1"/>
        <sz val="9.0"/>
      </rPr>
      <t>・「内訳差額</t>
    </r>
    <r>
      <rPr>
        <rFont val="Arial"/>
        <color theme="1"/>
        <sz val="9.0"/>
      </rPr>
      <t>(</t>
    </r>
    <r>
      <rPr>
        <rFont val="Noto Sans CJK SC"/>
        <color theme="1"/>
        <sz val="9.0"/>
      </rPr>
      <t>要確認</t>
    </r>
    <r>
      <rPr>
        <rFont val="Arial"/>
        <color theme="1"/>
        <sz val="9.0"/>
      </rPr>
      <t>)</t>
    </r>
    <r>
      <rPr>
        <rFont val="Noto Sans CJK SC"/>
        <color theme="1"/>
        <sz val="9.0"/>
      </rPr>
      <t>」列を追加しました。旧シートの「売上」と「現金＋カード＋商品券」が一致しなかった差額です。実績合計は旧シートの売上と一致します。</t>
    </r>
  </si>
  <si>
    <r>
      <rPr>
        <rFont val="Noto Sans CJK SC"/>
        <color theme="1"/>
        <sz val="9.0"/>
      </rPr>
      <t>・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月は商品券の列が無く、旧シートの売上と内訳の差が月あたり</t>
    </r>
    <r>
      <rPr>
        <rFont val="Arial"/>
        <color theme="1"/>
        <sz val="9.0"/>
      </rPr>
      <t>21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40</t>
    </r>
    <r>
      <rPr>
        <rFont val="Noto Sans CJK SC"/>
        <color theme="1"/>
        <sz val="9.0"/>
      </rPr>
      <t>万円ありました（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+403,169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5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+251,324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+214,955</t>
    </r>
    <r>
      <rPr>
        <rFont val="Noto Sans CJK SC"/>
        <color theme="1"/>
        <sz val="9.0"/>
      </rPr>
      <t>）。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月は現金＋クレジット＋商品券＝売上合計でぴったり合っています。</t>
    </r>
  </si>
  <si>
    <r>
      <rPr>
        <rFont val="Noto Sans CJK SC"/>
        <color theme="1"/>
        <sz val="9.0"/>
      </rPr>
      <t>・内訳差額は日によってプラスにもマイナスにも振れているため、商品券の抜けだけでは説明できません。レジ側の記録と突き合わせて内訳を確定させたうえで、この列を</t>
    </r>
    <r>
      <rPr>
        <rFont val="Arial"/>
        <color theme="1"/>
        <sz val="9.0"/>
      </rPr>
      <t>0</t>
    </r>
    <r>
      <rPr>
        <rFont val="Noto Sans CJK SC"/>
        <color theme="1"/>
        <sz val="9.0"/>
      </rPr>
      <t>にしていくのが理想です。</t>
    </r>
  </si>
  <si>
    <r>
      <rPr>
        <rFont val="Noto Sans CJK SC"/>
        <color theme="1"/>
        <sz val="9.0"/>
      </rPr>
      <t>・月間予算は未入力です。設定シートの</t>
    </r>
    <r>
      <rPr>
        <rFont val="Arial"/>
        <color theme="1"/>
        <sz val="9.0"/>
      </rPr>
      <t>B</t>
    </r>
    <r>
      <rPr>
        <rFont val="Noto Sans CJK SC"/>
        <color theme="1"/>
        <sz val="9.0"/>
      </rPr>
      <t>列（青字セル）に入れてください。空欄の月は日次予算の合計を月間予算として表示します。</t>
    </r>
  </si>
  <si>
    <r>
      <rPr>
        <rFont val="Noto Sans CJK SC"/>
        <color theme="1"/>
        <sz val="9.0"/>
      </rPr>
      <t>・日次予算は旧ファイルの日別予算をそのまま取り込んでいます（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10,200,000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5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11,200,000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9,500,000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13,600,000</t>
    </r>
    <r>
      <rPr>
        <rFont val="Noto Sans CJK SC"/>
        <color theme="1"/>
        <sz val="9.0"/>
      </rPr>
      <t>）。月間予算を入れたあと、この合計とズレていないか確認してください。</t>
    </r>
  </si>
  <si>
    <r>
      <rPr>
        <rFont val="Noto Sans CJK SC"/>
        <color theme="1"/>
        <sz val="9.0"/>
      </rPr>
      <t>・</t>
    </r>
    <r>
      <rPr>
        <rFont val="Arial"/>
        <color theme="1"/>
        <sz val="9.0"/>
      </rPr>
      <t>LK</t>
    </r>
    <r>
      <rPr>
        <rFont val="Noto Sans CJK SC"/>
        <color theme="1"/>
        <sz val="9.0"/>
      </rPr>
      <t>売上の列は大阪店のみのため、名古屋店では設けていません。</t>
    </r>
  </si>
  <si>
    <r>
      <rPr>
        <rFont val="Noto Sans CJK SC"/>
        <color theme="1"/>
        <sz val="9.0"/>
      </rPr>
      <t>・前年実績：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11</t>
    </r>
    <r>
      <rPr>
        <rFont val="Noto Sans CJK SC"/>
        <color theme="1"/>
        <sz val="9.0"/>
      </rPr>
      <t>月〜</t>
    </r>
    <r>
      <rPr>
        <rFont val="Arial"/>
        <color theme="1"/>
        <sz val="9.0"/>
      </rPr>
      <t>2027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月は旧ファイル（</t>
    </r>
    <r>
      <rPr>
        <rFont val="Arial"/>
        <color theme="1"/>
        <sz val="9.0"/>
      </rPr>
      <t>2025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11</t>
    </r>
    <r>
      <rPr>
        <rFont val="Noto Sans CJK SC"/>
        <color theme="1"/>
        <sz val="9.0"/>
      </rPr>
      <t>月〜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月）の売上合計より転記。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10</t>
    </r>
    <r>
      <rPr>
        <rFont val="Noto Sans CJK SC"/>
        <color theme="1"/>
        <sz val="9.0"/>
      </rPr>
      <t>月は元データが無いため空欄。</t>
    </r>
  </si>
  <si>
    <r>
      <rPr>
        <rFont val="Noto Sans CJK SC"/>
        <color theme="1"/>
        <sz val="9.0"/>
      </rPr>
      <t>・旧ファイルの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月シートは日付列が「</t>
    </r>
    <r>
      <rPr>
        <rFont val="Arial"/>
        <color theme="1"/>
        <sz val="9.0"/>
      </rPr>
      <t>3799/12/01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31</t>
    </r>
    <r>
      <rPr>
        <rFont val="Noto Sans CJK SC"/>
        <color theme="1"/>
        <sz val="9.0"/>
      </rPr>
      <t>」になっていました。行の並びは正しいので売上列から集計しています。元ファイル側も直しておくことをおすすめします。</t>
    </r>
  </si>
  <si>
    <r>
      <rPr>
        <rFont val="Noto Sans CJK SC"/>
        <color theme="1"/>
        <sz val="9.0"/>
      </rPr>
      <t>・旧ファイルの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2</t>
    </r>
    <r>
      <rPr>
        <rFont val="Noto Sans CJK SC"/>
        <color theme="1"/>
        <sz val="9.0"/>
      </rPr>
      <t>月シートは</t>
    </r>
    <r>
      <rPr>
        <rFont val="Arial"/>
        <color theme="1"/>
        <sz val="9.0"/>
      </rPr>
      <t>29</t>
    </r>
    <r>
      <rPr>
        <rFont val="Noto Sans CJK SC"/>
        <color theme="1"/>
        <sz val="9.0"/>
      </rPr>
      <t>行目の日付が</t>
    </r>
    <r>
      <rPr>
        <rFont val="Arial"/>
        <color theme="1"/>
        <sz val="9.0"/>
      </rPr>
      <t>2026/3/1</t>
    </r>
    <r>
      <rPr>
        <rFont val="Noto Sans CJK SC"/>
        <color theme="1"/>
        <sz val="9.0"/>
      </rPr>
      <t>になっていました（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2</t>
    </r>
    <r>
      <rPr>
        <rFont val="Noto Sans CJK SC"/>
        <color theme="1"/>
        <sz val="9.0"/>
      </rPr>
      <t>月は</t>
    </r>
    <r>
      <rPr>
        <rFont val="Arial"/>
        <color theme="1"/>
        <sz val="9.0"/>
      </rPr>
      <t>28</t>
    </r>
    <r>
      <rPr>
        <rFont val="Noto Sans CJK SC"/>
        <color theme="1"/>
        <sz val="9.0"/>
      </rPr>
      <t>日まで）。</t>
    </r>
  </si>
  <si>
    <r>
      <rPr>
        <rFont val="Noto Sans CJK SC"/>
        <color theme="1"/>
        <sz val="9.0"/>
      </rPr>
      <t>・旧ファイルは月ごとに列構成が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種類に分かれていました。本ファイルは全月同一構成です。</t>
    </r>
  </si>
  <si>
    <t>■ 週次サマリー（月曜〜日曜）</t>
  </si>
  <si>
    <t>■ 週次サマリー（月曜〜日曜）</t>
  </si>
  <si>
    <t>■ 週次サマリー（月曜〜日曜）</t>
  </si>
  <si>
    <t>■ 週次サマリー（月曜〜日曜）</t>
  </si>
  <si>
    <t>■ 週次サマリー（月曜〜日曜）</t>
  </si>
  <si>
    <t>■ 週次サマリー（月曜〜日曜）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</si>
</sst>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¥#,##0;&quot;(¥&quot;#,##0\);\-"/>
    <numFmt numFmtId="165" formatCode="0.0%"/>
    <numFmt numFmtId="166" formatCode="yyyy\/mm\/dd"/>
    <numFmt numFmtId="167" formatCode="m/d"/>
  </numFmts>
  <fonts count="20">
    <font>
      <sz val="11.0"/>
      <color theme="1"/>
      <name val="Calibri"/>
      <scheme val="minor"/>
    </font>
    <font>
      <b/>
      <sz val="15.0"/>
      <color rgb="FFFFFFFF"/>
      <name val="Arial"/>
    </font>
    <font/>
    <font>
      <sz val="9.0"/>
      <color rgb="FF808080"/>
      <name val="Noto Sans"/>
    </font>
    <font>
      <b/>
      <sz val="10.0"/>
      <color theme="1"/>
      <name val="Noto Sans"/>
    </font>
    <font>
      <b/>
      <sz val="11.0"/>
      <color theme="1"/>
      <name val="Arial"/>
    </font>
    <font>
      <b/>
      <sz val="10.0"/>
      <color rgb="FFFFFFFF"/>
      <name val="Noto Sans"/>
    </font>
    <font>
      <sz val="11.0"/>
      <color theme="1"/>
      <name val="Arial"/>
    </font>
    <font>
      <b/>
      <sz val="11.0"/>
      <color rgb="FFFFFFFF"/>
      <name val="Noto Sans"/>
    </font>
    <font>
      <b/>
      <sz val="11.0"/>
      <color rgb="FFFFFFFF"/>
      <name val="Arial"/>
    </font>
    <font>
      <sz val="8.0"/>
      <color rgb="FF808080"/>
      <name val="Noto Sans"/>
    </font>
    <font>
      <b/>
      <sz val="11.0"/>
      <color rgb="FF1F3864"/>
      <name val="Noto Sans"/>
    </font>
    <font>
      <b/>
      <sz val="11.0"/>
      <color rgb="FF1F3864"/>
      <name val="Arial"/>
    </font>
    <font>
      <sz val="11.0"/>
      <color rgb="FF0000FF"/>
      <name val="Arial"/>
    </font>
    <font>
      <sz val="10.0"/>
      <color theme="1"/>
      <name val="Noto Sans"/>
    </font>
    <font>
      <sz val="9.0"/>
      <color rgb="FF0000FF"/>
      <name val="Arial"/>
    </font>
    <font>
      <b/>
      <sz val="11.0"/>
      <color theme="1"/>
      <name val="Noto Sans"/>
    </font>
    <font>
      <sz val="8.0"/>
      <color rgb="FFD9D9D9"/>
      <name val="Noto Sans"/>
    </font>
    <font>
      <b/>
      <sz val="15.0"/>
      <color rgb="FFFFFFFF"/>
      <name val="Noto Sans"/>
    </font>
    <font>
      <sz val="9.0"/>
      <color theme="1"/>
      <name val="Noto Sans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6F7"/>
        <bgColor rgb="FFDCE6F7"/>
      </patternFill>
    </fill>
    <fill>
      <patternFill patternType="solid">
        <fgColor rgb="FF2E5AAC"/>
        <bgColor rgb="FF2E5AA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7D6"/>
        <bgColor rgb="FFFFF7D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4" fillId="0" fontId="5" numFmtId="164" xfId="0" applyAlignment="1" applyBorder="1" applyFont="1" applyNumberFormat="1">
      <alignment horizontal="center" shrinkToFit="0" vertical="center" wrapText="0"/>
    </xf>
    <xf borderId="4" fillId="0" fontId="5" numFmtId="165" xfId="0" applyAlignment="1" applyBorder="1" applyFont="1" applyNumberFormat="1">
      <alignment horizontal="center" shrinkToFit="0" vertical="center" wrapText="0"/>
    </xf>
    <xf borderId="6" fillId="4" fontId="6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ill="1" applyFont="1">
      <alignment horizontal="center" shrinkToFit="0" vertical="center" wrapText="0"/>
    </xf>
    <xf borderId="6" fillId="5" fontId="7" numFmtId="164" xfId="0" applyAlignment="1" applyBorder="1" applyFill="1" applyFont="1" applyNumberFormat="1">
      <alignment horizontal="right" shrinkToFit="0" vertical="center" wrapText="0"/>
    </xf>
    <xf borderId="6" fillId="5" fontId="7" numFmtId="165" xfId="0" applyAlignment="1" applyBorder="1" applyFill="1" applyFont="1" applyNumberFormat="1">
      <alignment horizontal="right" shrinkToFit="0" vertical="center" wrapText="0"/>
    </xf>
    <xf borderId="6" fillId="5" fontId="7" numFmtId="1" xfId="0" applyAlignment="1" applyBorder="1" applyFill="1" applyFont="1" applyNumberFormat="1">
      <alignment horizontal="right" shrinkToFit="0" vertical="center" wrapText="0"/>
    </xf>
    <xf borderId="6" fillId="6" fontId="7" numFmtId="0" xfId="0" applyAlignment="1" applyBorder="1" applyFill="1" applyFont="1">
      <alignment horizontal="center" shrinkToFit="0" vertical="center" wrapText="0"/>
    </xf>
    <xf borderId="6" fillId="6" fontId="7" numFmtId="164" xfId="0" applyAlignment="1" applyBorder="1" applyFill="1" applyFont="1" applyNumberFormat="1">
      <alignment horizontal="right" shrinkToFit="0" vertical="center" wrapText="0"/>
    </xf>
    <xf borderId="6" fillId="6" fontId="7" numFmtId="165" xfId="0" applyAlignment="1" applyBorder="1" applyFill="1" applyFont="1" applyNumberFormat="1">
      <alignment horizontal="right" shrinkToFit="0" vertical="center" wrapText="0"/>
    </xf>
    <xf borderId="6" fillId="6" fontId="7" numFmtId="1" xfId="0" applyAlignment="1" applyBorder="1" applyFill="1" applyFont="1" applyNumberFormat="1">
      <alignment horizontal="right" shrinkToFit="0" vertical="center" wrapText="0"/>
    </xf>
    <xf borderId="6" fillId="2" fontId="8" numFmtId="0" xfId="0" applyAlignment="1" applyBorder="1" applyFill="1" applyFont="1">
      <alignment horizontal="center" shrinkToFit="0" vertical="center" wrapText="0"/>
    </xf>
    <xf borderId="6" fillId="2" fontId="9" numFmtId="164" xfId="0" applyAlignment="1" applyBorder="1" applyFill="1" applyFont="1" applyNumberFormat="1">
      <alignment horizontal="right" shrinkToFit="0" vertical="center" wrapText="0"/>
    </xf>
    <xf borderId="6" fillId="2" fontId="9" numFmtId="165" xfId="0" applyAlignment="1" applyBorder="1" applyFill="1" applyFont="1" applyNumberFormat="1">
      <alignment horizontal="right" shrinkToFit="0" vertical="center" wrapText="0"/>
    </xf>
    <xf borderId="6" fillId="2" fontId="9" numFmtId="1" xfId="0" applyAlignment="1" applyBorder="1" applyFill="1" applyFont="1" applyNumberFormat="1">
      <alignment horizontal="right" shrinkToFit="0" vertical="center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0" fontId="12" numFmtId="164" xfId="0" applyAlignment="1" applyBorder="1" applyFont="1" applyNumberFormat="1">
      <alignment horizontal="center" shrinkToFit="0" vertical="center" wrapText="0"/>
    </xf>
    <xf borderId="4" fillId="0" fontId="5" numFmtId="1" xfId="0" applyAlignment="1" applyBorder="1" applyFont="1" applyNumberFormat="1">
      <alignment horizontal="center" shrinkToFit="0" vertical="center" wrapText="0"/>
    </xf>
    <xf borderId="4" fillId="0" fontId="5" numFmtId="2" xfId="0" applyAlignment="1" applyBorder="1" applyFont="1" applyNumberFormat="1">
      <alignment horizontal="center" shrinkToFit="0" vertical="center" wrapText="0"/>
    </xf>
    <xf borderId="6" fillId="4" fontId="6" numFmtId="0" xfId="0" applyAlignment="1" applyBorder="1" applyFill="1" applyFont="1">
      <alignment horizontal="center" shrinkToFit="0" vertical="center" wrapText="0"/>
    </xf>
    <xf borderId="6" fillId="5" fontId="7" numFmtId="166" xfId="0" applyAlignment="1" applyBorder="1" applyFill="1" applyFont="1" applyNumberFormat="1">
      <alignment horizontal="center" shrinkToFit="0" vertical="center" wrapText="0"/>
    </xf>
    <xf borderId="6" fillId="7" fontId="13" numFmtId="164" xfId="0" applyAlignment="1" applyBorder="1" applyFill="1" applyFont="1" applyNumberFormat="1">
      <alignment horizontal="right" shrinkToFit="0" vertical="center" wrapText="0"/>
    </xf>
    <xf borderId="6" fillId="5" fontId="14" numFmtId="0" xfId="0" applyAlignment="1" applyBorder="1" applyFill="1" applyFont="1">
      <alignment horizontal="center" shrinkToFit="0" vertical="center" wrapText="0"/>
    </xf>
    <xf borderId="6" fillId="7" fontId="13" numFmtId="1" xfId="0" applyAlignment="1" applyBorder="1" applyFill="1" applyFont="1" applyNumberFormat="1">
      <alignment horizontal="right" shrinkToFit="0" vertical="center" wrapText="0"/>
    </xf>
    <xf borderId="6" fillId="5" fontId="7" numFmtId="2" xfId="0" applyAlignment="1" applyBorder="1" applyFill="1" applyFont="1" applyNumberFormat="1">
      <alignment horizontal="right" shrinkToFit="0" vertical="center" wrapText="0"/>
    </xf>
    <xf borderId="6" fillId="7" fontId="15" numFmtId="0" xfId="0" applyAlignment="1" applyBorder="1" applyFill="1" applyFont="1">
      <alignment horizontal="left" shrinkToFit="0" vertical="center" wrapText="0"/>
    </xf>
    <xf borderId="6" fillId="0" fontId="16" numFmtId="0" xfId="0" applyAlignment="1" applyBorder="1" applyFont="1">
      <alignment horizontal="center" shrinkToFit="0" vertical="center" wrapText="0"/>
    </xf>
    <xf borderId="6" fillId="0" fontId="7" numFmtId="164" xfId="0" applyAlignment="1" applyBorder="1" applyFont="1" applyNumberFormat="1">
      <alignment horizontal="right" shrinkToFit="0" vertical="center" wrapText="0"/>
    </xf>
    <xf borderId="6" fillId="0" fontId="7" numFmtId="1" xfId="0" applyAlignment="1" applyBorder="1" applyFont="1" applyNumberFormat="1">
      <alignment horizontal="center" shrinkToFit="0" vertical="center" wrapText="0"/>
    </xf>
    <xf borderId="6" fillId="0" fontId="7" numFmtId="165" xfId="0" applyAlignment="1" applyBorder="1" applyFont="1" applyNumberFormat="1">
      <alignment horizontal="right" shrinkToFit="0" vertical="center" wrapText="0"/>
    </xf>
    <xf borderId="6" fillId="6" fontId="7" numFmtId="166" xfId="0" applyAlignment="1" applyBorder="1" applyFill="1" applyFont="1" applyNumberFormat="1">
      <alignment horizontal="center" shrinkToFit="0" vertical="center" wrapText="0"/>
    </xf>
    <xf borderId="6" fillId="6" fontId="14" numFmtId="0" xfId="0" applyAlignment="1" applyBorder="1" applyFill="1" applyFont="1">
      <alignment horizontal="center" shrinkToFit="0" vertical="center" wrapText="0"/>
    </xf>
    <xf borderId="6" fillId="6" fontId="7" numFmtId="2" xfId="0" applyAlignment="1" applyBorder="1" applyFill="1" applyFont="1" applyNumberFormat="1">
      <alignment horizontal="right" shrinkToFit="0" vertical="center" wrapText="0"/>
    </xf>
    <xf borderId="0" fillId="0" fontId="10" numFmtId="167" xfId="0" applyAlignment="1" applyFont="1" applyNumberFormat="1">
      <alignment shrinkToFit="0" vertical="bottom" wrapText="0"/>
    </xf>
    <xf borderId="6" fillId="0" fontId="7" numFmtId="0" xfId="0" applyAlignment="1" applyBorder="1" applyFont="1">
      <alignment horizontal="center" shrinkToFit="0" vertical="center" wrapText="0"/>
    </xf>
    <xf borderId="6" fillId="0" fontId="7" numFmtId="2" xfId="0" applyAlignment="1" applyBorder="1" applyFont="1" applyNumberFormat="1">
      <alignment horizontal="right" shrinkToFit="0" vertical="center" wrapText="0"/>
    </xf>
    <xf borderId="6" fillId="2" fontId="8" numFmtId="166" xfId="0" applyAlignment="1" applyBorder="1" applyFill="1" applyFont="1" applyNumberFormat="1">
      <alignment horizontal="center" shrinkToFit="0" vertical="center" wrapText="0"/>
    </xf>
    <xf borderId="6" fillId="2" fontId="9" numFmtId="0" xfId="0" applyAlignment="1" applyBorder="1" applyFill="1" applyFont="1">
      <alignment horizontal="center" shrinkToFit="0" vertical="center" wrapText="0"/>
    </xf>
    <xf borderId="6" fillId="2" fontId="9" numFmtId="2" xfId="0" applyAlignment="1" applyBorder="1" applyFill="1" applyFont="1" applyNumberFormat="1">
      <alignment horizontal="right" shrinkToFit="0" vertical="center" wrapText="0"/>
    </xf>
    <xf borderId="6" fillId="2" fontId="17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6" fillId="7" fontId="13" numFmtId="164" xfId="0" applyAlignment="1" applyBorder="1" applyFill="1" applyFont="1" applyNumberFormat="1">
      <alignment horizontal="right" readingOrder="0" shrinkToFit="0" vertical="center" wrapText="0"/>
    </xf>
    <xf borderId="6" fillId="7" fontId="13" numFmtId="1" xfId="0" applyAlignment="1" applyBorder="1" applyFill="1" applyFont="1" applyNumberFormat="1">
      <alignment horizontal="right" readingOrder="0" shrinkToFit="0" vertical="center" wrapText="0"/>
    </xf>
    <xf borderId="6" fillId="7" fontId="13" numFmtId="1" xfId="0" applyAlignment="1" applyBorder="1" applyFill="1" applyFont="1" applyNumberFormat="1">
      <alignment horizontal="center" readingOrder="0" shrinkToFit="0" vertical="center" wrapText="0"/>
    </xf>
    <xf borderId="6" fillId="7" fontId="15" numFmtId="0" xfId="0" applyAlignment="1" applyBorder="1" applyFill="1" applyFont="1">
      <alignment horizontal="left" readingOrder="0" shrinkToFit="0" vertical="center" wrapText="0"/>
    </xf>
    <xf borderId="0" fillId="0" fontId="10" numFmtId="0" xfId="0" applyAlignment="1" applyFont="1">
      <alignment readingOrder="0" shrinkToFit="0" vertical="bottom" wrapText="0"/>
    </xf>
    <xf borderId="1" fillId="2" fontId="18" numFmtId="0" xfId="0" applyAlignment="1" applyBorder="1" applyFill="1" applyFont="1">
      <alignment horizontal="left" shrinkToFit="0" vertical="center" wrapText="0"/>
    </xf>
    <xf borderId="6" fillId="3" fontId="4" numFmtId="0" xfId="0" applyAlignment="1" applyBorder="1" applyFill="1" applyFont="1">
      <alignment shrinkToFit="0" vertical="bottom" wrapText="0"/>
    </xf>
    <xf borderId="6" fillId="0" fontId="5" numFmtId="164" xfId="0" applyAlignment="1" applyBorder="1" applyFont="1" applyNumberFormat="1">
      <alignment shrinkToFit="0" vertical="bottom" wrapText="0"/>
    </xf>
    <xf borderId="6" fillId="7" fontId="13" numFmtId="164" xfId="0" applyAlignment="1" applyBorder="1" applyFill="1" applyFont="1" applyNumberFormat="1">
      <alignment horizontal="right"/>
    </xf>
    <xf borderId="6" fillId="5" fontId="7" numFmtId="1" xfId="0" applyAlignment="1" applyBorder="1" applyFill="1" applyFont="1" applyNumberFormat="1">
      <alignment horizontal="center" shrinkToFit="0" vertical="center" wrapText="0"/>
    </xf>
    <xf borderId="6" fillId="6" fontId="7" numFmtId="1" xfId="0" applyAlignment="1" applyBorder="1" applyFill="1" applyFont="1" applyNumberFormat="1">
      <alignment horizontal="center" shrinkToFit="0" vertical="center" wrapText="0"/>
    </xf>
    <xf borderId="6" fillId="7" fontId="13" numFmtId="164" xfId="0" applyAlignment="1" applyBorder="1" applyFill="1" applyFont="1" applyNumberFormat="1">
      <alignment horizontal="right" readingOrder="0"/>
    </xf>
    <xf borderId="6" fillId="2" fontId="9" numFmtId="1" xfId="0" applyAlignment="1" applyBorder="1" applyFill="1" applyFont="1" applyNumberFormat="1">
      <alignment horizontal="center" shrinkToFit="0" vertical="center" wrapText="0"/>
    </xf>
    <xf borderId="0" fillId="0" fontId="19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月別：予算 vs 実績 vs 前年実績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月間予算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'ダッシュボード'!$A$8:$A$19</c:f>
            </c:strRef>
          </c:cat>
          <c:val>
            <c:numRef>
              <c:f>'ダッシュボード'!$B$8:$B$19</c:f>
              <c:numCache/>
            </c:numRef>
          </c:val>
        </c:ser>
        <c:ser>
          <c:idx val="1"/>
          <c:order val="1"/>
          <c:tx>
            <c:v>当月実績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'ダッシュボード'!$A$8:$A$19</c:f>
            </c:strRef>
          </c:cat>
          <c:val>
            <c:numRef>
              <c:f>'ダッシュボード'!$C$8:$C$19</c:f>
              <c:numCache/>
            </c:numRef>
          </c:val>
        </c:ser>
        <c:ser>
          <c:idx val="2"/>
          <c:order val="2"/>
          <c:tx>
            <c:v>前年実績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'ダッシュボード'!$A$8:$A$19</c:f>
            </c:strRef>
          </c:cat>
          <c:val>
            <c:numRef>
              <c:f>'ダッシュボード'!$F$8:$F$19</c:f>
              <c:numCache/>
            </c:numRef>
          </c:val>
        </c:ser>
        <c:axId val="575550427"/>
        <c:axId val="549290929"/>
      </c:barChart>
      <c:catAx>
        <c:axId val="575550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9290929"/>
      </c:catAx>
      <c:valAx>
        <c:axId val="549290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555042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月別：達成率 と 前年比</a:t>
            </a:r>
          </a:p>
        </c:rich>
      </c:tx>
      <c:overlay val="0"/>
    </c:title>
    <c:plotArea>
      <c:layout/>
      <c:lineChart>
        <c:ser>
          <c:idx val="0"/>
          <c:order val="0"/>
          <c:tx>
            <c:v>達成率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4F81BD">
                  <a:alpha val="100000"/>
                </a:srgbClr>
              </a:solidFill>
              <a:ln cmpd="sng">
                <a:solidFill>
                  <a:srgbClr val="4F81BD">
                    <a:alpha val="100000"/>
                  </a:srgbClr>
                </a:solidFill>
              </a:ln>
            </c:spPr>
          </c:marker>
          <c:cat>
            <c:strRef>
              <c:f>'ダッシュボード'!$A$8:$A$19</c:f>
            </c:strRef>
          </c:cat>
          <c:val>
            <c:numRef>
              <c:f>'ダッシュボード'!$D$8:$D$19</c:f>
              <c:numCache/>
            </c:numRef>
          </c:val>
          <c:smooth val="0"/>
        </c:ser>
        <c:axId val="2075325604"/>
        <c:axId val="1681603659"/>
      </c:lineChart>
      <c:catAx>
        <c:axId val="2075325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81603659"/>
      </c:catAx>
      <c:valAx>
        <c:axId val="1681603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7532560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累計：予算 vs 実績（YTDペース）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'ダッシュボード'!$A$8:$A$19</c:f>
            </c:strRef>
          </c:cat>
          <c:val>
            <c:numRef>
              <c:f>'ダッシュボード'!$L$8:$L$19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'ダッシュボード'!$A$8:$A$19</c:f>
            </c:strRef>
          </c:cat>
          <c:val>
            <c:numRef>
              <c:f>'ダッシュボード'!$M$8:$M$19</c:f>
              <c:numCache/>
            </c:numRef>
          </c:val>
          <c:smooth val="1"/>
        </c:ser>
        <c:axId val="2144642332"/>
        <c:axId val="33709929"/>
      </c:lineChart>
      <c:catAx>
        <c:axId val="2144642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3709929"/>
      </c:catAx>
      <c:valAx>
        <c:axId val="33709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4464233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4月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'2026年04月'!$A$8:$A$37</c:f>
            </c:strRef>
          </c:cat>
          <c:val>
            <c:numRef>
              <c:f>'2026年04月'!$D$8:$D$37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'2026年04月'!$A$8:$A$37</c:f>
            </c:strRef>
          </c:cat>
          <c:val>
            <c:numRef>
              <c:f>'2026年04月'!$I$8:$I$37</c:f>
              <c:numCache/>
            </c:numRef>
          </c:val>
          <c:smooth val="1"/>
        </c:ser>
        <c:axId val="368884626"/>
        <c:axId val="551668412"/>
      </c:lineChart>
      <c:catAx>
        <c:axId val="368884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51668412"/>
      </c:catAx>
      <c:valAx>
        <c:axId val="551668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688846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4月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'2026年04月'!$A$8:$A$37</c:f>
            </c:strRef>
          </c:cat>
          <c:val>
            <c:numRef>
              <c:f>'2026年04月'!$C$8:$C$37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'2026年04月'!$A$8:$A$37</c:f>
            </c:strRef>
          </c:cat>
          <c:val>
            <c:numRef>
              <c:f>'2026年04月'!$H$8:$H$37</c:f>
              <c:numCache/>
            </c:numRef>
          </c:val>
        </c:ser>
        <c:axId val="1252074399"/>
        <c:axId val="1799169424"/>
      </c:barChart>
      <c:catAx>
        <c:axId val="1252074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99169424"/>
      </c:catAx>
      <c:valAx>
        <c:axId val="17991694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5207439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5月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'2026年05月'!$A$8:$A$38</c:f>
            </c:strRef>
          </c:cat>
          <c:val>
            <c:numRef>
              <c:f>'2026年05月'!$D$8:$D$38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'2026年05月'!$A$8:$A$38</c:f>
            </c:strRef>
          </c:cat>
          <c:val>
            <c:numRef>
              <c:f>'2026年05月'!$I$8:$I$38</c:f>
              <c:numCache/>
            </c:numRef>
          </c:val>
          <c:smooth val="1"/>
        </c:ser>
        <c:axId val="930600445"/>
        <c:axId val="2056859081"/>
      </c:lineChart>
      <c:catAx>
        <c:axId val="930600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6859081"/>
      </c:catAx>
      <c:valAx>
        <c:axId val="2056859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3060044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5月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'2026年05月'!$A$8:$A$38</c:f>
            </c:strRef>
          </c:cat>
          <c:val>
            <c:numRef>
              <c:f>'2026年05月'!$C$8:$C$38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'2026年05月'!$A$8:$A$38</c:f>
            </c:strRef>
          </c:cat>
          <c:val>
            <c:numRef>
              <c:f>'2026年05月'!$H$8:$H$38</c:f>
              <c:numCache/>
            </c:numRef>
          </c:val>
        </c:ser>
        <c:axId val="2000143295"/>
        <c:axId val="1306568958"/>
      </c:barChart>
      <c:catAx>
        <c:axId val="2000143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06568958"/>
      </c:catAx>
      <c:valAx>
        <c:axId val="1306568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0014329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6月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'2026年06月'!$A$8:$A$37</c:f>
            </c:strRef>
          </c:cat>
          <c:val>
            <c:numRef>
              <c:f>'2026年06月'!$D$8:$D$37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'2026年06月'!$A$8:$A$37</c:f>
            </c:strRef>
          </c:cat>
          <c:val>
            <c:numRef>
              <c:f>'2026年06月'!$I$8:$I$37</c:f>
              <c:numCache/>
            </c:numRef>
          </c:val>
          <c:smooth val="1"/>
        </c:ser>
        <c:axId val="573327855"/>
        <c:axId val="733636612"/>
      </c:lineChart>
      <c:catAx>
        <c:axId val="573327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3636612"/>
      </c:catAx>
      <c:valAx>
        <c:axId val="733636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332785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6月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'2026年06月'!$A$8:$A$37</c:f>
            </c:strRef>
          </c:cat>
          <c:val>
            <c:numRef>
              <c:f>'2026年06月'!$C$8:$C$37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'2026年06月'!$A$8:$A$37</c:f>
            </c:strRef>
          </c:cat>
          <c:val>
            <c:numRef>
              <c:f>'2026年06月'!$H$8:$H$37</c:f>
              <c:numCache/>
            </c:numRef>
          </c:val>
        </c:ser>
        <c:axId val="1601342647"/>
        <c:axId val="773315031"/>
      </c:barChart>
      <c:catAx>
        <c:axId val="1601342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3315031"/>
      </c:catAx>
      <c:valAx>
        <c:axId val="773315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0134264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7月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'2026年07月'!$A$8:$A$38</c:f>
            </c:strRef>
          </c:cat>
          <c:val>
            <c:numRef>
              <c:f>'2026年07月'!$D$8:$D$38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'2026年07月'!$A$8:$A$38</c:f>
            </c:strRef>
          </c:cat>
          <c:val>
            <c:numRef>
              <c:f>'2026年07月'!$J$8:$J$38</c:f>
              <c:numCache/>
            </c:numRef>
          </c:val>
          <c:smooth val="1"/>
        </c:ser>
        <c:axId val="2041166613"/>
        <c:axId val="1961947991"/>
      </c:lineChart>
      <c:catAx>
        <c:axId val="2041166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1947991"/>
      </c:catAx>
      <c:valAx>
        <c:axId val="1961947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4116661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7月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'2026年07月'!$A$8:$A$38</c:f>
            </c:strRef>
          </c:cat>
          <c:val>
            <c:numRef>
              <c:f>'2026年07月'!$C$8:$C$38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'2026年07月'!$A$8:$A$38</c:f>
            </c:strRef>
          </c:cat>
          <c:val>
            <c:numRef>
              <c:f>'2026年07月'!$I$8:$I$38</c:f>
              <c:numCache/>
            </c:numRef>
          </c:val>
        </c:ser>
        <c:axId val="343076661"/>
        <c:axId val="835979452"/>
      </c:barChart>
      <c:catAx>
        <c:axId val="343076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35979452"/>
      </c:catAx>
      <c:valAx>
        <c:axId val="835979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307666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8月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'2026年08月'!$A$8:$A$38</c:f>
            </c:strRef>
          </c:cat>
          <c:val>
            <c:numRef>
              <c:f>'2026年08月'!$D$8:$D$38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'2026年08月'!$A$8:$A$38</c:f>
            </c:strRef>
          </c:cat>
          <c:val>
            <c:numRef>
              <c:f>'2026年08月'!$J$8:$J$38</c:f>
              <c:numCache/>
            </c:numRef>
          </c:val>
          <c:smooth val="1"/>
        </c:ser>
        <c:axId val="660384765"/>
        <c:axId val="1157573124"/>
      </c:lineChart>
      <c:catAx>
        <c:axId val="660384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57573124"/>
      </c:catAx>
      <c:valAx>
        <c:axId val="1157573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6038476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8月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'2026年08月'!$A$8:$A$38</c:f>
            </c:strRef>
          </c:cat>
          <c:val>
            <c:numRef>
              <c:f>'2026年08月'!$C$8:$C$38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'2026年08月'!$A$8:$A$38</c:f>
            </c:strRef>
          </c:cat>
          <c:val>
            <c:numRef>
              <c:f>'2026年08月'!$I$8:$I$38</c:f>
              <c:numCache/>
            </c:numRef>
          </c:val>
        </c:ser>
        <c:axId val="1821384683"/>
        <c:axId val="205848893"/>
      </c:barChart>
      <c:catAx>
        <c:axId val="1821384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848893"/>
      </c:catAx>
      <c:valAx>
        <c:axId val="205848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2138468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9月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'2026年09月'!$A$8:$A$37</c:f>
            </c:strRef>
          </c:cat>
          <c:val>
            <c:numRef>
              <c:f>'2026年09月'!$D$8:$D$37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'2026年09月'!$A$8:$A$37</c:f>
            </c:strRef>
          </c:cat>
          <c:val>
            <c:numRef>
              <c:f>'2026年09月'!$J$8:$J$37</c:f>
              <c:numCache/>
            </c:numRef>
          </c:val>
          <c:smooth val="1"/>
        </c:ser>
        <c:axId val="1903214288"/>
        <c:axId val="1007198214"/>
      </c:lineChart>
      <c:catAx>
        <c:axId val="190321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7198214"/>
      </c:catAx>
      <c:valAx>
        <c:axId val="1007198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0321428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9月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'2026年09月'!$A$8:$A$37</c:f>
            </c:strRef>
          </c:cat>
          <c:val>
            <c:numRef>
              <c:f>'2026年09月'!$C$8:$C$37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'2026年09月'!$A$8:$A$37</c:f>
            </c:strRef>
          </c:cat>
          <c:val>
            <c:numRef>
              <c:f>'2026年09月'!$I$8:$I$37</c:f>
              <c:numCache/>
            </c:numRef>
          </c:val>
        </c:ser>
        <c:axId val="575662358"/>
        <c:axId val="985009059"/>
      </c:barChart>
      <c:catAx>
        <c:axId val="575662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85009059"/>
      </c:catAx>
      <c:valAx>
        <c:axId val="985009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566235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10月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'2026年10月'!$A$8:$A$38</c:f>
            </c:strRef>
          </c:cat>
          <c:val>
            <c:numRef>
              <c:f>'2026年10月'!$D$8:$D$38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'2026年10月'!$A$8:$A$38</c:f>
            </c:strRef>
          </c:cat>
          <c:val>
            <c:numRef>
              <c:f>'2026年10月'!$J$8:$J$38</c:f>
              <c:numCache/>
            </c:numRef>
          </c:val>
          <c:smooth val="1"/>
        </c:ser>
        <c:axId val="1007500330"/>
        <c:axId val="1012524891"/>
      </c:lineChart>
      <c:catAx>
        <c:axId val="1007500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12524891"/>
      </c:catAx>
      <c:valAx>
        <c:axId val="1012524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750033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10月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'2026年10月'!$A$8:$A$38</c:f>
            </c:strRef>
          </c:cat>
          <c:val>
            <c:numRef>
              <c:f>'2026年10月'!$C$8:$C$38</c:f>
              <c:numCache/>
            </c:numRef>
          </c:val>
        </c:ser>
        <c:ser>
          <c:idx val="1"/>
          <c:order val="1"/>
          <c:tx>
            <c:strRef>
              <c:f>'2026年10月'!$I$7</c:f>
            </c:strRef>
          </c:tx>
          <c:invertIfNegative val="0"/>
          <c:cat>
            <c:strRef>
              <c:f>'2026年10月'!$A$8:$A$38</c:f>
            </c:strRef>
          </c:cat>
          <c:val>
            <c:numRef>
              <c:f>'2026年10月'!$I$8:$I$38</c:f>
              <c:numCache/>
            </c:numRef>
          </c:val>
        </c:ser>
        <c:axId val="2120931824"/>
        <c:axId val="182111468"/>
      </c:barChart>
      <c:catAx>
        <c:axId val="212093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2111468"/>
      </c:catAx>
      <c:valAx>
        <c:axId val="182111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093182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11月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'2026年11月'!$A$8:$A$37</c:f>
            </c:strRef>
          </c:cat>
          <c:val>
            <c:numRef>
              <c:f>'2026年11月'!$D$8:$D$37</c:f>
              <c:numCache/>
            </c:numRef>
          </c:val>
          <c:smooth val="1"/>
        </c:ser>
        <c:axId val="2141200433"/>
        <c:axId val="1535255530"/>
      </c:lineChart>
      <c:catAx>
        <c:axId val="2141200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5255530"/>
      </c:catAx>
      <c:valAx>
        <c:axId val="1535255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4120043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11月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'2026年11月'!$C$7</c:f>
            </c:strRef>
          </c:tx>
          <c:invertIfNegative val="0"/>
          <c:cat>
            <c:strRef>
              <c:f>'2026年11月'!$A$8:$A$37</c:f>
            </c:strRef>
          </c:cat>
          <c:val>
            <c:numRef>
              <c:f>'2026年11月'!$C$8:$C$37</c:f>
              <c:numCache/>
            </c:numRef>
          </c:val>
        </c:ser>
        <c:ser>
          <c:idx val="1"/>
          <c:order val="1"/>
          <c:tx>
            <c:strRef>
              <c:f>'2026年11月'!$I$7</c:f>
            </c:strRef>
          </c:tx>
          <c:invertIfNegative val="0"/>
          <c:cat>
            <c:strRef>
              <c:f>'2026年11月'!$A$8:$A$37</c:f>
            </c:strRef>
          </c:cat>
          <c:val>
            <c:numRef>
              <c:f>'2026年11月'!$I$8:$I$37</c:f>
              <c:numCache/>
            </c:numRef>
          </c:val>
        </c:ser>
        <c:axId val="1797791854"/>
        <c:axId val="1946371884"/>
      </c:barChart>
      <c:catAx>
        <c:axId val="1797791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6371884"/>
      </c:catAx>
      <c:valAx>
        <c:axId val="194637188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9779185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12月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'2026年12月'!$A$8:$A$38</c:f>
            </c:strRef>
          </c:cat>
          <c:val>
            <c:numRef>
              <c:f>'2026年12月'!$D$8:$D$38</c:f>
              <c:numCache/>
            </c:numRef>
          </c:val>
          <c:smooth val="1"/>
        </c:ser>
        <c:axId val="1715057666"/>
        <c:axId val="1184901306"/>
      </c:lineChart>
      <c:catAx>
        <c:axId val="1715057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84901306"/>
      </c:catAx>
      <c:valAx>
        <c:axId val="1184901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1505766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12月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'2026年12月'!$C$7</c:f>
            </c:strRef>
          </c:tx>
          <c:invertIfNegative val="0"/>
          <c:cat>
            <c:strRef>
              <c:f>'2026年12月'!$A$8:$A$38</c:f>
            </c:strRef>
          </c:cat>
          <c:val>
            <c:numRef>
              <c:f>'2026年12月'!$C$8:$C$38</c:f>
              <c:numCache/>
            </c:numRef>
          </c:val>
        </c:ser>
        <c:ser>
          <c:idx val="1"/>
          <c:order val="1"/>
          <c:tx>
            <c:strRef>
              <c:f>'2026年12月'!$I$7</c:f>
            </c:strRef>
          </c:tx>
          <c:invertIfNegative val="0"/>
          <c:cat>
            <c:strRef>
              <c:f>'2026年12月'!$A$8:$A$38</c:f>
            </c:strRef>
          </c:cat>
          <c:val>
            <c:numRef>
              <c:f>'2026年12月'!$I$8:$I$38</c:f>
              <c:numCache/>
            </c:numRef>
          </c:val>
        </c:ser>
        <c:axId val="607695757"/>
        <c:axId val="470710790"/>
      </c:barChart>
      <c:catAx>
        <c:axId val="607695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70710790"/>
      </c:catAx>
      <c:valAx>
        <c:axId val="47071079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0769575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'2027年01月'!$A$8:$A$38</c:f>
            </c:strRef>
          </c:cat>
          <c:val>
            <c:numRef>
              <c:f>'2027年01月'!$D$8:$D$38</c:f>
              <c:numCache/>
            </c:numRef>
          </c:val>
          <c:smooth val="1"/>
        </c:ser>
        <c:axId val="1309175091"/>
        <c:axId val="331128003"/>
      </c:lineChart>
      <c:catAx>
        <c:axId val="1309175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31128003"/>
      </c:catAx>
      <c:valAx>
        <c:axId val="331128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0917509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'2027年01月'!$C$7</c:f>
            </c:strRef>
          </c:tx>
          <c:invertIfNegative val="0"/>
          <c:cat>
            <c:strRef>
              <c:f>'2027年01月'!$A$8:$A$38</c:f>
            </c:strRef>
          </c:cat>
          <c:val>
            <c:numRef>
              <c:f>'2027年01月'!$C$8:$C$38</c:f>
              <c:numCache/>
            </c:numRef>
          </c:val>
        </c:ser>
        <c:ser>
          <c:idx val="1"/>
          <c:order val="1"/>
          <c:tx>
            <c:strRef>
              <c:f>'2027年01月'!$I$7</c:f>
            </c:strRef>
          </c:tx>
          <c:invertIfNegative val="0"/>
          <c:cat>
            <c:strRef>
              <c:f>'2027年01月'!$A$8:$A$38</c:f>
            </c:strRef>
          </c:cat>
          <c:val>
            <c:numRef>
              <c:f>'2027年01月'!$I$8:$I$38</c:f>
              <c:numCache/>
            </c:numRef>
          </c:val>
        </c:ser>
        <c:axId val="1168732951"/>
        <c:axId val="735562334"/>
      </c:barChart>
      <c:catAx>
        <c:axId val="1168732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5562334"/>
      </c:catAx>
      <c:valAx>
        <c:axId val="73556233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6873295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2月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'2027年02月'!$A$8:$A$35</c:f>
            </c:strRef>
          </c:cat>
          <c:val>
            <c:numRef>
              <c:f>'2027年02月'!$D$8:$D$35</c:f>
              <c:numCache/>
            </c:numRef>
          </c:val>
          <c:smooth val="1"/>
        </c:ser>
        <c:axId val="640563255"/>
        <c:axId val="1125163955"/>
      </c:lineChart>
      <c:catAx>
        <c:axId val="640563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5163955"/>
      </c:catAx>
      <c:valAx>
        <c:axId val="1125163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056325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2月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'2027年02月'!$C$7</c:f>
            </c:strRef>
          </c:tx>
          <c:invertIfNegative val="0"/>
          <c:cat>
            <c:strRef>
              <c:f>'2027年02月'!$A$8:$A$35</c:f>
            </c:strRef>
          </c:cat>
          <c:val>
            <c:numRef>
              <c:f>'2027年02月'!$C$8:$C$35</c:f>
              <c:numCache/>
            </c:numRef>
          </c:val>
        </c:ser>
        <c:ser>
          <c:idx val="1"/>
          <c:order val="1"/>
          <c:tx>
            <c:strRef>
              <c:f>'2027年02月'!$I$7</c:f>
            </c:strRef>
          </c:tx>
          <c:invertIfNegative val="0"/>
          <c:cat>
            <c:strRef>
              <c:f>'2027年02月'!$A$8:$A$35</c:f>
            </c:strRef>
          </c:cat>
          <c:val>
            <c:numRef>
              <c:f>'2027年02月'!$I$8:$I$35</c:f>
              <c:numCache/>
            </c:numRef>
          </c:val>
        </c:ser>
        <c:axId val="65655391"/>
        <c:axId val="802807743"/>
      </c:barChart>
      <c:catAx>
        <c:axId val="6565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02807743"/>
      </c:catAx>
      <c:valAx>
        <c:axId val="80280774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565539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3月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'2027年03月'!$A$8:$A$38</c:f>
            </c:strRef>
          </c:cat>
          <c:val>
            <c:numRef>
              <c:f>'2027年03月'!$D$8:$D$38</c:f>
              <c:numCache/>
            </c:numRef>
          </c:val>
          <c:smooth val="1"/>
        </c:ser>
        <c:axId val="1891123567"/>
        <c:axId val="39889965"/>
      </c:lineChart>
      <c:catAx>
        <c:axId val="1891123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889965"/>
      </c:catAx>
      <c:valAx>
        <c:axId val="39889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9112356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3月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'2027年03月'!$C$7</c:f>
            </c:strRef>
          </c:tx>
          <c:invertIfNegative val="0"/>
          <c:cat>
            <c:strRef>
              <c:f>'2027年03月'!$A$8:$A$38</c:f>
            </c:strRef>
          </c:cat>
          <c:val>
            <c:numRef>
              <c:f>'2027年03月'!$C$8:$C$38</c:f>
              <c:numCache/>
            </c:numRef>
          </c:val>
        </c:ser>
        <c:ser>
          <c:idx val="1"/>
          <c:order val="1"/>
          <c:tx>
            <c:strRef>
              <c:f>'2027年03月'!$I$7</c:f>
            </c:strRef>
          </c:tx>
          <c:invertIfNegative val="0"/>
          <c:cat>
            <c:strRef>
              <c:f>'2027年03月'!$A$8:$A$38</c:f>
            </c:strRef>
          </c:cat>
          <c:val>
            <c:numRef>
              <c:f>'2027年03月'!$I$8:$I$38</c:f>
              <c:numCache/>
            </c:numRef>
          </c:val>
        </c:ser>
        <c:axId val="1231442085"/>
        <c:axId val="613422181"/>
      </c:barChart>
      <c:catAx>
        <c:axId val="1231442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13422181"/>
      </c:catAx>
      <c:valAx>
        <c:axId val="61342218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3144208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47625</xdr:rowOff>
    </xdr:from>
    <xdr:ext cx="7496175" cy="3400425"/>
    <xdr:graphicFrame>
      <xdr:nvGraphicFramePr>
        <xdr:cNvPr id="1199244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47625</xdr:rowOff>
    </xdr:from>
    <xdr:ext cx="7496175" cy="3400425"/>
    <xdr:graphicFrame>
      <xdr:nvGraphicFramePr>
        <xdr:cNvPr id="121410048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47625</xdr:rowOff>
    </xdr:from>
    <xdr:ext cx="7496175" cy="3400425"/>
    <xdr:graphicFrame>
      <xdr:nvGraphicFramePr>
        <xdr:cNvPr id="17351656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14925" cy="2828925"/>
    <xdr:graphicFrame>
      <xdr:nvGraphicFramePr>
        <xdr:cNvPr id="70601457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14925" cy="2828925"/>
    <xdr:graphicFrame>
      <xdr:nvGraphicFramePr>
        <xdr:cNvPr id="44281574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150549785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14925" cy="2828925"/>
    <xdr:graphicFrame>
      <xdr:nvGraphicFramePr>
        <xdr:cNvPr id="143312736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14925" cy="2828925"/>
    <xdr:graphicFrame>
      <xdr:nvGraphicFramePr>
        <xdr:cNvPr id="204754136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14925" cy="2828925"/>
    <xdr:graphicFrame>
      <xdr:nvGraphicFramePr>
        <xdr:cNvPr id="51770662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24450" cy="2828925"/>
    <xdr:graphicFrame>
      <xdr:nvGraphicFramePr>
        <xdr:cNvPr id="187262113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14925" cy="2828925"/>
    <xdr:graphicFrame>
      <xdr:nvGraphicFramePr>
        <xdr:cNvPr id="210569477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24450" cy="2828925"/>
    <xdr:graphicFrame>
      <xdr:nvGraphicFramePr>
        <xdr:cNvPr id="345189699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14925" cy="2828925"/>
    <xdr:graphicFrame>
      <xdr:nvGraphicFramePr>
        <xdr:cNvPr id="1717334491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24450" cy="2828925"/>
    <xdr:graphicFrame>
      <xdr:nvGraphicFramePr>
        <xdr:cNvPr id="1240330412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14925" cy="2828925"/>
    <xdr:graphicFrame>
      <xdr:nvGraphicFramePr>
        <xdr:cNvPr id="127076028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24450" cy="2828925"/>
    <xdr:graphicFrame>
      <xdr:nvGraphicFramePr>
        <xdr:cNvPr id="446521435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14925" cy="2828925"/>
    <xdr:graphicFrame>
      <xdr:nvGraphicFramePr>
        <xdr:cNvPr id="799790479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24450" cy="2828925"/>
    <xdr:graphicFrame>
      <xdr:nvGraphicFramePr>
        <xdr:cNvPr id="813747245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14925" cy="2828925"/>
    <xdr:graphicFrame>
      <xdr:nvGraphicFramePr>
        <xdr:cNvPr id="1448304975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24450" cy="2828925"/>
    <xdr:graphicFrame>
      <xdr:nvGraphicFramePr>
        <xdr:cNvPr id="1379236455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14925" cy="2828925"/>
    <xdr:graphicFrame>
      <xdr:nvGraphicFramePr>
        <xdr:cNvPr id="1330444786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24450" cy="2828925"/>
    <xdr:graphicFrame>
      <xdr:nvGraphicFramePr>
        <xdr:cNvPr id="1720200458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14925" cy="2828925"/>
    <xdr:graphicFrame>
      <xdr:nvGraphicFramePr>
        <xdr:cNvPr id="1343747149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0</xdr:rowOff>
    </xdr:from>
    <xdr:ext cx="5124450" cy="2828925"/>
    <xdr:graphicFrame>
      <xdr:nvGraphicFramePr>
        <xdr:cNvPr id="799806802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40</xdr:row>
      <xdr:rowOff>0</xdr:rowOff>
    </xdr:from>
    <xdr:ext cx="5114925" cy="2828925"/>
    <xdr:graphicFrame>
      <xdr:nvGraphicFramePr>
        <xdr:cNvPr id="15685360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24450" cy="2828925"/>
    <xdr:graphicFrame>
      <xdr:nvGraphicFramePr>
        <xdr:cNvPr id="242913845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14925" cy="2828925"/>
    <xdr:graphicFrame>
      <xdr:nvGraphicFramePr>
        <xdr:cNvPr id="152648681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2.0"/>
    <col customWidth="1" min="2" max="3" width="13.0"/>
    <col customWidth="1" min="4" max="4" width="9.0"/>
    <col customWidth="1" min="5" max="6" width="13.0"/>
    <col customWidth="1" min="7" max="7" width="9.0"/>
    <col customWidth="1" min="8" max="8" width="10.0"/>
    <col customWidth="1" min="9" max="10" width="9.0"/>
    <col customWidth="1" min="11" max="11" width="11.0"/>
    <col customWidth="1" min="12" max="13" width="14.0"/>
    <col customWidth="1" min="14" max="14" width="10.0"/>
    <col customWidth="1" min="15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</row>
    <row r="4">
      <c r="A4" s="5" t="s">
        <v>2</v>
      </c>
      <c r="B4" s="6"/>
      <c r="C4" s="5" t="s">
        <v>3</v>
      </c>
      <c r="D4" s="6"/>
      <c r="E4" s="5" t="s">
        <v>4</v>
      </c>
      <c r="F4" s="6"/>
      <c r="G4" s="5" t="s">
        <v>5</v>
      </c>
      <c r="H4" s="6"/>
      <c r="I4" s="5" t="s">
        <v>6</v>
      </c>
      <c r="J4" s="6"/>
    </row>
    <row r="5">
      <c r="A5" s="7">
        <f>IF('設定'!$B$5=0,SUM(B8:B19),'設定'!$B$5)</f>
        <v>142952527</v>
      </c>
      <c r="B5" s="6"/>
      <c r="C5" s="7">
        <f>SUM(C8:C19)</f>
        <v>34259237</v>
      </c>
      <c r="D5" s="6"/>
      <c r="E5" s="8">
        <f>IFERROR(C5/A5,0)</f>
        <v>0.2396546442</v>
      </c>
      <c r="F5" s="6"/>
      <c r="G5" s="8">
        <f>IFERROR(SUMIFS($C$8:$C$19,$C$8:$C$19,"&gt;0",$B$8:$B$19,"&gt;0")/SUMIFS($B$8:$B$19,$C$8:$C$19,"&gt;0",$B$8:$B$19,"&gt;0"),0)</f>
        <v>0.433921982</v>
      </c>
      <c r="H5" s="6"/>
      <c r="I5" s="7">
        <f>A5-C5</f>
        <v>108693290</v>
      </c>
      <c r="J5" s="6"/>
    </row>
    <row r="7" ht="30.0" customHeight="1">
      <c r="A7" s="9" t="s">
        <v>7</v>
      </c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  <c r="K7" s="9" t="s">
        <v>17</v>
      </c>
      <c r="L7" s="9" t="s">
        <v>18</v>
      </c>
      <c r="M7" s="9" t="s">
        <v>19</v>
      </c>
      <c r="N7" s="9" t="s">
        <v>20</v>
      </c>
    </row>
    <row r="8">
      <c r="A8" s="10" t="s">
        <v>21</v>
      </c>
      <c r="B8" s="11">
        <f>'2026年04月'!$A$4</f>
        <v>6927491</v>
      </c>
      <c r="C8" s="11">
        <f>'2026年04月'!$C$4</f>
        <v>6331814</v>
      </c>
      <c r="D8" s="12">
        <f t="shared" ref="D8:D19" si="1">IF(C8=0,"",IFERROR(C8/B8,""))</f>
        <v>0.9140125913</v>
      </c>
      <c r="E8" s="11">
        <f t="shared" ref="E8:E19" si="2">C8-B8</f>
        <v>-595677</v>
      </c>
      <c r="F8" s="11" t="str">
        <f>IF('設定'!C8="","",'設定'!C8)</f>
        <v/>
      </c>
      <c r="G8" s="12" t="str">
        <f t="shared" ref="G8:G19" si="3">IF(OR(F8="",C8=0),"",IFERROR(C8/F8,""))</f>
        <v/>
      </c>
      <c r="H8" s="13">
        <f>'2026年04月'!$N$38</f>
        <v>306</v>
      </c>
      <c r="I8" s="13">
        <f>'2026年04月'!$P$38</f>
        <v>938</v>
      </c>
      <c r="J8" s="12">
        <f t="shared" ref="J8:J20" si="4">IFERROR(H8/I8,0)</f>
        <v>0.3262260128</v>
      </c>
      <c r="K8" s="11">
        <f t="shared" ref="K8:K20" si="5">IFERROR(C8/H8,0)</f>
        <v>20692.20261</v>
      </c>
      <c r="L8" s="11">
        <f t="shared" ref="L8:L19" si="6">IF(C8=0,"",SUM($B$8:B8))</f>
        <v>6927491</v>
      </c>
      <c r="M8" s="11">
        <f t="shared" ref="M8:M19" si="7">IF(C8=0,"",SUM($C$8:C8))</f>
        <v>6331814</v>
      </c>
      <c r="N8" s="12">
        <f t="shared" ref="N8:N19" si="8">IF(M8="","",IFERROR(M8/L8,0))</f>
        <v>0.9140125913</v>
      </c>
    </row>
    <row r="9">
      <c r="A9" s="14" t="s">
        <v>22</v>
      </c>
      <c r="B9" s="15">
        <f>'2026年05月'!$A$4</f>
        <v>6625036</v>
      </c>
      <c r="C9" s="15">
        <f>'2026年05月'!$C$4</f>
        <v>6030095</v>
      </c>
      <c r="D9" s="16">
        <f t="shared" si="1"/>
        <v>0.9101980729</v>
      </c>
      <c r="E9" s="15">
        <f t="shared" si="2"/>
        <v>-594941</v>
      </c>
      <c r="F9" s="15" t="str">
        <f>IF('設定'!C9="","",'設定'!C9)</f>
        <v/>
      </c>
      <c r="G9" s="16" t="str">
        <f t="shared" si="3"/>
        <v/>
      </c>
      <c r="H9" s="17">
        <f>'2026年05月'!$N$39</f>
        <v>285</v>
      </c>
      <c r="I9" s="17">
        <f>'2026年05月'!$P$39</f>
        <v>1055</v>
      </c>
      <c r="J9" s="16">
        <f t="shared" si="4"/>
        <v>0.2701421801</v>
      </c>
      <c r="K9" s="15">
        <f t="shared" si="5"/>
        <v>21158.22807</v>
      </c>
      <c r="L9" s="15">
        <f t="shared" si="6"/>
        <v>13552527</v>
      </c>
      <c r="M9" s="15">
        <f t="shared" si="7"/>
        <v>12361909</v>
      </c>
      <c r="N9" s="16">
        <f t="shared" si="8"/>
        <v>0.9121478968</v>
      </c>
    </row>
    <row r="10">
      <c r="A10" s="10" t="s">
        <v>23</v>
      </c>
      <c r="B10" s="11">
        <f>'2026年06月'!$A$4</f>
        <v>9000000</v>
      </c>
      <c r="C10" s="11">
        <f>'2026年06月'!$C$4</f>
        <v>5200406</v>
      </c>
      <c r="D10" s="12">
        <f t="shared" si="1"/>
        <v>0.5778228889</v>
      </c>
      <c r="E10" s="11">
        <f t="shared" si="2"/>
        <v>-3799594</v>
      </c>
      <c r="F10" s="11" t="str">
        <f>IF('設定'!C10="","",'設定'!C10)</f>
        <v/>
      </c>
      <c r="G10" s="12" t="str">
        <f t="shared" si="3"/>
        <v/>
      </c>
      <c r="H10" s="13">
        <f>'2026年06月'!$N$38</f>
        <v>240</v>
      </c>
      <c r="I10" s="13">
        <f>'2026年06月'!$P$38</f>
        <v>834</v>
      </c>
      <c r="J10" s="12">
        <f t="shared" si="4"/>
        <v>0.2877697842</v>
      </c>
      <c r="K10" s="11">
        <f t="shared" si="5"/>
        <v>21668.35833</v>
      </c>
      <c r="L10" s="11">
        <f t="shared" si="6"/>
        <v>22552527</v>
      </c>
      <c r="M10" s="11">
        <f t="shared" si="7"/>
        <v>17562315</v>
      </c>
      <c r="N10" s="12">
        <f t="shared" si="8"/>
        <v>0.7787293637</v>
      </c>
    </row>
    <row r="11">
      <c r="A11" s="14" t="s">
        <v>24</v>
      </c>
      <c r="B11" s="15">
        <f>'2026年07月'!$A$4</f>
        <v>14000000</v>
      </c>
      <c r="C11" s="15">
        <f>'2026年07月'!$C$4</f>
        <v>5575024</v>
      </c>
      <c r="D11" s="16">
        <f t="shared" si="1"/>
        <v>0.398216</v>
      </c>
      <c r="E11" s="15">
        <f t="shared" si="2"/>
        <v>-8424976</v>
      </c>
      <c r="F11" s="15" t="str">
        <f>IF('設定'!C11="","",'設定'!C11)</f>
        <v/>
      </c>
      <c r="G11" s="16" t="str">
        <f t="shared" si="3"/>
        <v/>
      </c>
      <c r="H11" s="17">
        <f>'2026年07月'!$O$39</f>
        <v>241</v>
      </c>
      <c r="I11" s="17">
        <f>'2026年07月'!$Q$39</f>
        <v>793</v>
      </c>
      <c r="J11" s="16">
        <f t="shared" si="4"/>
        <v>0.3039092055</v>
      </c>
      <c r="K11" s="15">
        <f t="shared" si="5"/>
        <v>23132.87967</v>
      </c>
      <c r="L11" s="15">
        <f t="shared" si="6"/>
        <v>36552527</v>
      </c>
      <c r="M11" s="15">
        <f t="shared" si="7"/>
        <v>23137339</v>
      </c>
      <c r="N11" s="16">
        <f t="shared" si="8"/>
        <v>0.6329887671</v>
      </c>
    </row>
    <row r="12">
      <c r="A12" s="10" t="s">
        <v>25</v>
      </c>
      <c r="B12" s="11">
        <f>'2026年08月'!$A$4</f>
        <v>17400000</v>
      </c>
      <c r="C12" s="11">
        <f>'2026年08月'!$C$4</f>
        <v>4585980</v>
      </c>
      <c r="D12" s="12">
        <f t="shared" si="1"/>
        <v>0.263562069</v>
      </c>
      <c r="E12" s="11">
        <f t="shared" si="2"/>
        <v>-12814020</v>
      </c>
      <c r="F12" s="11" t="str">
        <f>IF('設定'!C12="","",'設定'!C12)</f>
        <v/>
      </c>
      <c r="G12" s="12" t="str">
        <f t="shared" si="3"/>
        <v/>
      </c>
      <c r="H12" s="13">
        <f>'2026年08月'!$O$39</f>
        <v>208</v>
      </c>
      <c r="I12" s="13">
        <f>'2026年08月'!$Q$39</f>
        <v>790</v>
      </c>
      <c r="J12" s="12">
        <f t="shared" si="4"/>
        <v>0.2632911392</v>
      </c>
      <c r="K12" s="11">
        <f t="shared" si="5"/>
        <v>22047.98077</v>
      </c>
      <c r="L12" s="11">
        <f t="shared" si="6"/>
        <v>53952527</v>
      </c>
      <c r="M12" s="11">
        <f t="shared" si="7"/>
        <v>27723319</v>
      </c>
      <c r="N12" s="12">
        <f t="shared" si="8"/>
        <v>0.513846534</v>
      </c>
    </row>
    <row r="13">
      <c r="A13" s="14" t="s">
        <v>26</v>
      </c>
      <c r="B13" s="15">
        <f>'2026年09月'!$A$4</f>
        <v>14000000</v>
      </c>
      <c r="C13" s="15">
        <f>'2026年09月'!$C$4</f>
        <v>4640983</v>
      </c>
      <c r="D13" s="16">
        <f t="shared" si="1"/>
        <v>0.3314987857</v>
      </c>
      <c r="E13" s="15">
        <f t="shared" si="2"/>
        <v>-9359017</v>
      </c>
      <c r="F13" s="15" t="str">
        <f>IF('設定'!C13="","",'設定'!C13)</f>
        <v/>
      </c>
      <c r="G13" s="16" t="str">
        <f t="shared" si="3"/>
        <v/>
      </c>
      <c r="H13" s="17">
        <f>'2026年09月'!$O$38</f>
        <v>201</v>
      </c>
      <c r="I13" s="17">
        <f>'2026年09月'!$Q$38</f>
        <v>708</v>
      </c>
      <c r="J13" s="16">
        <f t="shared" si="4"/>
        <v>0.2838983051</v>
      </c>
      <c r="K13" s="15">
        <f t="shared" si="5"/>
        <v>23089.46766</v>
      </c>
      <c r="L13" s="15">
        <f t="shared" si="6"/>
        <v>67952527</v>
      </c>
      <c r="M13" s="15">
        <f t="shared" si="7"/>
        <v>32364302</v>
      </c>
      <c r="N13" s="16">
        <f t="shared" si="8"/>
        <v>0.4762781228</v>
      </c>
    </row>
    <row r="14">
      <c r="A14" s="10" t="s">
        <v>27</v>
      </c>
      <c r="B14" s="11">
        <f>'2026年10月'!$A$4</f>
        <v>11000000</v>
      </c>
      <c r="C14" s="11">
        <f>'2026年10月'!$C$4</f>
        <v>1894935</v>
      </c>
      <c r="D14" s="12">
        <f t="shared" si="1"/>
        <v>0.1722668182</v>
      </c>
      <c r="E14" s="11">
        <f t="shared" si="2"/>
        <v>-9105065</v>
      </c>
      <c r="F14" s="11" t="str">
        <f>IF('設定'!C14="","",'設定'!C14)</f>
        <v/>
      </c>
      <c r="G14" s="12" t="str">
        <f t="shared" si="3"/>
        <v/>
      </c>
      <c r="H14" s="13">
        <f>'2026年10月'!$O$39</f>
        <v>83</v>
      </c>
      <c r="I14" s="13">
        <f>'2026年10月'!$Q$39</f>
        <v>379</v>
      </c>
      <c r="J14" s="12">
        <f t="shared" si="4"/>
        <v>0.2189973615</v>
      </c>
      <c r="K14" s="11">
        <f t="shared" si="5"/>
        <v>22830.54217</v>
      </c>
      <c r="L14" s="11">
        <f t="shared" si="6"/>
        <v>78952527</v>
      </c>
      <c r="M14" s="11">
        <f t="shared" si="7"/>
        <v>34259237</v>
      </c>
      <c r="N14" s="12">
        <f t="shared" si="8"/>
        <v>0.433921982</v>
      </c>
    </row>
    <row r="15">
      <c r="A15" s="14" t="s">
        <v>28</v>
      </c>
      <c r="B15" s="15">
        <f>'2026年11月'!$A$4</f>
        <v>12000000</v>
      </c>
      <c r="C15" s="15">
        <f>'2026年11月'!$C$4</f>
        <v>0</v>
      </c>
      <c r="D15" s="16" t="str">
        <f t="shared" si="1"/>
        <v/>
      </c>
      <c r="E15" s="15">
        <f t="shared" si="2"/>
        <v>-12000000</v>
      </c>
      <c r="F15" s="15">
        <f>IF('設定'!C15="","",'設定'!C15)</f>
        <v>3642505</v>
      </c>
      <c r="G15" s="16" t="str">
        <f t="shared" si="3"/>
        <v/>
      </c>
      <c r="H15" s="17">
        <f>'2026年11月'!$O$38</f>
        <v>0</v>
      </c>
      <c r="I15" s="17">
        <f>'2026年11月'!$Q$38</f>
        <v>0</v>
      </c>
      <c r="J15" s="16">
        <f t="shared" si="4"/>
        <v>0</v>
      </c>
      <c r="K15" s="15">
        <f t="shared" si="5"/>
        <v>0</v>
      </c>
      <c r="L15" s="15" t="str">
        <f t="shared" si="6"/>
        <v/>
      </c>
      <c r="M15" s="15" t="str">
        <f t="shared" si="7"/>
        <v/>
      </c>
      <c r="N15" s="16" t="str">
        <f t="shared" si="8"/>
        <v/>
      </c>
    </row>
    <row r="16">
      <c r="A16" s="10" t="s">
        <v>29</v>
      </c>
      <c r="B16" s="11">
        <f>'2026年12月'!$A$4</f>
        <v>14000000</v>
      </c>
      <c r="C16" s="11">
        <f>'2026年12月'!$C$4</f>
        <v>0</v>
      </c>
      <c r="D16" s="12" t="str">
        <f t="shared" si="1"/>
        <v/>
      </c>
      <c r="E16" s="11">
        <f t="shared" si="2"/>
        <v>-14000000</v>
      </c>
      <c r="F16" s="11">
        <f>IF('設定'!C16="","",'設定'!C16)</f>
        <v>9172615</v>
      </c>
      <c r="G16" s="12" t="str">
        <f t="shared" si="3"/>
        <v/>
      </c>
      <c r="H16" s="13">
        <f>'2026年12月'!$O$39</f>
        <v>0</v>
      </c>
      <c r="I16" s="13">
        <f>'2026年12月'!$Q$39</f>
        <v>0</v>
      </c>
      <c r="J16" s="12">
        <f t="shared" si="4"/>
        <v>0</v>
      </c>
      <c r="K16" s="11">
        <f t="shared" si="5"/>
        <v>0</v>
      </c>
      <c r="L16" s="11" t="str">
        <f t="shared" si="6"/>
        <v/>
      </c>
      <c r="M16" s="11" t="str">
        <f t="shared" si="7"/>
        <v/>
      </c>
      <c r="N16" s="12" t="str">
        <f t="shared" si="8"/>
        <v/>
      </c>
    </row>
    <row r="17">
      <c r="A17" s="14" t="s">
        <v>30</v>
      </c>
      <c r="B17" s="15">
        <f>'2027年01月'!$A$4</f>
        <v>15000000</v>
      </c>
      <c r="C17" s="15">
        <f>'2027年01月'!$C$4</f>
        <v>0</v>
      </c>
      <c r="D17" s="16" t="str">
        <f t="shared" si="1"/>
        <v/>
      </c>
      <c r="E17" s="15">
        <f t="shared" si="2"/>
        <v>-15000000</v>
      </c>
      <c r="F17" s="15">
        <f>IF('設定'!C17="","",'設定'!C17)</f>
        <v>6528886</v>
      </c>
      <c r="G17" s="16" t="str">
        <f t="shared" si="3"/>
        <v/>
      </c>
      <c r="H17" s="17">
        <f>'2027年01月'!$O$39</f>
        <v>0</v>
      </c>
      <c r="I17" s="17">
        <f>'2027年01月'!$Q$39</f>
        <v>0</v>
      </c>
      <c r="J17" s="16">
        <f t="shared" si="4"/>
        <v>0</v>
      </c>
      <c r="K17" s="15">
        <f t="shared" si="5"/>
        <v>0</v>
      </c>
      <c r="L17" s="15" t="str">
        <f t="shared" si="6"/>
        <v/>
      </c>
      <c r="M17" s="15" t="str">
        <f t="shared" si="7"/>
        <v/>
      </c>
      <c r="N17" s="16" t="str">
        <f t="shared" si="8"/>
        <v/>
      </c>
    </row>
    <row r="18">
      <c r="A18" s="10" t="s">
        <v>31</v>
      </c>
      <c r="B18" s="11">
        <f>'2027年02月'!$A$4</f>
        <v>12000000</v>
      </c>
      <c r="C18" s="11">
        <f>'2027年02月'!$C$4</f>
        <v>0</v>
      </c>
      <c r="D18" s="12" t="str">
        <f t="shared" si="1"/>
        <v/>
      </c>
      <c r="E18" s="11">
        <f t="shared" si="2"/>
        <v>-12000000</v>
      </c>
      <c r="F18" s="11">
        <f>IF('設定'!C18="","",'設定'!C18)</f>
        <v>4592978</v>
      </c>
      <c r="G18" s="12" t="str">
        <f t="shared" si="3"/>
        <v/>
      </c>
      <c r="H18" s="13">
        <f>'2027年02月'!$O$36</f>
        <v>0</v>
      </c>
      <c r="I18" s="13">
        <f>'2027年02月'!$Q$36</f>
        <v>0</v>
      </c>
      <c r="J18" s="12">
        <f t="shared" si="4"/>
        <v>0</v>
      </c>
      <c r="K18" s="11">
        <f t="shared" si="5"/>
        <v>0</v>
      </c>
      <c r="L18" s="11" t="str">
        <f t="shared" si="6"/>
        <v/>
      </c>
      <c r="M18" s="11" t="str">
        <f t="shared" si="7"/>
        <v/>
      </c>
      <c r="N18" s="12" t="str">
        <f t="shared" si="8"/>
        <v/>
      </c>
    </row>
    <row r="19">
      <c r="A19" s="14" t="s">
        <v>32</v>
      </c>
      <c r="B19" s="15">
        <f>'2027年03月'!$A$4</f>
        <v>11000000</v>
      </c>
      <c r="C19" s="15">
        <f>'2027年03月'!$C$4</f>
        <v>0</v>
      </c>
      <c r="D19" s="16" t="str">
        <f t="shared" si="1"/>
        <v/>
      </c>
      <c r="E19" s="15">
        <f t="shared" si="2"/>
        <v>-11000000</v>
      </c>
      <c r="F19" s="15">
        <f>IF('設定'!C19="","",'設定'!C19)</f>
        <v>5167827</v>
      </c>
      <c r="G19" s="16" t="str">
        <f t="shared" si="3"/>
        <v/>
      </c>
      <c r="H19" s="17">
        <f>'2027年03月'!$O$39</f>
        <v>0</v>
      </c>
      <c r="I19" s="17">
        <f>'2027年03月'!$Q$39</f>
        <v>0</v>
      </c>
      <c r="J19" s="16">
        <f t="shared" si="4"/>
        <v>0</v>
      </c>
      <c r="K19" s="15">
        <f t="shared" si="5"/>
        <v>0</v>
      </c>
      <c r="L19" s="15" t="str">
        <f t="shared" si="6"/>
        <v/>
      </c>
      <c r="M19" s="15" t="str">
        <f t="shared" si="7"/>
        <v/>
      </c>
      <c r="N19" s="16" t="str">
        <f t="shared" si="8"/>
        <v/>
      </c>
    </row>
    <row r="20">
      <c r="A20" s="18" t="s">
        <v>33</v>
      </c>
      <c r="B20" s="19">
        <f t="shared" ref="B20:C20" si="9">SUM(B8:B19)</f>
        <v>142952527</v>
      </c>
      <c r="C20" s="19">
        <f t="shared" si="9"/>
        <v>34259237</v>
      </c>
      <c r="D20" s="20">
        <f>IFERROR(C20/B20,0)</f>
        <v>0.2396546442</v>
      </c>
      <c r="E20" s="19">
        <f t="shared" ref="E20:F20" si="10">SUM(E8:E19)</f>
        <v>-108693290</v>
      </c>
      <c r="F20" s="19">
        <f t="shared" si="10"/>
        <v>29104811</v>
      </c>
      <c r="G20" s="20">
        <f>IFERROR(C20/F20,0)</f>
        <v>1.177098762</v>
      </c>
      <c r="H20" s="21">
        <f t="shared" ref="H20:I20" si="11">SUM(H8:H19)</f>
        <v>1564</v>
      </c>
      <c r="I20" s="21">
        <f t="shared" si="11"/>
        <v>5497</v>
      </c>
      <c r="J20" s="20">
        <f t="shared" si="4"/>
        <v>0.2845188285</v>
      </c>
      <c r="K20" s="19">
        <f t="shared" si="5"/>
        <v>21904.88299</v>
      </c>
      <c r="L20" s="19"/>
      <c r="M20" s="19"/>
      <c r="N20" s="20"/>
    </row>
    <row r="21" ht="15.75" customHeight="1"/>
    <row r="22" ht="15.75" customHeight="1">
      <c r="A22" s="22" t="s">
        <v>34</v>
      </c>
    </row>
    <row r="23" ht="15.75" customHeight="1">
      <c r="A23" s="22" t="s">
        <v>35</v>
      </c>
    </row>
    <row r="24" ht="15.75" customHeight="1">
      <c r="A24" s="23" t="s">
        <v>36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5:D5"/>
    <mergeCell ref="E5:F5"/>
    <mergeCell ref="G5:H5"/>
    <mergeCell ref="I5:J5"/>
    <mergeCell ref="A1:N1"/>
    <mergeCell ref="A4:B4"/>
    <mergeCell ref="C4:D4"/>
    <mergeCell ref="E4:F4"/>
    <mergeCell ref="G4:H4"/>
    <mergeCell ref="I4:J4"/>
    <mergeCell ref="A5:B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7" width="11.0"/>
    <col customWidth="1" min="8" max="8" width="12.0"/>
    <col customWidth="1" min="9" max="9" width="13.0"/>
    <col customWidth="1" min="10" max="11" width="9.0"/>
    <col customWidth="1" min="12" max="12" width="13.0"/>
    <col customWidth="1" min="13" max="13" width="11.0"/>
    <col customWidth="1" min="14" max="19" width="8.0"/>
    <col customWidth="1" min="20" max="20" width="11.0"/>
    <col customWidth="1" min="21" max="23" width="8.0"/>
    <col customWidth="1" min="24" max="24" width="10.0"/>
    <col customWidth="1" min="25" max="25" width="9.0"/>
    <col customWidth="1" min="26" max="26" width="28.0"/>
    <col customWidth="1" min="27" max="27" width="3.0"/>
    <col customWidth="1" min="28" max="28" width="5.0"/>
    <col customWidth="1" min="29" max="29" width="13.0"/>
    <col customWidth="1" min="30" max="30" width="12.0"/>
    <col customWidth="1" min="31" max="31" width="9.0"/>
    <col customWidth="1" min="32" max="32" width="11.0"/>
    <col customWidth="1" min="33" max="35" width="9.0"/>
    <col customWidth="1" min="36" max="36" width="8.0"/>
  </cols>
  <sheetData>
    <row r="1" ht="27.75" customHeight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39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IF('設定'!$B$8="",SUM(C8:C37),'設定'!$B$8)</f>
        <v>6927491</v>
      </c>
      <c r="B4" s="6"/>
      <c r="C4" s="7">
        <f>SUM(H8:H37)</f>
        <v>6331814</v>
      </c>
      <c r="D4" s="6"/>
      <c r="E4" s="8">
        <f>IFERROR(C4/A4,0)</f>
        <v>0.9140125913</v>
      </c>
      <c r="F4" s="6"/>
      <c r="G4" s="25">
        <f>COUNTIF(H8:H37,"&gt;0")</f>
        <v>30</v>
      </c>
      <c r="H4" s="6"/>
      <c r="I4" s="7">
        <f>A4-C4</f>
        <v>595677</v>
      </c>
      <c r="J4" s="6"/>
      <c r="K4" s="7">
        <f>IF((30-G4)&gt;0,(A4-C4)/(30-G4),0)</f>
        <v>0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SUM(C8:C37)</f>
        <v>10200000</v>
      </c>
      <c r="B6" s="6"/>
      <c r="C6" s="7">
        <f>IFERROR(C4/G4*30,0)</f>
        <v>6331814</v>
      </c>
      <c r="D6" s="6"/>
      <c r="E6" s="8">
        <f>IFERROR(N38/P38,0)</f>
        <v>0.3262260128</v>
      </c>
      <c r="F6" s="6"/>
      <c r="G6" s="7">
        <f>IFERROR(H38/N38,0)</f>
        <v>20692.20261</v>
      </c>
      <c r="H6" s="6"/>
      <c r="I6" s="26">
        <f>IFERROR(O38/N38,0)</f>
        <v>1.104575163</v>
      </c>
      <c r="J6" s="6"/>
      <c r="K6" s="8">
        <f>IFERROR(Q38/P38,0)</f>
        <v>0.4754797441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50</v>
      </c>
      <c r="H7" s="9" t="s">
        <v>51</v>
      </c>
      <c r="I7" s="9" t="s">
        <v>19</v>
      </c>
      <c r="J7" s="9" t="s">
        <v>52</v>
      </c>
      <c r="K7" s="9" t="s">
        <v>53</v>
      </c>
      <c r="L7" s="9" t="s">
        <v>54</v>
      </c>
      <c r="M7" s="9" t="s">
        <v>55</v>
      </c>
      <c r="N7" s="9" t="s">
        <v>14</v>
      </c>
      <c r="O7" s="9" t="s">
        <v>56</v>
      </c>
      <c r="P7" s="9" t="s">
        <v>15</v>
      </c>
      <c r="Q7" s="9" t="s">
        <v>57</v>
      </c>
      <c r="R7" s="9" t="s">
        <v>58</v>
      </c>
      <c r="S7" s="9" t="s">
        <v>16</v>
      </c>
      <c r="T7" s="9" t="s">
        <v>17</v>
      </c>
      <c r="U7" s="9" t="s">
        <v>43</v>
      </c>
      <c r="V7" s="9" t="s">
        <v>44</v>
      </c>
      <c r="W7" s="9" t="s">
        <v>59</v>
      </c>
      <c r="X7" s="9" t="s">
        <v>60</v>
      </c>
      <c r="Y7" s="9" t="s">
        <v>61</v>
      </c>
      <c r="Z7" s="9" t="s">
        <v>62</v>
      </c>
      <c r="AB7" s="27" t="s">
        <v>63</v>
      </c>
      <c r="AC7" s="27" t="s">
        <v>64</v>
      </c>
      <c r="AD7" s="27" t="s">
        <v>65</v>
      </c>
      <c r="AE7" s="27" t="s">
        <v>16</v>
      </c>
      <c r="AF7" s="27" t="s">
        <v>17</v>
      </c>
    </row>
    <row r="8">
      <c r="A8" s="28">
        <v>46113.0</v>
      </c>
      <c r="B8" s="10" t="str">
        <f t="shared" ref="B8:B37" si="2">MID("日月火水木金土",WEEKDAY(A8),1)</f>
        <v>水</v>
      </c>
      <c r="C8" s="29">
        <v>200000.0</v>
      </c>
      <c r="D8" s="11">
        <f t="shared" ref="D8:D37" si="3">SUM($C$8:C8)</f>
        <v>200000</v>
      </c>
      <c r="E8" s="29">
        <v>60638.0</v>
      </c>
      <c r="F8" s="29">
        <v>107470.0</v>
      </c>
      <c r="G8" s="29">
        <v>-17706.0</v>
      </c>
      <c r="H8" s="11">
        <f t="shared" ref="H8:H37" si="4">IF(COUNT(E8:G8)=0,"",SUM(E8:G8))</f>
        <v>150402</v>
      </c>
      <c r="I8" s="11">
        <f t="shared" ref="I8:I37" si="5">IF(H8="","",SUM($H$8:H8))</f>
        <v>150402</v>
      </c>
      <c r="J8" s="12">
        <f t="shared" ref="J8:K8" si="1">IF(H8="","",IFERROR(H8/C8,""))</f>
        <v>0.75201</v>
      </c>
      <c r="K8" s="12">
        <f t="shared" si="1"/>
        <v>0.75201</v>
      </c>
      <c r="L8" s="11">
        <f t="shared" ref="L8:L37" si="7">IF(I8="","",IF(D8=0,"",I8-D8))</f>
        <v>-49598</v>
      </c>
      <c r="M8" s="30" t="str">
        <f t="shared" ref="M8:M37" si="8">IF(H8="","—",IF(D8=0,"予算未入力",IF(I8&gt;=D8,"◎ ペース内","▲ 遅れ")))</f>
        <v>▲ 遅れ</v>
      </c>
      <c r="N8" s="31">
        <v>8.0</v>
      </c>
      <c r="O8" s="31">
        <v>8.0</v>
      </c>
      <c r="P8" s="31">
        <v>20.0</v>
      </c>
      <c r="Q8" s="31">
        <v>13.0</v>
      </c>
      <c r="R8" s="31"/>
      <c r="S8" s="12">
        <f t="shared" ref="S8:S38" si="9">IFERROR(N8/P8,"")</f>
        <v>0.4</v>
      </c>
      <c r="T8" s="11">
        <f t="shared" ref="T8:T38" si="10">IFERROR(H8/N8,"")</f>
        <v>18800.25</v>
      </c>
      <c r="U8" s="32">
        <f t="shared" ref="U8:U38" si="11">IFERROR(O8/N8,"")</f>
        <v>1</v>
      </c>
      <c r="V8" s="12">
        <f t="shared" ref="V8:V38" si="12">IFERROR(Q8/P8,"")</f>
        <v>0.65</v>
      </c>
      <c r="W8" s="31"/>
      <c r="X8" s="31">
        <v>8054.0</v>
      </c>
      <c r="Y8" s="29">
        <v>0.0</v>
      </c>
      <c r="Z8" s="33"/>
      <c r="AB8" s="34" t="s">
        <v>7</v>
      </c>
      <c r="AC8" s="35">
        <f t="shared" ref="AC8:AC14" si="13">IFERROR(AVERAGEIFS($H$8:$H$37,$B$8:$B$37,AB8,$H$8:$H$37,"&gt;0"),0)</f>
        <v>146293.25</v>
      </c>
      <c r="AD8" s="36">
        <f t="shared" ref="AD8:AD14" si="14">COUNTIFS($B$8:$B$37,AB8,$H$8:$H$37,"&gt;0")</f>
        <v>4</v>
      </c>
      <c r="AE8" s="37">
        <f t="shared" ref="AE8:AE14" si="15">IFERROR(SUMIF($B$8:$B$37,AB8,$N$8:$N$37)/SUMIF($B$8:$B$37,AB8,$P$8:$P$37),0)</f>
        <v>0.2612612613</v>
      </c>
      <c r="AF8" s="35">
        <f t="shared" ref="AF8:AF14" si="16">IFERROR(SUMIF($B$8:$B$37,AB8,$H$8:$H$37)/SUMIF($B$8:$B$37,AB8,$N$8:$N$37),0)</f>
        <v>20178.37931</v>
      </c>
    </row>
    <row r="9">
      <c r="A9" s="38">
        <v>46114.0</v>
      </c>
      <c r="B9" s="14" t="str">
        <f t="shared" si="2"/>
        <v>木</v>
      </c>
      <c r="C9" s="29">
        <v>200000.0</v>
      </c>
      <c r="D9" s="15">
        <f t="shared" si="3"/>
        <v>400000</v>
      </c>
      <c r="E9" s="29">
        <v>40392.0</v>
      </c>
      <c r="F9" s="29">
        <v>236347.0</v>
      </c>
      <c r="G9" s="29">
        <v>21879.0</v>
      </c>
      <c r="H9" s="15">
        <f t="shared" si="4"/>
        <v>298618</v>
      </c>
      <c r="I9" s="15">
        <f t="shared" si="5"/>
        <v>449020</v>
      </c>
      <c r="J9" s="16">
        <f t="shared" ref="J9:K9" si="6">IF(H9="","",IFERROR(H9/C9,""))</f>
        <v>1.49309</v>
      </c>
      <c r="K9" s="16">
        <f t="shared" si="6"/>
        <v>1.12255</v>
      </c>
      <c r="L9" s="15">
        <f t="shared" si="7"/>
        <v>49020</v>
      </c>
      <c r="M9" s="39" t="str">
        <f t="shared" si="8"/>
        <v>◎ ペース内</v>
      </c>
      <c r="N9" s="31">
        <v>13.0</v>
      </c>
      <c r="O9" s="31">
        <v>15.0</v>
      </c>
      <c r="P9" s="31">
        <v>33.0</v>
      </c>
      <c r="Q9" s="31">
        <v>13.0</v>
      </c>
      <c r="R9" s="31"/>
      <c r="S9" s="16">
        <f t="shared" si="9"/>
        <v>0.3939393939</v>
      </c>
      <c r="T9" s="15">
        <f t="shared" si="10"/>
        <v>22970.61538</v>
      </c>
      <c r="U9" s="40">
        <f t="shared" si="11"/>
        <v>1.153846154</v>
      </c>
      <c r="V9" s="16">
        <f t="shared" si="12"/>
        <v>0.3939393939</v>
      </c>
      <c r="W9" s="31"/>
      <c r="X9" s="31">
        <v>8108.0</v>
      </c>
      <c r="Y9" s="29">
        <v>0.0</v>
      </c>
      <c r="Z9" s="33"/>
      <c r="AB9" s="34" t="s">
        <v>66</v>
      </c>
      <c r="AC9" s="35">
        <f t="shared" si="13"/>
        <v>107222</v>
      </c>
      <c r="AD9" s="36">
        <f t="shared" si="14"/>
        <v>4</v>
      </c>
      <c r="AE9" s="37">
        <f t="shared" si="15"/>
        <v>0.256097561</v>
      </c>
      <c r="AF9" s="35">
        <f t="shared" si="16"/>
        <v>20423.2381</v>
      </c>
    </row>
    <row r="10">
      <c r="A10" s="28">
        <v>46115.0</v>
      </c>
      <c r="B10" s="10" t="str">
        <f t="shared" si="2"/>
        <v>金</v>
      </c>
      <c r="C10" s="29">
        <v>200000.0</v>
      </c>
      <c r="D10" s="11">
        <f t="shared" si="3"/>
        <v>600000</v>
      </c>
      <c r="E10" s="29">
        <v>64598.0</v>
      </c>
      <c r="F10" s="29">
        <v>67348.0</v>
      </c>
      <c r="G10" s="29">
        <v>30860.0</v>
      </c>
      <c r="H10" s="11">
        <f t="shared" si="4"/>
        <v>162806</v>
      </c>
      <c r="I10" s="11">
        <f t="shared" si="5"/>
        <v>611826</v>
      </c>
      <c r="J10" s="12">
        <f t="shared" ref="J10:K10" si="17">IF(H10="","",IFERROR(H10/C10,""))</f>
        <v>0.81403</v>
      </c>
      <c r="K10" s="12">
        <f t="shared" si="17"/>
        <v>1.01971</v>
      </c>
      <c r="L10" s="11">
        <f t="shared" si="7"/>
        <v>11826</v>
      </c>
      <c r="M10" s="30" t="str">
        <f t="shared" si="8"/>
        <v>◎ ペース内</v>
      </c>
      <c r="N10" s="31">
        <v>8.0</v>
      </c>
      <c r="O10" s="31">
        <v>8.0</v>
      </c>
      <c r="P10" s="31">
        <v>36.0</v>
      </c>
      <c r="Q10" s="31">
        <v>8.0</v>
      </c>
      <c r="R10" s="31"/>
      <c r="S10" s="12">
        <f t="shared" si="9"/>
        <v>0.2222222222</v>
      </c>
      <c r="T10" s="11">
        <f t="shared" si="10"/>
        <v>20350.75</v>
      </c>
      <c r="U10" s="32">
        <f t="shared" si="11"/>
        <v>1</v>
      </c>
      <c r="V10" s="12">
        <f t="shared" si="12"/>
        <v>0.2222222222</v>
      </c>
      <c r="W10" s="31"/>
      <c r="X10" s="31">
        <v>8167.0</v>
      </c>
      <c r="Y10" s="29">
        <v>0.0</v>
      </c>
      <c r="Z10" s="33"/>
      <c r="AB10" s="34" t="s">
        <v>67</v>
      </c>
      <c r="AC10" s="35">
        <f t="shared" si="13"/>
        <v>205001.8</v>
      </c>
      <c r="AD10" s="36">
        <f t="shared" si="14"/>
        <v>5</v>
      </c>
      <c r="AE10" s="37">
        <f t="shared" si="15"/>
        <v>0.3805970149</v>
      </c>
      <c r="AF10" s="35">
        <f t="shared" si="16"/>
        <v>20098.21569</v>
      </c>
    </row>
    <row r="11">
      <c r="A11" s="38">
        <v>46116.0</v>
      </c>
      <c r="B11" s="14" t="str">
        <f t="shared" si="2"/>
        <v>土</v>
      </c>
      <c r="C11" s="29">
        <v>500000.0</v>
      </c>
      <c r="D11" s="15">
        <f t="shared" si="3"/>
        <v>1100000</v>
      </c>
      <c r="E11" s="29">
        <v>43430.0</v>
      </c>
      <c r="F11" s="29">
        <v>269270.0</v>
      </c>
      <c r="G11" s="29">
        <v>-8261.0</v>
      </c>
      <c r="H11" s="15">
        <f t="shared" si="4"/>
        <v>304439</v>
      </c>
      <c r="I11" s="15">
        <f t="shared" si="5"/>
        <v>916265</v>
      </c>
      <c r="J11" s="16">
        <f t="shared" ref="J11:K11" si="18">IF(H11="","",IFERROR(H11/C11,""))</f>
        <v>0.608878</v>
      </c>
      <c r="K11" s="16">
        <f t="shared" si="18"/>
        <v>0.8329681818</v>
      </c>
      <c r="L11" s="15">
        <f t="shared" si="7"/>
        <v>-183735</v>
      </c>
      <c r="M11" s="39" t="str">
        <f t="shared" si="8"/>
        <v>▲ 遅れ</v>
      </c>
      <c r="N11" s="31">
        <v>14.0</v>
      </c>
      <c r="O11" s="31">
        <v>26.0</v>
      </c>
      <c r="P11" s="31">
        <v>43.0</v>
      </c>
      <c r="Q11" s="31">
        <v>38.0</v>
      </c>
      <c r="R11" s="31"/>
      <c r="S11" s="16">
        <f t="shared" si="9"/>
        <v>0.3255813953</v>
      </c>
      <c r="T11" s="15">
        <f t="shared" si="10"/>
        <v>21745.64286</v>
      </c>
      <c r="U11" s="40">
        <f t="shared" si="11"/>
        <v>1.857142857</v>
      </c>
      <c r="V11" s="16">
        <f t="shared" si="12"/>
        <v>0.8837209302</v>
      </c>
      <c r="W11" s="31"/>
      <c r="X11" s="31">
        <v>8220.0</v>
      </c>
      <c r="Y11" s="29">
        <v>0.0</v>
      </c>
      <c r="Z11" s="33"/>
      <c r="AB11" s="34" t="s">
        <v>68</v>
      </c>
      <c r="AC11" s="35">
        <f t="shared" si="13"/>
        <v>223738.4</v>
      </c>
      <c r="AD11" s="36">
        <f t="shared" si="14"/>
        <v>5</v>
      </c>
      <c r="AE11" s="37">
        <f t="shared" si="15"/>
        <v>0.3630136986</v>
      </c>
      <c r="AF11" s="35">
        <f t="shared" si="16"/>
        <v>21107.39623</v>
      </c>
    </row>
    <row r="12">
      <c r="A12" s="28">
        <v>46117.0</v>
      </c>
      <c r="B12" s="10" t="str">
        <f t="shared" si="2"/>
        <v>日</v>
      </c>
      <c r="C12" s="29">
        <v>400000.0</v>
      </c>
      <c r="D12" s="11">
        <f t="shared" si="3"/>
        <v>1500000</v>
      </c>
      <c r="E12" s="29">
        <v>72199.0</v>
      </c>
      <c r="F12" s="29">
        <v>144030.0</v>
      </c>
      <c r="G12" s="29">
        <v>101108.0</v>
      </c>
      <c r="H12" s="11">
        <f t="shared" si="4"/>
        <v>317337</v>
      </c>
      <c r="I12" s="11">
        <f t="shared" si="5"/>
        <v>1233602</v>
      </c>
      <c r="J12" s="12">
        <f t="shared" ref="J12:K12" si="19">IF(H12="","",IFERROR(H12/C12,""))</f>
        <v>0.7933425</v>
      </c>
      <c r="K12" s="12">
        <f t="shared" si="19"/>
        <v>0.8224013333</v>
      </c>
      <c r="L12" s="11">
        <f t="shared" si="7"/>
        <v>-266398</v>
      </c>
      <c r="M12" s="30" t="str">
        <f t="shared" si="8"/>
        <v>▲ 遅れ</v>
      </c>
      <c r="N12" s="31">
        <v>15.0</v>
      </c>
      <c r="O12" s="31">
        <v>15.0</v>
      </c>
      <c r="P12" s="31">
        <v>51.0</v>
      </c>
      <c r="Q12" s="31">
        <v>31.0</v>
      </c>
      <c r="R12" s="31"/>
      <c r="S12" s="12">
        <f t="shared" si="9"/>
        <v>0.2941176471</v>
      </c>
      <c r="T12" s="11">
        <f t="shared" si="10"/>
        <v>21155.8</v>
      </c>
      <c r="U12" s="32">
        <f t="shared" si="11"/>
        <v>1</v>
      </c>
      <c r="V12" s="12">
        <f t="shared" si="12"/>
        <v>0.6078431373</v>
      </c>
      <c r="W12" s="31"/>
      <c r="X12" s="31">
        <v>8287.0</v>
      </c>
      <c r="Y12" s="29">
        <v>0.0</v>
      </c>
      <c r="Z12" s="33"/>
      <c r="AB12" s="34" t="s">
        <v>69</v>
      </c>
      <c r="AC12" s="35">
        <f t="shared" si="13"/>
        <v>168889.75</v>
      </c>
      <c r="AD12" s="36">
        <f t="shared" si="14"/>
        <v>4</v>
      </c>
      <c r="AE12" s="37">
        <f t="shared" si="15"/>
        <v>0.2869565217</v>
      </c>
      <c r="AF12" s="35">
        <f t="shared" si="16"/>
        <v>20471.48485</v>
      </c>
    </row>
    <row r="13">
      <c r="A13" s="38">
        <v>46118.0</v>
      </c>
      <c r="B13" s="14" t="str">
        <f t="shared" si="2"/>
        <v>月</v>
      </c>
      <c r="C13" s="29">
        <v>300000.0</v>
      </c>
      <c r="D13" s="15">
        <f t="shared" si="3"/>
        <v>1800000</v>
      </c>
      <c r="E13" s="29">
        <v>23810.0</v>
      </c>
      <c r="F13" s="29">
        <v>150520.0</v>
      </c>
      <c r="G13" s="29">
        <v>4780.0</v>
      </c>
      <c r="H13" s="15">
        <f t="shared" si="4"/>
        <v>179110</v>
      </c>
      <c r="I13" s="15">
        <f t="shared" si="5"/>
        <v>1412712</v>
      </c>
      <c r="J13" s="16">
        <f t="shared" ref="J13:K13" si="20">IF(H13="","",IFERROR(H13/C13,""))</f>
        <v>0.5970333333</v>
      </c>
      <c r="K13" s="16">
        <f t="shared" si="20"/>
        <v>0.78484</v>
      </c>
      <c r="L13" s="15">
        <f t="shared" si="7"/>
        <v>-387288</v>
      </c>
      <c r="M13" s="39" t="str">
        <f t="shared" si="8"/>
        <v>▲ 遅れ</v>
      </c>
      <c r="N13" s="31">
        <v>8.0</v>
      </c>
      <c r="O13" s="31">
        <v>9.0</v>
      </c>
      <c r="P13" s="31">
        <v>21.0</v>
      </c>
      <c r="Q13" s="31">
        <v>8.0</v>
      </c>
      <c r="R13" s="31"/>
      <c r="S13" s="16">
        <f t="shared" si="9"/>
        <v>0.380952381</v>
      </c>
      <c r="T13" s="15">
        <f t="shared" si="10"/>
        <v>22388.75</v>
      </c>
      <c r="U13" s="40">
        <f t="shared" si="11"/>
        <v>1.125</v>
      </c>
      <c r="V13" s="16">
        <f t="shared" si="12"/>
        <v>0.380952381</v>
      </c>
      <c r="W13" s="31"/>
      <c r="X13" s="31">
        <v>8332.0</v>
      </c>
      <c r="Y13" s="29">
        <v>0.0</v>
      </c>
      <c r="Z13" s="33"/>
      <c r="AB13" s="34" t="s">
        <v>70</v>
      </c>
      <c r="AC13" s="35">
        <f t="shared" si="13"/>
        <v>277896.75</v>
      </c>
      <c r="AD13" s="36">
        <f t="shared" si="14"/>
        <v>4</v>
      </c>
      <c r="AE13" s="37">
        <f t="shared" si="15"/>
        <v>0.2810810811</v>
      </c>
      <c r="AF13" s="35">
        <f t="shared" si="16"/>
        <v>21376.67308</v>
      </c>
    </row>
    <row r="14">
      <c r="A14" s="28">
        <v>46119.0</v>
      </c>
      <c r="B14" s="10" t="str">
        <f t="shared" si="2"/>
        <v>火</v>
      </c>
      <c r="C14" s="29">
        <v>300000.0</v>
      </c>
      <c r="D14" s="11">
        <f t="shared" si="3"/>
        <v>2100000</v>
      </c>
      <c r="E14" s="29">
        <v>0.0</v>
      </c>
      <c r="F14" s="29">
        <v>14520.0</v>
      </c>
      <c r="G14" s="29">
        <v>-1320.0</v>
      </c>
      <c r="H14" s="11">
        <f t="shared" si="4"/>
        <v>13200</v>
      </c>
      <c r="I14" s="11">
        <f t="shared" si="5"/>
        <v>1425912</v>
      </c>
      <c r="J14" s="12">
        <f t="shared" ref="J14:K14" si="21">IF(H14="","",IFERROR(H14/C14,""))</f>
        <v>0.044</v>
      </c>
      <c r="K14" s="12">
        <f t="shared" si="21"/>
        <v>0.6790057143</v>
      </c>
      <c r="L14" s="11">
        <f t="shared" si="7"/>
        <v>-674088</v>
      </c>
      <c r="M14" s="30" t="str">
        <f t="shared" si="8"/>
        <v>▲ 遅れ</v>
      </c>
      <c r="N14" s="31">
        <v>1.0</v>
      </c>
      <c r="O14" s="31">
        <v>1.0</v>
      </c>
      <c r="P14" s="31">
        <v>8.0</v>
      </c>
      <c r="Q14" s="31">
        <v>3.0</v>
      </c>
      <c r="R14" s="31"/>
      <c r="S14" s="12">
        <f t="shared" si="9"/>
        <v>0.125</v>
      </c>
      <c r="T14" s="11">
        <f t="shared" si="10"/>
        <v>13200</v>
      </c>
      <c r="U14" s="32">
        <f t="shared" si="11"/>
        <v>1</v>
      </c>
      <c r="V14" s="12">
        <f t="shared" si="12"/>
        <v>0.375</v>
      </c>
      <c r="W14" s="31"/>
      <c r="X14" s="31">
        <v>8329.0</v>
      </c>
      <c r="Y14" s="29">
        <v>0.0</v>
      </c>
      <c r="Z14" s="33"/>
      <c r="AB14" s="34" t="s">
        <v>71</v>
      </c>
      <c r="AC14" s="35">
        <f t="shared" si="13"/>
        <v>346726.5</v>
      </c>
      <c r="AD14" s="36">
        <f t="shared" si="14"/>
        <v>4</v>
      </c>
      <c r="AE14" s="37">
        <f t="shared" si="15"/>
        <v>0.4060606061</v>
      </c>
      <c r="AF14" s="35">
        <f t="shared" si="16"/>
        <v>20700.08955</v>
      </c>
    </row>
    <row r="15">
      <c r="A15" s="38">
        <v>46120.0</v>
      </c>
      <c r="B15" s="14" t="str">
        <f t="shared" si="2"/>
        <v>水</v>
      </c>
      <c r="C15" s="29">
        <v>300000.0</v>
      </c>
      <c r="D15" s="15">
        <f t="shared" si="3"/>
        <v>2400000</v>
      </c>
      <c r="E15" s="29">
        <v>21610.0</v>
      </c>
      <c r="F15" s="29">
        <v>50320.0</v>
      </c>
      <c r="G15" s="29">
        <v>15074.0</v>
      </c>
      <c r="H15" s="15">
        <f t="shared" si="4"/>
        <v>87004</v>
      </c>
      <c r="I15" s="15">
        <f t="shared" si="5"/>
        <v>1512916</v>
      </c>
      <c r="J15" s="16">
        <f t="shared" ref="J15:K15" si="22">IF(H15="","",IFERROR(H15/C15,""))</f>
        <v>0.2900133333</v>
      </c>
      <c r="K15" s="16">
        <f t="shared" si="22"/>
        <v>0.6303816667</v>
      </c>
      <c r="L15" s="15">
        <f t="shared" si="7"/>
        <v>-887084</v>
      </c>
      <c r="M15" s="39" t="str">
        <f t="shared" si="8"/>
        <v>▲ 遅れ</v>
      </c>
      <c r="N15" s="31">
        <v>4.0</v>
      </c>
      <c r="O15" s="31">
        <v>4.0</v>
      </c>
      <c r="P15" s="31">
        <v>18.0</v>
      </c>
      <c r="Q15" s="31">
        <v>10.0</v>
      </c>
      <c r="R15" s="31"/>
      <c r="S15" s="16">
        <f t="shared" si="9"/>
        <v>0.2222222222</v>
      </c>
      <c r="T15" s="15">
        <f t="shared" si="10"/>
        <v>21751</v>
      </c>
      <c r="U15" s="40">
        <f t="shared" si="11"/>
        <v>1</v>
      </c>
      <c r="V15" s="16">
        <f t="shared" si="12"/>
        <v>0.5555555556</v>
      </c>
      <c r="W15" s="31"/>
      <c r="X15" s="31">
        <v>8331.0</v>
      </c>
      <c r="Y15" s="29">
        <v>0.0</v>
      </c>
      <c r="Z15" s="33"/>
    </row>
    <row r="16">
      <c r="A16" s="28">
        <v>46121.0</v>
      </c>
      <c r="B16" s="10" t="str">
        <f t="shared" si="2"/>
        <v>木</v>
      </c>
      <c r="C16" s="29">
        <v>300000.0</v>
      </c>
      <c r="D16" s="11">
        <f t="shared" si="3"/>
        <v>2700000</v>
      </c>
      <c r="E16" s="29">
        <v>21500.0</v>
      </c>
      <c r="F16" s="29">
        <v>23810.0</v>
      </c>
      <c r="G16" s="29">
        <v>43321.0</v>
      </c>
      <c r="H16" s="11">
        <f t="shared" si="4"/>
        <v>88631</v>
      </c>
      <c r="I16" s="11">
        <f t="shared" si="5"/>
        <v>1601547</v>
      </c>
      <c r="J16" s="12">
        <f t="shared" ref="J16:K16" si="23">IF(H16="","",IFERROR(H16/C16,""))</f>
        <v>0.2954366667</v>
      </c>
      <c r="K16" s="12">
        <f t="shared" si="23"/>
        <v>0.5931655556</v>
      </c>
      <c r="L16" s="11">
        <f t="shared" si="7"/>
        <v>-1098453</v>
      </c>
      <c r="M16" s="30" t="str">
        <f t="shared" si="8"/>
        <v>▲ 遅れ</v>
      </c>
      <c r="N16" s="31">
        <v>4.0</v>
      </c>
      <c r="O16" s="31">
        <v>5.0</v>
      </c>
      <c r="P16" s="31">
        <v>16.0</v>
      </c>
      <c r="Q16" s="31">
        <v>12.0</v>
      </c>
      <c r="R16" s="31"/>
      <c r="S16" s="12">
        <f t="shared" si="9"/>
        <v>0.25</v>
      </c>
      <c r="T16" s="11">
        <f t="shared" si="10"/>
        <v>22157.75</v>
      </c>
      <c r="U16" s="32">
        <f t="shared" si="11"/>
        <v>1.25</v>
      </c>
      <c r="V16" s="12">
        <f t="shared" si="12"/>
        <v>0.75</v>
      </c>
      <c r="W16" s="31"/>
      <c r="X16" s="31">
        <v>8324.0</v>
      </c>
      <c r="Y16" s="29">
        <v>0.0</v>
      </c>
      <c r="Z16" s="33"/>
      <c r="AB16" s="22" t="s">
        <v>72</v>
      </c>
    </row>
    <row r="17">
      <c r="A17" s="38">
        <v>46122.0</v>
      </c>
      <c r="B17" s="14" t="str">
        <f t="shared" si="2"/>
        <v>金</v>
      </c>
      <c r="C17" s="29">
        <v>300000.0</v>
      </c>
      <c r="D17" s="15">
        <f t="shared" si="3"/>
        <v>3000000</v>
      </c>
      <c r="E17" s="29">
        <v>23700.0</v>
      </c>
      <c r="F17" s="29">
        <v>97730.0</v>
      </c>
      <c r="G17" s="29">
        <v>-12428.0</v>
      </c>
      <c r="H17" s="15">
        <f t="shared" si="4"/>
        <v>109002</v>
      </c>
      <c r="I17" s="15">
        <f t="shared" si="5"/>
        <v>1710549</v>
      </c>
      <c r="J17" s="16">
        <f t="shared" ref="J17:K17" si="24">IF(H17="","",IFERROR(H17/C17,""))</f>
        <v>0.36334</v>
      </c>
      <c r="K17" s="16">
        <f t="shared" si="24"/>
        <v>0.570183</v>
      </c>
      <c r="L17" s="15">
        <f t="shared" si="7"/>
        <v>-1289451</v>
      </c>
      <c r="M17" s="39" t="str">
        <f t="shared" si="8"/>
        <v>▲ 遅れ</v>
      </c>
      <c r="N17" s="31">
        <v>5.0</v>
      </c>
      <c r="O17" s="31">
        <v>5.0</v>
      </c>
      <c r="P17" s="31">
        <v>24.0</v>
      </c>
      <c r="Q17" s="31">
        <v>14.0</v>
      </c>
      <c r="R17" s="31"/>
      <c r="S17" s="16">
        <f t="shared" si="9"/>
        <v>0.2083333333</v>
      </c>
      <c r="T17" s="15">
        <f t="shared" si="10"/>
        <v>21800.4</v>
      </c>
      <c r="U17" s="40">
        <f t="shared" si="11"/>
        <v>1</v>
      </c>
      <c r="V17" s="16">
        <f t="shared" si="12"/>
        <v>0.5833333333</v>
      </c>
      <c r="W17" s="31"/>
      <c r="X17" s="31">
        <v>8317.0</v>
      </c>
      <c r="Y17" s="29">
        <v>0.0</v>
      </c>
      <c r="Z17" s="33"/>
    </row>
    <row r="18">
      <c r="A18" s="28">
        <v>46123.0</v>
      </c>
      <c r="B18" s="10" t="str">
        <f t="shared" si="2"/>
        <v>土</v>
      </c>
      <c r="C18" s="29">
        <v>500000.0</v>
      </c>
      <c r="D18" s="11">
        <f t="shared" si="3"/>
        <v>3500000</v>
      </c>
      <c r="E18" s="29">
        <v>117140.0</v>
      </c>
      <c r="F18" s="29">
        <v>144350.0</v>
      </c>
      <c r="G18" s="29">
        <v>-3476.0</v>
      </c>
      <c r="H18" s="11">
        <f t="shared" si="4"/>
        <v>258014</v>
      </c>
      <c r="I18" s="11">
        <f t="shared" si="5"/>
        <v>1968563</v>
      </c>
      <c r="J18" s="12">
        <f t="shared" ref="J18:K18" si="25">IF(H18="","",IFERROR(H18/C18,""))</f>
        <v>0.516028</v>
      </c>
      <c r="K18" s="12">
        <f t="shared" si="25"/>
        <v>0.5624465714</v>
      </c>
      <c r="L18" s="11">
        <f t="shared" si="7"/>
        <v>-1531437</v>
      </c>
      <c r="M18" s="30" t="str">
        <f t="shared" si="8"/>
        <v>▲ 遅れ</v>
      </c>
      <c r="N18" s="31">
        <v>12.0</v>
      </c>
      <c r="O18" s="31">
        <v>12.0</v>
      </c>
      <c r="P18" s="31">
        <v>43.0</v>
      </c>
      <c r="Q18" s="31">
        <v>30.0</v>
      </c>
      <c r="R18" s="31"/>
      <c r="S18" s="12">
        <f t="shared" si="9"/>
        <v>0.2790697674</v>
      </c>
      <c r="T18" s="11">
        <f t="shared" si="10"/>
        <v>21501.16667</v>
      </c>
      <c r="U18" s="32">
        <f t="shared" si="11"/>
        <v>1</v>
      </c>
      <c r="V18" s="12">
        <f t="shared" si="12"/>
        <v>0.6976744186</v>
      </c>
      <c r="W18" s="31"/>
      <c r="X18" s="31">
        <v>8315.0</v>
      </c>
      <c r="Y18" s="29">
        <v>0.0</v>
      </c>
      <c r="Z18" s="33"/>
      <c r="AB18" s="23" t="s">
        <v>73</v>
      </c>
      <c r="AI18" s="22" t="s">
        <v>74</v>
      </c>
      <c r="AJ18" s="41">
        <f>$A$8+MOD(2-WEEKDAY($A$8,2)+7,7)</f>
        <v>46119</v>
      </c>
    </row>
    <row r="19">
      <c r="A19" s="38">
        <v>46124.0</v>
      </c>
      <c r="B19" s="14" t="str">
        <f t="shared" si="2"/>
        <v>日</v>
      </c>
      <c r="C19" s="29">
        <v>400000.0</v>
      </c>
      <c r="D19" s="15">
        <f t="shared" si="3"/>
        <v>3900000</v>
      </c>
      <c r="E19" s="29">
        <v>90630.0</v>
      </c>
      <c r="F19" s="29">
        <v>62030.0</v>
      </c>
      <c r="G19" s="29">
        <v>-14652.0</v>
      </c>
      <c r="H19" s="15">
        <f t="shared" si="4"/>
        <v>138008</v>
      </c>
      <c r="I19" s="15">
        <f t="shared" si="5"/>
        <v>2106571</v>
      </c>
      <c r="J19" s="16">
        <f t="shared" ref="J19:K19" si="26">IF(H19="","",IFERROR(H19/C19,""))</f>
        <v>0.34502</v>
      </c>
      <c r="K19" s="16">
        <f t="shared" si="26"/>
        <v>0.5401464103</v>
      </c>
      <c r="L19" s="15">
        <f t="shared" si="7"/>
        <v>-1793429</v>
      </c>
      <c r="M19" s="39" t="str">
        <f t="shared" si="8"/>
        <v>▲ 遅れ</v>
      </c>
      <c r="N19" s="31">
        <v>7.0</v>
      </c>
      <c r="O19" s="31">
        <v>7.0</v>
      </c>
      <c r="P19" s="31">
        <v>33.0</v>
      </c>
      <c r="Q19" s="31">
        <v>20.0</v>
      </c>
      <c r="R19" s="31"/>
      <c r="S19" s="16">
        <f t="shared" si="9"/>
        <v>0.2121212121</v>
      </c>
      <c r="T19" s="15">
        <f t="shared" si="10"/>
        <v>19715.42857</v>
      </c>
      <c r="U19" s="40">
        <f t="shared" si="11"/>
        <v>1</v>
      </c>
      <c r="V19" s="16">
        <f t="shared" si="12"/>
        <v>0.6060606061</v>
      </c>
      <c r="W19" s="31"/>
      <c r="X19" s="31">
        <v>8308.0</v>
      </c>
      <c r="Y19" s="29">
        <v>0.0</v>
      </c>
      <c r="Z19" s="33"/>
      <c r="AB19" s="27" t="s">
        <v>75</v>
      </c>
      <c r="AC19" s="27" t="s">
        <v>76</v>
      </c>
      <c r="AD19" s="27" t="s">
        <v>77</v>
      </c>
      <c r="AE19" s="27" t="s">
        <v>16</v>
      </c>
      <c r="AF19" s="27" t="s">
        <v>17</v>
      </c>
      <c r="AG19" s="27" t="s">
        <v>43</v>
      </c>
      <c r="AH19" s="27" t="s">
        <v>44</v>
      </c>
    </row>
    <row r="20">
      <c r="A20" s="28">
        <v>46125.0</v>
      </c>
      <c r="B20" s="10" t="str">
        <f t="shared" si="2"/>
        <v>月</v>
      </c>
      <c r="C20" s="29">
        <v>300000.0</v>
      </c>
      <c r="D20" s="11">
        <f t="shared" si="3"/>
        <v>4200000</v>
      </c>
      <c r="E20" s="29">
        <v>35910.0</v>
      </c>
      <c r="F20" s="29">
        <v>64620.0</v>
      </c>
      <c r="G20" s="29">
        <v>-9528.0</v>
      </c>
      <c r="H20" s="11">
        <f t="shared" si="4"/>
        <v>91002</v>
      </c>
      <c r="I20" s="11">
        <f t="shared" si="5"/>
        <v>2197573</v>
      </c>
      <c r="J20" s="12">
        <f t="shared" ref="J20:K20" si="27">IF(H20="","",IFERROR(H20/C20,""))</f>
        <v>0.30334</v>
      </c>
      <c r="K20" s="12">
        <f t="shared" si="27"/>
        <v>0.5232316667</v>
      </c>
      <c r="L20" s="11">
        <f t="shared" si="7"/>
        <v>-2002427</v>
      </c>
      <c r="M20" s="30" t="str">
        <f t="shared" si="8"/>
        <v>▲ 遅れ</v>
      </c>
      <c r="N20" s="31">
        <v>5.0</v>
      </c>
      <c r="O20" s="31">
        <v>5.0</v>
      </c>
      <c r="P20" s="31">
        <v>28.0</v>
      </c>
      <c r="Q20" s="31">
        <v>8.0</v>
      </c>
      <c r="R20" s="31"/>
      <c r="S20" s="12">
        <f t="shared" si="9"/>
        <v>0.1785714286</v>
      </c>
      <c r="T20" s="11">
        <f t="shared" si="10"/>
        <v>18200.4</v>
      </c>
      <c r="U20" s="32">
        <f t="shared" si="11"/>
        <v>1</v>
      </c>
      <c r="V20" s="12">
        <f t="shared" si="12"/>
        <v>0.2857142857</v>
      </c>
      <c r="W20" s="31"/>
      <c r="X20" s="31">
        <v>8304.0</v>
      </c>
      <c r="Y20" s="29">
        <v>0.0</v>
      </c>
      <c r="Z20" s="33"/>
      <c r="AB20" s="36">
        <v>1.0</v>
      </c>
      <c r="AC20" s="42" t="str">
        <f>IF($AJ$18+7*(1-1)&gt;$A$37,"",TEXT($AJ$18+7*(1-1),"m/d")&amp;"-"&amp;TEXT($AJ$18+7*(1-1)+6,"m/d"))</f>
        <v>4/7-4/13</v>
      </c>
      <c r="AD20" s="35">
        <f>IF($AC20="","",(SUMIFS($H$8:$H$37,$A$8:$A$37,"&gt;="&amp;$AJ$18+7*(1-1),$A$8:$A$37,"&lt;="&amp;$AJ$18+7*(1-1)+6)+SUMIFS('2026年05月'!$H$8:$H$38,'2026年05月'!$A$8:$A$38,"&gt;="&amp;$AJ$18+7*(1-1),'2026年05月'!$A$8:$A$38,"&lt;="&amp;$AJ$18+7*(1-1)+6)))</f>
        <v>784861</v>
      </c>
      <c r="AE20" s="37">
        <f>IF($AC20="","",IFERROR((SUMIFS($N$8:$N$37,$A$8:$A$37,"&gt;="&amp;$AJ$18+7*(1-1),$A$8:$A$37,"&lt;="&amp;$AJ$18+7*(1-1)+6)+SUMIFS('2026年05月'!$N$8:$N$38,'2026年05月'!$A$8:$A$38,"&gt;="&amp;$AJ$18+7*(1-1),'2026年05月'!$A$8:$A$38,"&lt;="&amp;$AJ$18+7*(1-1)+6))/(SUMIFS($P$8:$P$37,$A$8:$A$37,"&gt;="&amp;$AJ$18+7*(1-1),$A$8:$A$37,"&lt;="&amp;$AJ$18+7*(1-1)+6)+SUMIFS('2026年05月'!$P$8:$P$38,'2026年05月'!$A$8:$A$38,"&gt;="&amp;$AJ$18+7*(1-1),'2026年05月'!$A$8:$A$38,"&lt;="&amp;$AJ$18+7*(1-1)+6)),""))</f>
        <v>0.2235294118</v>
      </c>
      <c r="AF20" s="35">
        <f>IF($AC20="","",IFERROR((SUMIFS($H$8:$H$37,$A$8:$A$37,"&gt;="&amp;$AJ$18+7*(1-1),$A$8:$A$37,"&lt;="&amp;$AJ$18+7*(1-1)+6)+SUMIFS('2026年05月'!$H$8:$H$38,'2026年05月'!$A$8:$A$38,"&gt;="&amp;$AJ$18+7*(1-1),'2026年05月'!$A$8:$A$38,"&lt;="&amp;$AJ$18+7*(1-1)+6))/(SUMIFS($N$8:$N$37,$A$8:$A$37,"&gt;="&amp;$AJ$18+7*(1-1),$A$8:$A$37,"&lt;="&amp;$AJ$18+7*(1-1)+6)+SUMIFS('2026年05月'!$N$8:$N$38,'2026年05月'!$A$8:$A$38,"&gt;="&amp;$AJ$18+7*(1-1),'2026年05月'!$A$8:$A$38,"&lt;="&amp;$AJ$18+7*(1-1)+6)),""))</f>
        <v>20654.23684</v>
      </c>
      <c r="AG20" s="43">
        <f>IF($AC20="","",IFERROR((SUMIFS($O$8:$O$37,$A$8:$A$37,"&gt;="&amp;$AJ$18+7*(1-1),$A$8:$A$37,"&lt;="&amp;$AJ$18+7*(1-1)+6)+SUMIFS('2026年05月'!$O$8:$O$38,'2026年05月'!$A$8:$A$38,"&gt;="&amp;$AJ$18+7*(1-1),'2026年05月'!$A$8:$A$38,"&lt;="&amp;$AJ$18+7*(1-1)+6))/(SUMIFS($N$8:$N$37,$A$8:$A$37,"&gt;="&amp;$AJ$18+7*(1-1),$A$8:$A$37,"&lt;="&amp;$AJ$18+7*(1-1)+6)+SUMIFS('2026年05月'!$N$8:$N$38,'2026年05月'!$A$8:$A$38,"&gt;="&amp;$AJ$18+7*(1-1),'2026年05月'!$A$8:$A$38,"&lt;="&amp;$AJ$18+7*(1-1)+6)),""))</f>
        <v>1.026315789</v>
      </c>
      <c r="AH20" s="37">
        <f>IF($AC20="","",IFERROR((SUMIFS($Q$8:$Q$37,$A$8:$A$37,"&gt;="&amp;$AJ$18+7*(1-1),$A$8:$A$37,"&lt;="&amp;$AJ$18+7*(1-1)+6)+SUMIFS('2026年05月'!$Q$8:$Q$38,'2026年05月'!$A$8:$A$38,"&gt;="&amp;$AJ$18+7*(1-1),'2026年05月'!$A$8:$A$38,"&lt;="&amp;$AJ$18+7*(1-1)+6))/(SUMIFS($P$8:$P$37,$A$8:$A$37,"&gt;="&amp;$AJ$18+7*(1-1),$A$8:$A$37,"&lt;="&amp;$AJ$18+7*(1-1)+6)+SUMIFS('2026年05月'!$P$8:$P$38,'2026年05月'!$A$8:$A$38,"&gt;="&amp;$AJ$18+7*(1-1),'2026年05月'!$A$8:$A$38,"&lt;="&amp;$AJ$18+7*(1-1)+6)),""))</f>
        <v>0.5705882353</v>
      </c>
    </row>
    <row r="21" ht="15.75" customHeight="1">
      <c r="A21" s="38">
        <v>46126.0</v>
      </c>
      <c r="B21" s="14" t="str">
        <f t="shared" si="2"/>
        <v>火</v>
      </c>
      <c r="C21" s="29">
        <v>300000.0</v>
      </c>
      <c r="D21" s="15">
        <f t="shared" si="3"/>
        <v>4500000</v>
      </c>
      <c r="E21" s="29">
        <v>0.0</v>
      </c>
      <c r="F21" s="29">
        <v>44110.0</v>
      </c>
      <c r="G21" s="29">
        <v>39392.0</v>
      </c>
      <c r="H21" s="15">
        <f t="shared" si="4"/>
        <v>83502</v>
      </c>
      <c r="I21" s="15">
        <f t="shared" si="5"/>
        <v>2281075</v>
      </c>
      <c r="J21" s="16">
        <f t="shared" ref="J21:K21" si="28">IF(H21="","",IFERROR(H21/C21,""))</f>
        <v>0.27834</v>
      </c>
      <c r="K21" s="16">
        <f t="shared" si="28"/>
        <v>0.5069055556</v>
      </c>
      <c r="L21" s="15">
        <f t="shared" si="7"/>
        <v>-2218925</v>
      </c>
      <c r="M21" s="39" t="str">
        <f t="shared" si="8"/>
        <v>▲ 遅れ</v>
      </c>
      <c r="N21" s="31">
        <v>4.0</v>
      </c>
      <c r="O21" s="31">
        <v>4.0</v>
      </c>
      <c r="P21" s="31">
        <v>25.0</v>
      </c>
      <c r="Q21" s="31">
        <v>13.0</v>
      </c>
      <c r="R21" s="31"/>
      <c r="S21" s="16">
        <f t="shared" si="9"/>
        <v>0.16</v>
      </c>
      <c r="T21" s="15">
        <f t="shared" si="10"/>
        <v>20875.5</v>
      </c>
      <c r="U21" s="40">
        <f t="shared" si="11"/>
        <v>1</v>
      </c>
      <c r="V21" s="16">
        <f t="shared" si="12"/>
        <v>0.52</v>
      </c>
      <c r="W21" s="31"/>
      <c r="X21" s="31">
        <v>8301.0</v>
      </c>
      <c r="Y21" s="29">
        <v>0.0</v>
      </c>
      <c r="Z21" s="33"/>
      <c r="AB21" s="36">
        <v>2.0</v>
      </c>
      <c r="AC21" s="42" t="str">
        <f>IF($AJ$18+7*(2-1)&gt;$A$37,"",TEXT($AJ$18+7*(2-1),"m/d")&amp;"-"&amp;TEXT($AJ$18+7*(2-1)+6,"m/d"))</f>
        <v>4/14-4/20</v>
      </c>
      <c r="AD21" s="35">
        <f>IF($AC21="","",(SUMIFS($H$8:$H$37,$A$8:$A$37,"&gt;="&amp;$AJ$18+7*(2-1),$A$8:$A$37,"&lt;="&amp;$AJ$18+7*(2-1)+6)+SUMIFS('2026年05月'!$H$8:$H$38,'2026年05月'!$A$8:$A$38,"&gt;="&amp;$AJ$18+7*(2-1),'2026年05月'!$A$8:$A$38,"&lt;="&amp;$AJ$18+7*(2-1)+6)))</f>
        <v>1329465</v>
      </c>
      <c r="AE21" s="37">
        <f>IF($AC21="","",IFERROR((SUMIFS($N$8:$N$37,$A$8:$A$37,"&gt;="&amp;$AJ$18+7*(2-1),$A$8:$A$37,"&lt;="&amp;$AJ$18+7*(2-1)+6)+SUMIFS('2026年05月'!$N$8:$N$38,'2026年05月'!$A$8:$A$38,"&gt;="&amp;$AJ$18+7*(2-1),'2026年05月'!$A$8:$A$38,"&lt;="&amp;$AJ$18+7*(2-1)+6))/(SUMIFS($P$8:$P$37,$A$8:$A$37,"&gt;="&amp;$AJ$18+7*(2-1),$A$8:$A$37,"&lt;="&amp;$AJ$18+7*(2-1)+6)+SUMIFS('2026年05月'!$P$8:$P$38,'2026年05月'!$A$8:$A$38,"&gt;="&amp;$AJ$18+7*(2-1),'2026年05月'!$A$8:$A$38,"&lt;="&amp;$AJ$18+7*(2-1)+6)),""))</f>
        <v>0.3366834171</v>
      </c>
      <c r="AF21" s="35">
        <f>IF($AC21="","",IFERROR((SUMIFS($H$8:$H$37,$A$8:$A$37,"&gt;="&amp;$AJ$18+7*(2-1),$A$8:$A$37,"&lt;="&amp;$AJ$18+7*(2-1)+6)+SUMIFS('2026年05月'!$H$8:$H$38,'2026年05月'!$A$8:$A$38,"&gt;="&amp;$AJ$18+7*(2-1),'2026年05月'!$A$8:$A$38,"&lt;="&amp;$AJ$18+7*(2-1)+6))/(SUMIFS($N$8:$N$37,$A$8:$A$37,"&gt;="&amp;$AJ$18+7*(2-1),$A$8:$A$37,"&lt;="&amp;$AJ$18+7*(2-1)+6)+SUMIFS('2026年05月'!$N$8:$N$38,'2026年05月'!$A$8:$A$38,"&gt;="&amp;$AJ$18+7*(2-1),'2026年05月'!$A$8:$A$38,"&lt;="&amp;$AJ$18+7*(2-1)+6)),""))</f>
        <v>19842.76119</v>
      </c>
      <c r="AG21" s="43">
        <f>IF($AC21="","",IFERROR((SUMIFS($O$8:$O$37,$A$8:$A$37,"&gt;="&amp;$AJ$18+7*(2-1),$A$8:$A$37,"&lt;="&amp;$AJ$18+7*(2-1)+6)+SUMIFS('2026年05月'!$O$8:$O$38,'2026年05月'!$A$8:$A$38,"&gt;="&amp;$AJ$18+7*(2-1),'2026年05月'!$A$8:$A$38,"&lt;="&amp;$AJ$18+7*(2-1)+6))/(SUMIFS($N$8:$N$37,$A$8:$A$37,"&gt;="&amp;$AJ$18+7*(2-1),$A$8:$A$37,"&lt;="&amp;$AJ$18+7*(2-1)+6)+SUMIFS('2026年05月'!$N$8:$N$38,'2026年05月'!$A$8:$A$38,"&gt;="&amp;$AJ$18+7*(2-1),'2026年05月'!$A$8:$A$38,"&lt;="&amp;$AJ$18+7*(2-1)+6)),""))</f>
        <v>1.029850746</v>
      </c>
      <c r="AH21" s="37">
        <f>IF($AC21="","",IFERROR((SUMIFS($Q$8:$Q$37,$A$8:$A$37,"&gt;="&amp;$AJ$18+7*(2-1),$A$8:$A$37,"&lt;="&amp;$AJ$18+7*(2-1)+6)+SUMIFS('2026年05月'!$Q$8:$Q$38,'2026年05月'!$A$8:$A$38,"&gt;="&amp;$AJ$18+7*(2-1),'2026年05月'!$A$8:$A$38,"&lt;="&amp;$AJ$18+7*(2-1)+6))/(SUMIFS($P$8:$P$37,$A$8:$A$37,"&gt;="&amp;$AJ$18+7*(2-1),$A$8:$A$37,"&lt;="&amp;$AJ$18+7*(2-1)+6)+SUMIFS('2026年05月'!$P$8:$P$38,'2026年05月'!$A$8:$A$38,"&gt;="&amp;$AJ$18+7*(2-1),'2026年05月'!$A$8:$A$38,"&lt;="&amp;$AJ$18+7*(2-1)+6)),""))</f>
        <v>0.4422110553</v>
      </c>
    </row>
    <row r="22" ht="15.75" customHeight="1">
      <c r="A22" s="28">
        <v>46127.0</v>
      </c>
      <c r="B22" s="10" t="str">
        <f t="shared" si="2"/>
        <v>水</v>
      </c>
      <c r="C22" s="29">
        <v>300000.0</v>
      </c>
      <c r="D22" s="11">
        <f t="shared" si="3"/>
        <v>4800000</v>
      </c>
      <c r="E22" s="29">
        <v>23810.0</v>
      </c>
      <c r="F22" s="29">
        <v>99030.0</v>
      </c>
      <c r="G22" s="29">
        <v>-11830.0</v>
      </c>
      <c r="H22" s="11">
        <f t="shared" si="4"/>
        <v>111010</v>
      </c>
      <c r="I22" s="11">
        <f t="shared" si="5"/>
        <v>2392085</v>
      </c>
      <c r="J22" s="12">
        <f t="shared" ref="J22:K22" si="29">IF(H22="","",IFERROR(H22/C22,""))</f>
        <v>0.3700333333</v>
      </c>
      <c r="K22" s="12">
        <f t="shared" si="29"/>
        <v>0.4983510417</v>
      </c>
      <c r="L22" s="11">
        <f t="shared" si="7"/>
        <v>-2407915</v>
      </c>
      <c r="M22" s="30" t="str">
        <f t="shared" si="8"/>
        <v>▲ 遅れ</v>
      </c>
      <c r="N22" s="31">
        <v>6.0</v>
      </c>
      <c r="O22" s="31">
        <v>6.0</v>
      </c>
      <c r="P22" s="31">
        <v>17.0</v>
      </c>
      <c r="Q22" s="31">
        <v>5.0</v>
      </c>
      <c r="R22" s="31">
        <v>11.0</v>
      </c>
      <c r="S22" s="12">
        <f t="shared" si="9"/>
        <v>0.3529411765</v>
      </c>
      <c r="T22" s="11">
        <f t="shared" si="10"/>
        <v>18501.66667</v>
      </c>
      <c r="U22" s="32">
        <f t="shared" si="11"/>
        <v>1</v>
      </c>
      <c r="V22" s="12">
        <f t="shared" si="12"/>
        <v>0.2941176471</v>
      </c>
      <c r="W22" s="31"/>
      <c r="X22" s="31">
        <v>8301.0</v>
      </c>
      <c r="Y22" s="29">
        <v>0.0</v>
      </c>
      <c r="Z22" s="33"/>
      <c r="AB22" s="36">
        <v>3.0</v>
      </c>
      <c r="AC22" s="42" t="str">
        <f>IF($AJ$18+7*(3-1)&gt;$A$37,"",TEXT($AJ$18+7*(3-1),"m/d")&amp;"-"&amp;TEXT($AJ$18+7*(3-1)+6,"m/d"))</f>
        <v>4/21-4/27</v>
      </c>
      <c r="AD22" s="35">
        <f>IF($AC22="","",(SUMIFS($H$8:$H$37,$A$8:$A$37,"&gt;="&amp;$AJ$18+7*(3-1),$A$8:$A$37,"&lt;="&amp;$AJ$18+7*(3-1)+6)+SUMIFS('2026年05月'!$H$8:$H$38,'2026年05月'!$A$8:$A$38,"&gt;="&amp;$AJ$18+7*(3-1),'2026年05月'!$A$8:$A$38,"&lt;="&amp;$AJ$18+7*(3-1)+6)))</f>
        <v>1685356</v>
      </c>
      <c r="AE22" s="37">
        <f>IF($AC22="","",IFERROR((SUMIFS($N$8:$N$37,$A$8:$A$37,"&gt;="&amp;$AJ$18+7*(3-1),$A$8:$A$37,"&lt;="&amp;$AJ$18+7*(3-1)+6)+SUMIFS('2026年05月'!$N$8:$N$38,'2026年05月'!$A$8:$A$38,"&gt;="&amp;$AJ$18+7*(3-1),'2026年05月'!$A$8:$A$38,"&lt;="&amp;$AJ$18+7*(3-1)+6))/(SUMIFS($P$8:$P$37,$A$8:$A$37,"&gt;="&amp;$AJ$18+7*(3-1),$A$8:$A$37,"&lt;="&amp;$AJ$18+7*(3-1)+6)+SUMIFS('2026年05月'!$P$8:$P$38,'2026年05月'!$A$8:$A$38,"&gt;="&amp;$AJ$18+7*(3-1),'2026年05月'!$A$8:$A$38,"&lt;="&amp;$AJ$18+7*(3-1)+6)),""))</f>
        <v>0.3291666667</v>
      </c>
      <c r="AF22" s="35">
        <f>IF($AC22="","",IFERROR((SUMIFS($H$8:$H$37,$A$8:$A$37,"&gt;="&amp;$AJ$18+7*(3-1),$A$8:$A$37,"&lt;="&amp;$AJ$18+7*(3-1)+6)+SUMIFS('2026年05月'!$H$8:$H$38,'2026年05月'!$A$8:$A$38,"&gt;="&amp;$AJ$18+7*(3-1),'2026年05月'!$A$8:$A$38,"&lt;="&amp;$AJ$18+7*(3-1)+6))/(SUMIFS($N$8:$N$37,$A$8:$A$37,"&gt;="&amp;$AJ$18+7*(3-1),$A$8:$A$37,"&lt;="&amp;$AJ$18+7*(3-1)+6)+SUMIFS('2026年05月'!$N$8:$N$38,'2026年05月'!$A$8:$A$38,"&gt;="&amp;$AJ$18+7*(3-1),'2026年05月'!$A$8:$A$38,"&lt;="&amp;$AJ$18+7*(3-1)+6)),""))</f>
        <v>21333.62025</v>
      </c>
      <c r="AG22" s="43">
        <f>IF($AC22="","",IFERROR((SUMIFS($O$8:$O$37,$A$8:$A$37,"&gt;="&amp;$AJ$18+7*(3-1),$A$8:$A$37,"&lt;="&amp;$AJ$18+7*(3-1)+6)+SUMIFS('2026年05月'!$O$8:$O$38,'2026年05月'!$A$8:$A$38,"&gt;="&amp;$AJ$18+7*(3-1),'2026年05月'!$A$8:$A$38,"&lt;="&amp;$AJ$18+7*(3-1)+6))/(SUMIFS($N$8:$N$37,$A$8:$A$37,"&gt;="&amp;$AJ$18+7*(3-1),$A$8:$A$37,"&lt;="&amp;$AJ$18+7*(3-1)+6)+SUMIFS('2026年05月'!$N$8:$N$38,'2026年05月'!$A$8:$A$38,"&gt;="&amp;$AJ$18+7*(3-1),'2026年05月'!$A$8:$A$38,"&lt;="&amp;$AJ$18+7*(3-1)+6)),""))</f>
        <v>1.126582278</v>
      </c>
      <c r="AH22" s="37">
        <f>IF($AC22="","",IFERROR((SUMIFS($Q$8:$Q$37,$A$8:$A$37,"&gt;="&amp;$AJ$18+7*(3-1),$A$8:$A$37,"&lt;="&amp;$AJ$18+7*(3-1)+6)+SUMIFS('2026年05月'!$Q$8:$Q$38,'2026年05月'!$A$8:$A$38,"&gt;="&amp;$AJ$18+7*(3-1),'2026年05月'!$A$8:$A$38,"&lt;="&amp;$AJ$18+7*(3-1)+6))/(SUMIFS($P$8:$P$37,$A$8:$A$37,"&gt;="&amp;$AJ$18+7*(3-1),$A$8:$A$37,"&lt;="&amp;$AJ$18+7*(3-1)+6)+SUMIFS('2026年05月'!$P$8:$P$38,'2026年05月'!$A$8:$A$38,"&gt;="&amp;$AJ$18+7*(3-1),'2026年05月'!$A$8:$A$38,"&lt;="&amp;$AJ$18+7*(3-1)+6)),""))</f>
        <v>0.4041666667</v>
      </c>
    </row>
    <row r="23" ht="15.75" customHeight="1">
      <c r="A23" s="38">
        <v>46128.0</v>
      </c>
      <c r="B23" s="14" t="str">
        <f t="shared" si="2"/>
        <v>木</v>
      </c>
      <c r="C23" s="29">
        <v>300000.0</v>
      </c>
      <c r="D23" s="15">
        <f t="shared" si="3"/>
        <v>5100000</v>
      </c>
      <c r="E23" s="29">
        <v>23810.0</v>
      </c>
      <c r="F23" s="29">
        <v>104100.0</v>
      </c>
      <c r="G23" s="29">
        <v>6299.0</v>
      </c>
      <c r="H23" s="15">
        <f t="shared" si="4"/>
        <v>134209</v>
      </c>
      <c r="I23" s="15">
        <f t="shared" si="5"/>
        <v>2526294</v>
      </c>
      <c r="J23" s="16">
        <f t="shared" ref="J23:K23" si="30">IF(H23="","",IFERROR(H23/C23,""))</f>
        <v>0.4473633333</v>
      </c>
      <c r="K23" s="16">
        <f t="shared" si="30"/>
        <v>0.4953517647</v>
      </c>
      <c r="L23" s="15">
        <f t="shared" si="7"/>
        <v>-2573706</v>
      </c>
      <c r="M23" s="39" t="str">
        <f t="shared" si="8"/>
        <v>▲ 遅れ</v>
      </c>
      <c r="N23" s="31">
        <v>8.0</v>
      </c>
      <c r="O23" s="31">
        <v>9.0</v>
      </c>
      <c r="P23" s="31">
        <v>24.0</v>
      </c>
      <c r="Q23" s="31">
        <v>11.0</v>
      </c>
      <c r="R23" s="31">
        <v>19.0</v>
      </c>
      <c r="S23" s="16">
        <f t="shared" si="9"/>
        <v>0.3333333333</v>
      </c>
      <c r="T23" s="15">
        <f t="shared" si="10"/>
        <v>16776.125</v>
      </c>
      <c r="U23" s="40">
        <f t="shared" si="11"/>
        <v>1.125</v>
      </c>
      <c r="V23" s="16">
        <f t="shared" si="12"/>
        <v>0.4583333333</v>
      </c>
      <c r="W23" s="31"/>
      <c r="X23" s="31">
        <v>8304.0</v>
      </c>
      <c r="Y23" s="29">
        <v>0.0</v>
      </c>
      <c r="Z23" s="33"/>
      <c r="AB23" s="36">
        <v>4.0</v>
      </c>
      <c r="AC23" s="42" t="str">
        <f>IF($AJ$18+7*(4-1)&gt;$A$37,"",TEXT($AJ$18+7*(4-1),"m/d")&amp;"-"&amp;TEXT($AJ$18+7*(4-1)+6,"m/d"))</f>
        <v>4/28-5/4</v>
      </c>
      <c r="AD23" s="35">
        <f>IF($AC23="","",(SUMIFS($H$8:$H$37,$A$8:$A$37,"&gt;="&amp;$AJ$18+7*(4-1),$A$8:$A$37,"&lt;="&amp;$AJ$18+7*(4-1)+6)+SUMIFS('2026年05月'!$H$8:$H$38,'2026年05月'!$A$8:$A$38,"&gt;="&amp;$AJ$18+7*(4-1),'2026年05月'!$A$8:$A$38,"&lt;="&amp;$AJ$18+7*(4-1)+6)))</f>
        <v>2560005</v>
      </c>
      <c r="AE23" s="37">
        <f>IF($AC23="","",IFERROR((SUMIFS($N$8:$N$37,$A$8:$A$37,"&gt;="&amp;$AJ$18+7*(4-1),$A$8:$A$37,"&lt;="&amp;$AJ$18+7*(4-1)+6)+SUMIFS('2026年05月'!$N$8:$N$38,'2026年05月'!$A$8:$A$38,"&gt;="&amp;$AJ$18+7*(4-1),'2026年05月'!$A$8:$A$38,"&lt;="&amp;$AJ$18+7*(4-1)+6))/(SUMIFS($P$8:$P$37,$A$8:$A$37,"&gt;="&amp;$AJ$18+7*(4-1),$A$8:$A$37,"&lt;="&amp;$AJ$18+7*(4-1)+6)+SUMIFS('2026年05月'!$P$8:$P$38,'2026年05月'!$A$8:$A$38,"&gt;="&amp;$AJ$18+7*(4-1),'2026年05月'!$A$8:$A$38,"&lt;="&amp;$AJ$18+7*(4-1)+6)),""))</f>
        <v>0.3881987578</v>
      </c>
      <c r="AF23" s="35">
        <f>IF($AC23="","",IFERROR((SUMIFS($H$8:$H$37,$A$8:$A$37,"&gt;="&amp;$AJ$18+7*(4-1),$A$8:$A$37,"&lt;="&amp;$AJ$18+7*(4-1)+6)+SUMIFS('2026年05月'!$H$8:$H$38,'2026年05月'!$A$8:$A$38,"&gt;="&amp;$AJ$18+7*(4-1),'2026年05月'!$A$8:$A$38,"&lt;="&amp;$AJ$18+7*(4-1)+6))/(SUMIFS($N$8:$N$37,$A$8:$A$37,"&gt;="&amp;$AJ$18+7*(4-1),$A$8:$A$37,"&lt;="&amp;$AJ$18+7*(4-1)+6)+SUMIFS('2026年05月'!$N$8:$N$38,'2026年05月'!$A$8:$A$38,"&gt;="&amp;$AJ$18+7*(4-1),'2026年05月'!$A$8:$A$38,"&lt;="&amp;$AJ$18+7*(4-1)+6)),""))</f>
        <v>20480.04</v>
      </c>
      <c r="AG23" s="43">
        <f>IF($AC23="","",IFERROR((SUMIFS($O$8:$O$37,$A$8:$A$37,"&gt;="&amp;$AJ$18+7*(4-1),$A$8:$A$37,"&lt;="&amp;$AJ$18+7*(4-1)+6)+SUMIFS('2026年05月'!$O$8:$O$38,'2026年05月'!$A$8:$A$38,"&gt;="&amp;$AJ$18+7*(4-1),'2026年05月'!$A$8:$A$38,"&lt;="&amp;$AJ$18+7*(4-1)+6))/(SUMIFS($N$8:$N$37,$A$8:$A$37,"&gt;="&amp;$AJ$18+7*(4-1),$A$8:$A$37,"&lt;="&amp;$AJ$18+7*(4-1)+6)+SUMIFS('2026年05月'!$N$8:$N$38,'2026年05月'!$A$8:$A$38,"&gt;="&amp;$AJ$18+7*(4-1),'2026年05月'!$A$8:$A$38,"&lt;="&amp;$AJ$18+7*(4-1)+6)),""))</f>
        <v>1.072</v>
      </c>
      <c r="AH23" s="37">
        <f>IF($AC23="","",IFERROR((SUMIFS($Q$8:$Q$37,$A$8:$A$37,"&gt;="&amp;$AJ$18+7*(4-1),$A$8:$A$37,"&lt;="&amp;$AJ$18+7*(4-1)+6)+SUMIFS('2026年05月'!$Q$8:$Q$38,'2026年05月'!$A$8:$A$38,"&gt;="&amp;$AJ$18+7*(4-1),'2026年05月'!$A$8:$A$38,"&lt;="&amp;$AJ$18+7*(4-1)+6))/(SUMIFS($P$8:$P$37,$A$8:$A$37,"&gt;="&amp;$AJ$18+7*(4-1),$A$8:$A$37,"&lt;="&amp;$AJ$18+7*(4-1)+6)+SUMIFS('2026年05月'!$P$8:$P$38,'2026年05月'!$A$8:$A$38,"&gt;="&amp;$AJ$18+7*(4-1),'2026年05月'!$A$8:$A$38,"&lt;="&amp;$AJ$18+7*(4-1)+6)),""))</f>
        <v>0.4130434783</v>
      </c>
    </row>
    <row r="24" ht="15.75" customHeight="1">
      <c r="A24" s="28">
        <v>46129.0</v>
      </c>
      <c r="B24" s="10" t="str">
        <f t="shared" si="2"/>
        <v>金</v>
      </c>
      <c r="C24" s="29">
        <v>300000.0</v>
      </c>
      <c r="D24" s="11">
        <f t="shared" si="3"/>
        <v>5400000</v>
      </c>
      <c r="E24" s="29">
        <v>65930.0</v>
      </c>
      <c r="F24" s="29">
        <v>103050.0</v>
      </c>
      <c r="G24" s="29">
        <v>5058.0</v>
      </c>
      <c r="H24" s="11">
        <f t="shared" si="4"/>
        <v>174038</v>
      </c>
      <c r="I24" s="11">
        <f t="shared" si="5"/>
        <v>2700332</v>
      </c>
      <c r="J24" s="12">
        <f t="shared" ref="J24:K24" si="31">IF(H24="","",IFERROR(H24/C24,""))</f>
        <v>0.5801266667</v>
      </c>
      <c r="K24" s="12">
        <f t="shared" si="31"/>
        <v>0.5000614815</v>
      </c>
      <c r="L24" s="11">
        <f t="shared" si="7"/>
        <v>-2699668</v>
      </c>
      <c r="M24" s="30" t="str">
        <f t="shared" si="8"/>
        <v>▲ 遅れ</v>
      </c>
      <c r="N24" s="31">
        <v>9.0</v>
      </c>
      <c r="O24" s="31">
        <v>9.0</v>
      </c>
      <c r="P24" s="31">
        <v>21.0</v>
      </c>
      <c r="Q24" s="31">
        <v>5.0</v>
      </c>
      <c r="R24" s="31">
        <v>7.0</v>
      </c>
      <c r="S24" s="12">
        <f t="shared" si="9"/>
        <v>0.4285714286</v>
      </c>
      <c r="T24" s="11">
        <f t="shared" si="10"/>
        <v>19337.55556</v>
      </c>
      <c r="U24" s="32">
        <f t="shared" si="11"/>
        <v>1</v>
      </c>
      <c r="V24" s="12">
        <f t="shared" si="12"/>
        <v>0.2380952381</v>
      </c>
      <c r="W24" s="31"/>
      <c r="X24" s="31">
        <v>8378.0</v>
      </c>
      <c r="Y24" s="29">
        <v>0.0</v>
      </c>
      <c r="Z24" s="33"/>
      <c r="AB24" s="36">
        <v>5.0</v>
      </c>
      <c r="AC24" s="42" t="str">
        <f>IF($AJ$18+7*(5-1)&gt;$A$37,"",TEXT($AJ$18+7*(5-1),"m/d")&amp;"-"&amp;TEXT($AJ$18+7*(5-1)+6,"m/d"))</f>
        <v/>
      </c>
      <c r="AD24" s="35" t="str">
        <f>IF($AC24="","",(SUMIFS($H$8:$H$37,$A$8:$A$37,"&gt;="&amp;$AJ$18+7*(5-1),$A$8:$A$37,"&lt;="&amp;$AJ$18+7*(5-1)+6)+SUMIFS('2026年05月'!$H$8:$H$38,'2026年05月'!$A$8:$A$38,"&gt;="&amp;$AJ$18+7*(5-1),'2026年05月'!$A$8:$A$38,"&lt;="&amp;$AJ$18+7*(5-1)+6)))</f>
        <v/>
      </c>
      <c r="AE24" s="37" t="str">
        <f>IF($AC24="","",IFERROR((SUMIFS($N$8:$N$37,$A$8:$A$37,"&gt;="&amp;$AJ$18+7*(5-1),$A$8:$A$37,"&lt;="&amp;$AJ$18+7*(5-1)+6)+SUMIFS('2026年05月'!$N$8:$N$38,'2026年05月'!$A$8:$A$38,"&gt;="&amp;$AJ$18+7*(5-1),'2026年05月'!$A$8:$A$38,"&lt;="&amp;$AJ$18+7*(5-1)+6))/(SUMIFS($P$8:$P$37,$A$8:$A$37,"&gt;="&amp;$AJ$18+7*(5-1),$A$8:$A$37,"&lt;="&amp;$AJ$18+7*(5-1)+6)+SUMIFS('2026年05月'!$P$8:$P$38,'2026年05月'!$A$8:$A$38,"&gt;="&amp;$AJ$18+7*(5-1),'2026年05月'!$A$8:$A$38,"&lt;="&amp;$AJ$18+7*(5-1)+6)),""))</f>
        <v/>
      </c>
      <c r="AF24" s="35" t="str">
        <f>IF($AC24="","",IFERROR((SUMIFS($H$8:$H$37,$A$8:$A$37,"&gt;="&amp;$AJ$18+7*(5-1),$A$8:$A$37,"&lt;="&amp;$AJ$18+7*(5-1)+6)+SUMIFS('2026年05月'!$H$8:$H$38,'2026年05月'!$A$8:$A$38,"&gt;="&amp;$AJ$18+7*(5-1),'2026年05月'!$A$8:$A$38,"&lt;="&amp;$AJ$18+7*(5-1)+6))/(SUMIFS($N$8:$N$37,$A$8:$A$37,"&gt;="&amp;$AJ$18+7*(5-1),$A$8:$A$37,"&lt;="&amp;$AJ$18+7*(5-1)+6)+SUMIFS('2026年05月'!$N$8:$N$38,'2026年05月'!$A$8:$A$38,"&gt;="&amp;$AJ$18+7*(5-1),'2026年05月'!$A$8:$A$38,"&lt;="&amp;$AJ$18+7*(5-1)+6)),""))</f>
        <v/>
      </c>
      <c r="AG24" s="43" t="str">
        <f>IF($AC24="","",IFERROR((SUMIFS($O$8:$O$37,$A$8:$A$37,"&gt;="&amp;$AJ$18+7*(5-1),$A$8:$A$37,"&lt;="&amp;$AJ$18+7*(5-1)+6)+SUMIFS('2026年05月'!$O$8:$O$38,'2026年05月'!$A$8:$A$38,"&gt;="&amp;$AJ$18+7*(5-1),'2026年05月'!$A$8:$A$38,"&lt;="&amp;$AJ$18+7*(5-1)+6))/(SUMIFS($N$8:$N$37,$A$8:$A$37,"&gt;="&amp;$AJ$18+7*(5-1),$A$8:$A$37,"&lt;="&amp;$AJ$18+7*(5-1)+6)+SUMIFS('2026年05月'!$N$8:$N$38,'2026年05月'!$A$8:$A$38,"&gt;="&amp;$AJ$18+7*(5-1),'2026年05月'!$A$8:$A$38,"&lt;="&amp;$AJ$18+7*(5-1)+6)),""))</f>
        <v/>
      </c>
      <c r="AH24" s="37" t="str">
        <f>IF($AC24="","",IFERROR((SUMIFS($Q$8:$Q$37,$A$8:$A$37,"&gt;="&amp;$AJ$18+7*(5-1),$A$8:$A$37,"&lt;="&amp;$AJ$18+7*(5-1)+6)+SUMIFS('2026年05月'!$Q$8:$Q$38,'2026年05月'!$A$8:$A$38,"&gt;="&amp;$AJ$18+7*(5-1),'2026年05月'!$A$8:$A$38,"&lt;="&amp;$AJ$18+7*(5-1)+6))/(SUMIFS($P$8:$P$37,$A$8:$A$37,"&gt;="&amp;$AJ$18+7*(5-1),$A$8:$A$37,"&lt;="&amp;$AJ$18+7*(5-1)+6)+SUMIFS('2026年05月'!$P$8:$P$38,'2026年05月'!$A$8:$A$38,"&gt;="&amp;$AJ$18+7*(5-1),'2026年05月'!$A$8:$A$38,"&lt;="&amp;$AJ$18+7*(5-1)+6)),""))</f>
        <v/>
      </c>
    </row>
    <row r="25" ht="15.75" customHeight="1">
      <c r="A25" s="38">
        <v>46130.0</v>
      </c>
      <c r="B25" s="14" t="str">
        <f t="shared" si="2"/>
        <v>土</v>
      </c>
      <c r="C25" s="29">
        <v>500000.0</v>
      </c>
      <c r="D25" s="15">
        <f t="shared" si="3"/>
        <v>5900000</v>
      </c>
      <c r="E25" s="29">
        <v>65330.0</v>
      </c>
      <c r="F25" s="29">
        <v>116640.0</v>
      </c>
      <c r="G25" s="29">
        <v>4041.0</v>
      </c>
      <c r="H25" s="15">
        <f t="shared" si="4"/>
        <v>186011</v>
      </c>
      <c r="I25" s="15">
        <f t="shared" si="5"/>
        <v>2886343</v>
      </c>
      <c r="J25" s="16">
        <f t="shared" ref="J25:K25" si="32">IF(H25="","",IFERROR(H25/C25,""))</f>
        <v>0.372022</v>
      </c>
      <c r="K25" s="16">
        <f t="shared" si="32"/>
        <v>0.489210678</v>
      </c>
      <c r="L25" s="15">
        <f t="shared" si="7"/>
        <v>-3013657</v>
      </c>
      <c r="M25" s="39" t="str">
        <f t="shared" si="8"/>
        <v>▲ 遅れ</v>
      </c>
      <c r="N25" s="31">
        <v>9.0</v>
      </c>
      <c r="O25" s="31">
        <v>9.0</v>
      </c>
      <c r="P25" s="31">
        <v>36.0</v>
      </c>
      <c r="Q25" s="31">
        <v>17.0</v>
      </c>
      <c r="R25" s="31">
        <v>40.0</v>
      </c>
      <c r="S25" s="16">
        <f t="shared" si="9"/>
        <v>0.25</v>
      </c>
      <c r="T25" s="15">
        <f t="shared" si="10"/>
        <v>20667.88889</v>
      </c>
      <c r="U25" s="40">
        <f t="shared" si="11"/>
        <v>1</v>
      </c>
      <c r="V25" s="16">
        <f t="shared" si="12"/>
        <v>0.4722222222</v>
      </c>
      <c r="W25" s="31"/>
      <c r="X25" s="31">
        <v>8485.0</v>
      </c>
      <c r="Y25" s="29">
        <v>0.0</v>
      </c>
      <c r="Z25" s="33"/>
      <c r="AB25" s="36">
        <v>6.0</v>
      </c>
      <c r="AC25" s="42" t="str">
        <f>IF($AJ$18+7*(6-1)&gt;$A$37,"",TEXT($AJ$18+7*(6-1),"m/d")&amp;"-"&amp;TEXT($AJ$18+7*(6-1)+6,"m/d"))</f>
        <v/>
      </c>
      <c r="AD25" s="35" t="str">
        <f>IF($AC25="","",(SUMIFS($H$8:$H$37,$A$8:$A$37,"&gt;="&amp;$AJ$18+7*(6-1),$A$8:$A$37,"&lt;="&amp;$AJ$18+7*(6-1)+6)+SUMIFS('2026年05月'!$H$8:$H$38,'2026年05月'!$A$8:$A$38,"&gt;="&amp;$AJ$18+7*(6-1),'2026年05月'!$A$8:$A$38,"&lt;="&amp;$AJ$18+7*(6-1)+6)))</f>
        <v/>
      </c>
      <c r="AE25" s="37" t="str">
        <f>IF($AC25="","",IFERROR((SUMIFS($N$8:$N$37,$A$8:$A$37,"&gt;="&amp;$AJ$18+7*(6-1),$A$8:$A$37,"&lt;="&amp;$AJ$18+7*(6-1)+6)+SUMIFS('2026年05月'!$N$8:$N$38,'2026年05月'!$A$8:$A$38,"&gt;="&amp;$AJ$18+7*(6-1),'2026年05月'!$A$8:$A$38,"&lt;="&amp;$AJ$18+7*(6-1)+6))/(SUMIFS($P$8:$P$37,$A$8:$A$37,"&gt;="&amp;$AJ$18+7*(6-1),$A$8:$A$37,"&lt;="&amp;$AJ$18+7*(6-1)+6)+SUMIFS('2026年05月'!$P$8:$P$38,'2026年05月'!$A$8:$A$38,"&gt;="&amp;$AJ$18+7*(6-1),'2026年05月'!$A$8:$A$38,"&lt;="&amp;$AJ$18+7*(6-1)+6)),""))</f>
        <v/>
      </c>
      <c r="AF25" s="35" t="str">
        <f>IF($AC25="","",IFERROR((SUMIFS($H$8:$H$37,$A$8:$A$37,"&gt;="&amp;$AJ$18+7*(6-1),$A$8:$A$37,"&lt;="&amp;$AJ$18+7*(6-1)+6)+SUMIFS('2026年05月'!$H$8:$H$38,'2026年05月'!$A$8:$A$38,"&gt;="&amp;$AJ$18+7*(6-1),'2026年05月'!$A$8:$A$38,"&lt;="&amp;$AJ$18+7*(6-1)+6))/(SUMIFS($N$8:$N$37,$A$8:$A$37,"&gt;="&amp;$AJ$18+7*(6-1),$A$8:$A$37,"&lt;="&amp;$AJ$18+7*(6-1)+6)+SUMIFS('2026年05月'!$N$8:$N$38,'2026年05月'!$A$8:$A$38,"&gt;="&amp;$AJ$18+7*(6-1),'2026年05月'!$A$8:$A$38,"&lt;="&amp;$AJ$18+7*(6-1)+6)),""))</f>
        <v/>
      </c>
      <c r="AG25" s="43" t="str">
        <f>IF($AC25="","",IFERROR((SUMIFS($O$8:$O$37,$A$8:$A$37,"&gt;="&amp;$AJ$18+7*(6-1),$A$8:$A$37,"&lt;="&amp;$AJ$18+7*(6-1)+6)+SUMIFS('2026年05月'!$O$8:$O$38,'2026年05月'!$A$8:$A$38,"&gt;="&amp;$AJ$18+7*(6-1),'2026年05月'!$A$8:$A$38,"&lt;="&amp;$AJ$18+7*(6-1)+6))/(SUMIFS($N$8:$N$37,$A$8:$A$37,"&gt;="&amp;$AJ$18+7*(6-1),$A$8:$A$37,"&lt;="&amp;$AJ$18+7*(6-1)+6)+SUMIFS('2026年05月'!$N$8:$N$38,'2026年05月'!$A$8:$A$38,"&gt;="&amp;$AJ$18+7*(6-1),'2026年05月'!$A$8:$A$38,"&lt;="&amp;$AJ$18+7*(6-1)+6)),""))</f>
        <v/>
      </c>
      <c r="AH25" s="37" t="str">
        <f>IF($AC25="","",IFERROR((SUMIFS($Q$8:$Q$37,$A$8:$A$37,"&gt;="&amp;$AJ$18+7*(6-1),$A$8:$A$37,"&lt;="&amp;$AJ$18+7*(6-1)+6)+SUMIFS('2026年05月'!$Q$8:$Q$38,'2026年05月'!$A$8:$A$38,"&gt;="&amp;$AJ$18+7*(6-1),'2026年05月'!$A$8:$A$38,"&lt;="&amp;$AJ$18+7*(6-1)+6))/(SUMIFS($P$8:$P$37,$A$8:$A$37,"&gt;="&amp;$AJ$18+7*(6-1),$A$8:$A$37,"&lt;="&amp;$AJ$18+7*(6-1)+6)+SUMIFS('2026年05月'!$P$8:$P$38,'2026年05月'!$A$8:$A$38,"&gt;="&amp;$AJ$18+7*(6-1),'2026年05月'!$A$8:$A$38,"&lt;="&amp;$AJ$18+7*(6-1)+6)),""))</f>
        <v/>
      </c>
    </row>
    <row r="26" ht="15.75" customHeight="1">
      <c r="A26" s="28">
        <v>46131.0</v>
      </c>
      <c r="B26" s="10" t="str">
        <f t="shared" si="2"/>
        <v>日</v>
      </c>
      <c r="C26" s="29">
        <v>400000.0</v>
      </c>
      <c r="D26" s="11">
        <f t="shared" si="3"/>
        <v>6300000</v>
      </c>
      <c r="E26" s="29">
        <v>205280.0</v>
      </c>
      <c r="F26" s="29">
        <v>233470.0</v>
      </c>
      <c r="G26" s="29">
        <v>-11208.0</v>
      </c>
      <c r="H26" s="11">
        <f t="shared" si="4"/>
        <v>427542</v>
      </c>
      <c r="I26" s="11">
        <f t="shared" si="5"/>
        <v>3313885</v>
      </c>
      <c r="J26" s="12">
        <f t="shared" ref="J26:K26" si="33">IF(H26="","",IFERROR(H26/C26,""))</f>
        <v>1.068855</v>
      </c>
      <c r="K26" s="12">
        <f t="shared" si="33"/>
        <v>0.5260134921</v>
      </c>
      <c r="L26" s="11">
        <f t="shared" si="7"/>
        <v>-2986115</v>
      </c>
      <c r="M26" s="30" t="str">
        <f t="shared" si="8"/>
        <v>▲ 遅れ</v>
      </c>
      <c r="N26" s="31">
        <v>21.0</v>
      </c>
      <c r="O26" s="31">
        <v>21.0</v>
      </c>
      <c r="P26" s="31">
        <v>42.0</v>
      </c>
      <c r="Q26" s="31">
        <v>26.0</v>
      </c>
      <c r="R26" s="31">
        <v>39.0</v>
      </c>
      <c r="S26" s="12">
        <f t="shared" si="9"/>
        <v>0.5</v>
      </c>
      <c r="T26" s="11">
        <f t="shared" si="10"/>
        <v>20359.14286</v>
      </c>
      <c r="U26" s="32">
        <f t="shared" si="11"/>
        <v>1</v>
      </c>
      <c r="V26" s="12">
        <f t="shared" si="12"/>
        <v>0.619047619</v>
      </c>
      <c r="W26" s="31"/>
      <c r="X26" s="31">
        <v>8572.0</v>
      </c>
      <c r="Y26" s="29">
        <v>0.0</v>
      </c>
      <c r="Z26" s="33"/>
      <c r="AB26" s="22" t="s">
        <v>78</v>
      </c>
    </row>
    <row r="27" ht="15.75" customHeight="1">
      <c r="A27" s="38">
        <v>46132.0</v>
      </c>
      <c r="B27" s="14" t="str">
        <f t="shared" si="2"/>
        <v>月</v>
      </c>
      <c r="C27" s="29">
        <v>300000.0</v>
      </c>
      <c r="D27" s="15">
        <f t="shared" si="3"/>
        <v>6600000</v>
      </c>
      <c r="E27" s="29">
        <v>120710.0</v>
      </c>
      <c r="F27" s="29">
        <v>92220.0</v>
      </c>
      <c r="G27" s="29">
        <v>223.0</v>
      </c>
      <c r="H27" s="15">
        <f t="shared" si="4"/>
        <v>213153</v>
      </c>
      <c r="I27" s="15">
        <f t="shared" si="5"/>
        <v>3527038</v>
      </c>
      <c r="J27" s="16">
        <f t="shared" ref="J27:K27" si="34">IF(H27="","",IFERROR(H27/C27,""))</f>
        <v>0.71051</v>
      </c>
      <c r="K27" s="16">
        <f t="shared" si="34"/>
        <v>0.534399697</v>
      </c>
      <c r="L27" s="15">
        <f t="shared" si="7"/>
        <v>-3072962</v>
      </c>
      <c r="M27" s="39" t="str">
        <f t="shared" si="8"/>
        <v>▲ 遅れ</v>
      </c>
      <c r="N27" s="31">
        <v>10.0</v>
      </c>
      <c r="O27" s="31">
        <v>11.0</v>
      </c>
      <c r="P27" s="31">
        <v>34.0</v>
      </c>
      <c r="Q27" s="31">
        <v>11.0</v>
      </c>
      <c r="R27" s="31">
        <v>19.0</v>
      </c>
      <c r="S27" s="16">
        <f t="shared" si="9"/>
        <v>0.2941176471</v>
      </c>
      <c r="T27" s="15">
        <f t="shared" si="10"/>
        <v>21315.3</v>
      </c>
      <c r="U27" s="40">
        <f t="shared" si="11"/>
        <v>1.1</v>
      </c>
      <c r="V27" s="16">
        <f t="shared" si="12"/>
        <v>0.3235294118</v>
      </c>
      <c r="W27" s="31"/>
      <c r="X27" s="31">
        <v>8640.0</v>
      </c>
      <c r="Y27" s="29">
        <v>0.0</v>
      </c>
      <c r="Z27" s="33"/>
      <c r="AB27" s="22" t="s">
        <v>79</v>
      </c>
    </row>
    <row r="28" ht="15.75" customHeight="1">
      <c r="A28" s="28">
        <v>46133.0</v>
      </c>
      <c r="B28" s="10" t="str">
        <f t="shared" si="2"/>
        <v>火</v>
      </c>
      <c r="C28" s="29">
        <v>300000.0</v>
      </c>
      <c r="D28" s="11">
        <f t="shared" si="3"/>
        <v>6900000</v>
      </c>
      <c r="E28" s="29">
        <v>26510.0</v>
      </c>
      <c r="F28" s="29">
        <v>72430.0</v>
      </c>
      <c r="G28" s="29">
        <v>25300.0</v>
      </c>
      <c r="H28" s="11">
        <f t="shared" si="4"/>
        <v>124240</v>
      </c>
      <c r="I28" s="11">
        <f t="shared" si="5"/>
        <v>3651278</v>
      </c>
      <c r="J28" s="12">
        <f t="shared" ref="J28:K28" si="35">IF(H28="","",IFERROR(H28/C28,""))</f>
        <v>0.4141333333</v>
      </c>
      <c r="K28" s="12">
        <f t="shared" si="35"/>
        <v>0.5291707246</v>
      </c>
      <c r="L28" s="11">
        <f t="shared" si="7"/>
        <v>-3248722</v>
      </c>
      <c r="M28" s="30" t="str">
        <f t="shared" si="8"/>
        <v>▲ 遅れ</v>
      </c>
      <c r="N28" s="31">
        <v>5.0</v>
      </c>
      <c r="O28" s="31">
        <v>5.0</v>
      </c>
      <c r="P28" s="31">
        <v>23.0</v>
      </c>
      <c r="Q28" s="31">
        <v>10.0</v>
      </c>
      <c r="R28" s="31">
        <v>13.0</v>
      </c>
      <c r="S28" s="12">
        <f t="shared" si="9"/>
        <v>0.2173913043</v>
      </c>
      <c r="T28" s="11">
        <f t="shared" si="10"/>
        <v>24848</v>
      </c>
      <c r="U28" s="32">
        <f t="shared" si="11"/>
        <v>1</v>
      </c>
      <c r="V28" s="12">
        <f t="shared" si="12"/>
        <v>0.4347826087</v>
      </c>
      <c r="W28" s="31"/>
      <c r="X28" s="31">
        <v>8722.0</v>
      </c>
      <c r="Y28" s="29">
        <v>0.0</v>
      </c>
      <c r="Z28" s="33"/>
      <c r="AB28" s="22" t="s">
        <v>80</v>
      </c>
    </row>
    <row r="29" ht="15.75" customHeight="1">
      <c r="A29" s="38">
        <v>46134.0</v>
      </c>
      <c r="B29" s="14" t="str">
        <f t="shared" si="2"/>
        <v>水</v>
      </c>
      <c r="C29" s="29">
        <v>300000.0</v>
      </c>
      <c r="D29" s="15">
        <f t="shared" si="3"/>
        <v>7200000</v>
      </c>
      <c r="E29" s="29">
        <v>72040.0</v>
      </c>
      <c r="F29" s="29">
        <v>106250.0</v>
      </c>
      <c r="G29" s="29">
        <v>-16983.0</v>
      </c>
      <c r="H29" s="15">
        <f t="shared" si="4"/>
        <v>161307</v>
      </c>
      <c r="I29" s="15">
        <f t="shared" si="5"/>
        <v>3812585</v>
      </c>
      <c r="J29" s="16">
        <f t="shared" ref="J29:K29" si="36">IF(H29="","",IFERROR(H29/C29,""))</f>
        <v>0.53769</v>
      </c>
      <c r="K29" s="16">
        <f t="shared" si="36"/>
        <v>0.5295256944</v>
      </c>
      <c r="L29" s="15">
        <f t="shared" si="7"/>
        <v>-3387415</v>
      </c>
      <c r="M29" s="39" t="str">
        <f t="shared" si="8"/>
        <v>▲ 遅れ</v>
      </c>
      <c r="N29" s="31">
        <v>6.0</v>
      </c>
      <c r="O29" s="31">
        <v>10.0</v>
      </c>
      <c r="P29" s="31">
        <v>23.0</v>
      </c>
      <c r="Q29" s="31">
        <v>6.0</v>
      </c>
      <c r="R29" s="31">
        <v>11.0</v>
      </c>
      <c r="S29" s="16">
        <f t="shared" si="9"/>
        <v>0.2608695652</v>
      </c>
      <c r="T29" s="15">
        <f t="shared" si="10"/>
        <v>26884.5</v>
      </c>
      <c r="U29" s="40">
        <f t="shared" si="11"/>
        <v>1.666666667</v>
      </c>
      <c r="V29" s="16">
        <f t="shared" si="12"/>
        <v>0.2608695652</v>
      </c>
      <c r="W29" s="31"/>
      <c r="X29" s="31">
        <v>8794.0</v>
      </c>
      <c r="Y29" s="29">
        <v>0.0</v>
      </c>
      <c r="Z29" s="33"/>
    </row>
    <row r="30" ht="15.75" customHeight="1">
      <c r="A30" s="28">
        <v>46135.0</v>
      </c>
      <c r="B30" s="10" t="str">
        <f t="shared" si="2"/>
        <v>木</v>
      </c>
      <c r="C30" s="29">
        <v>300000.0</v>
      </c>
      <c r="D30" s="11">
        <f t="shared" si="3"/>
        <v>7500000</v>
      </c>
      <c r="E30" s="29">
        <v>97440.0</v>
      </c>
      <c r="F30" s="29">
        <v>62420.0</v>
      </c>
      <c r="G30" s="29">
        <v>41186.0</v>
      </c>
      <c r="H30" s="11">
        <f t="shared" si="4"/>
        <v>201046</v>
      </c>
      <c r="I30" s="11">
        <f t="shared" si="5"/>
        <v>4013631</v>
      </c>
      <c r="J30" s="12">
        <f t="shared" ref="J30:K30" si="37">IF(H30="","",IFERROR(H30/C30,""))</f>
        <v>0.6701533333</v>
      </c>
      <c r="K30" s="12">
        <f t="shared" si="37"/>
        <v>0.5351508</v>
      </c>
      <c r="L30" s="11">
        <f t="shared" si="7"/>
        <v>-3486369</v>
      </c>
      <c r="M30" s="30" t="str">
        <f t="shared" si="8"/>
        <v>▲ 遅れ</v>
      </c>
      <c r="N30" s="31">
        <v>10.0</v>
      </c>
      <c r="O30" s="31">
        <v>11.0</v>
      </c>
      <c r="P30" s="31">
        <v>30.0</v>
      </c>
      <c r="Q30" s="31">
        <v>12.0</v>
      </c>
      <c r="R30" s="31">
        <v>21.0</v>
      </c>
      <c r="S30" s="12">
        <f t="shared" si="9"/>
        <v>0.3333333333</v>
      </c>
      <c r="T30" s="11">
        <f t="shared" si="10"/>
        <v>20104.6</v>
      </c>
      <c r="U30" s="32">
        <f t="shared" si="11"/>
        <v>1.1</v>
      </c>
      <c r="V30" s="12">
        <f t="shared" si="12"/>
        <v>0.4</v>
      </c>
      <c r="W30" s="31"/>
      <c r="X30" s="31">
        <v>8853.0</v>
      </c>
      <c r="Y30" s="29">
        <v>0.0</v>
      </c>
      <c r="Z30" s="33"/>
    </row>
    <row r="31" ht="15.75" customHeight="1">
      <c r="A31" s="38">
        <v>46136.0</v>
      </c>
      <c r="B31" s="14" t="str">
        <f t="shared" si="2"/>
        <v>金</v>
      </c>
      <c r="C31" s="29">
        <v>300000.0</v>
      </c>
      <c r="D31" s="15">
        <f t="shared" si="3"/>
        <v>7800000</v>
      </c>
      <c r="E31" s="29">
        <v>21610.0</v>
      </c>
      <c r="F31" s="29">
        <v>232510.0</v>
      </c>
      <c r="G31" s="29">
        <v>-24407.0</v>
      </c>
      <c r="H31" s="15">
        <f t="shared" si="4"/>
        <v>229713</v>
      </c>
      <c r="I31" s="15">
        <f t="shared" si="5"/>
        <v>4243344</v>
      </c>
      <c r="J31" s="16">
        <f t="shared" ref="J31:K31" si="38">IF(H31="","",IFERROR(H31/C31,""))</f>
        <v>0.76571</v>
      </c>
      <c r="K31" s="16">
        <f t="shared" si="38"/>
        <v>0.5440184615</v>
      </c>
      <c r="L31" s="15">
        <f t="shared" si="7"/>
        <v>-3556656</v>
      </c>
      <c r="M31" s="39" t="str">
        <f t="shared" si="8"/>
        <v>▲ 遅れ</v>
      </c>
      <c r="N31" s="31">
        <v>11.0</v>
      </c>
      <c r="O31" s="31">
        <v>13.0</v>
      </c>
      <c r="P31" s="31">
        <v>34.0</v>
      </c>
      <c r="Q31" s="31">
        <v>14.0</v>
      </c>
      <c r="R31" s="31">
        <v>25.0</v>
      </c>
      <c r="S31" s="16">
        <f t="shared" si="9"/>
        <v>0.3235294118</v>
      </c>
      <c r="T31" s="15">
        <f t="shared" si="10"/>
        <v>20883</v>
      </c>
      <c r="U31" s="40">
        <f t="shared" si="11"/>
        <v>1.181818182</v>
      </c>
      <c r="V31" s="16">
        <f t="shared" si="12"/>
        <v>0.4117647059</v>
      </c>
      <c r="W31" s="31"/>
      <c r="X31" s="31">
        <v>8942.0</v>
      </c>
      <c r="Y31" s="29">
        <v>0.0</v>
      </c>
      <c r="Z31" s="33"/>
    </row>
    <row r="32" ht="15.75" customHeight="1">
      <c r="A32" s="28">
        <v>46137.0</v>
      </c>
      <c r="B32" s="10" t="str">
        <f t="shared" si="2"/>
        <v>土</v>
      </c>
      <c r="C32" s="29">
        <v>600000.0</v>
      </c>
      <c r="D32" s="11">
        <f t="shared" si="3"/>
        <v>8400000</v>
      </c>
      <c r="E32" s="29">
        <v>121140.0</v>
      </c>
      <c r="F32" s="29">
        <v>158980.0</v>
      </c>
      <c r="G32" s="29">
        <v>83003.0</v>
      </c>
      <c r="H32" s="11">
        <f t="shared" si="4"/>
        <v>363123</v>
      </c>
      <c r="I32" s="11">
        <f t="shared" si="5"/>
        <v>4606467</v>
      </c>
      <c r="J32" s="12">
        <f t="shared" ref="J32:K32" si="39">IF(H32="","",IFERROR(H32/C32,""))</f>
        <v>0.605205</v>
      </c>
      <c r="K32" s="12">
        <f t="shared" si="39"/>
        <v>0.5483889286</v>
      </c>
      <c r="L32" s="11">
        <f t="shared" si="7"/>
        <v>-3793533</v>
      </c>
      <c r="M32" s="30" t="str">
        <f t="shared" si="8"/>
        <v>▲ 遅れ</v>
      </c>
      <c r="N32" s="31">
        <v>17.0</v>
      </c>
      <c r="O32" s="31">
        <v>18.0</v>
      </c>
      <c r="P32" s="31">
        <v>63.0</v>
      </c>
      <c r="Q32" s="31">
        <v>23.0</v>
      </c>
      <c r="R32" s="31">
        <v>40.0</v>
      </c>
      <c r="S32" s="12">
        <f t="shared" si="9"/>
        <v>0.2698412698</v>
      </c>
      <c r="T32" s="11">
        <f t="shared" si="10"/>
        <v>21360.17647</v>
      </c>
      <c r="U32" s="32">
        <f t="shared" si="11"/>
        <v>1.058823529</v>
      </c>
      <c r="V32" s="12">
        <f t="shared" si="12"/>
        <v>0.3650793651</v>
      </c>
      <c r="W32" s="31"/>
      <c r="X32" s="31">
        <v>8988.0</v>
      </c>
      <c r="Y32" s="29">
        <v>0.0</v>
      </c>
      <c r="Z32" s="33"/>
    </row>
    <row r="33" ht="15.75" customHeight="1">
      <c r="A33" s="38">
        <v>46138.0</v>
      </c>
      <c r="B33" s="14" t="str">
        <f t="shared" si="2"/>
        <v>日</v>
      </c>
      <c r="C33" s="29">
        <v>400000.0</v>
      </c>
      <c r="D33" s="15">
        <f t="shared" si="3"/>
        <v>8800000</v>
      </c>
      <c r="E33" s="29">
        <v>147770.0</v>
      </c>
      <c r="F33" s="29">
        <v>324611.0</v>
      </c>
      <c r="G33" s="29">
        <v>31638.0</v>
      </c>
      <c r="H33" s="15">
        <f t="shared" si="4"/>
        <v>504019</v>
      </c>
      <c r="I33" s="15">
        <f t="shared" si="5"/>
        <v>5110486</v>
      </c>
      <c r="J33" s="16">
        <f t="shared" ref="J33:K33" si="40">IF(H33="","",IFERROR(H33/C33,""))</f>
        <v>1.2600475</v>
      </c>
      <c r="K33" s="16">
        <f t="shared" si="40"/>
        <v>0.5807370455</v>
      </c>
      <c r="L33" s="15">
        <f t="shared" si="7"/>
        <v>-3689514</v>
      </c>
      <c r="M33" s="39" t="str">
        <f t="shared" si="8"/>
        <v>▲ 遅れ</v>
      </c>
      <c r="N33" s="31">
        <v>24.0</v>
      </c>
      <c r="O33" s="31">
        <v>26.0</v>
      </c>
      <c r="P33" s="31">
        <v>39.0</v>
      </c>
      <c r="Q33" s="31">
        <v>23.0</v>
      </c>
      <c r="R33" s="31">
        <v>49.0</v>
      </c>
      <c r="S33" s="16">
        <f t="shared" si="9"/>
        <v>0.6153846154</v>
      </c>
      <c r="T33" s="15">
        <f t="shared" si="10"/>
        <v>21000.79167</v>
      </c>
      <c r="U33" s="40">
        <f t="shared" si="11"/>
        <v>1.083333333</v>
      </c>
      <c r="V33" s="16">
        <f t="shared" si="12"/>
        <v>0.5897435897</v>
      </c>
      <c r="W33" s="31"/>
      <c r="X33" s="31">
        <v>9035.0</v>
      </c>
      <c r="Y33" s="29">
        <v>0.0</v>
      </c>
      <c r="Z33" s="33"/>
    </row>
    <row r="34" ht="15.75" customHeight="1">
      <c r="A34" s="28">
        <v>46139.0</v>
      </c>
      <c r="B34" s="10" t="str">
        <f t="shared" si="2"/>
        <v>月</v>
      </c>
      <c r="C34" s="29">
        <v>300000.0</v>
      </c>
      <c r="D34" s="11">
        <f t="shared" si="3"/>
        <v>9100000</v>
      </c>
      <c r="E34" s="29">
        <v>36900.0</v>
      </c>
      <c r="F34" s="29">
        <v>75830.0</v>
      </c>
      <c r="G34" s="29">
        <v>-10822.0</v>
      </c>
      <c r="H34" s="11">
        <f t="shared" si="4"/>
        <v>101908</v>
      </c>
      <c r="I34" s="11">
        <f t="shared" si="5"/>
        <v>5212394</v>
      </c>
      <c r="J34" s="12">
        <f t="shared" ref="J34:K34" si="41">IF(H34="","",IFERROR(H34/C34,""))</f>
        <v>0.3396933333</v>
      </c>
      <c r="K34" s="12">
        <f t="shared" si="41"/>
        <v>0.5727905495</v>
      </c>
      <c r="L34" s="11">
        <f t="shared" si="7"/>
        <v>-3887606</v>
      </c>
      <c r="M34" s="30" t="str">
        <f t="shared" si="8"/>
        <v>▲ 遅れ</v>
      </c>
      <c r="N34" s="31">
        <v>6.0</v>
      </c>
      <c r="O34" s="31">
        <v>6.0</v>
      </c>
      <c r="P34" s="31">
        <v>28.0</v>
      </c>
      <c r="Q34" s="31">
        <v>9.0</v>
      </c>
      <c r="R34" s="31">
        <v>18.0</v>
      </c>
      <c r="S34" s="12">
        <f t="shared" si="9"/>
        <v>0.2142857143</v>
      </c>
      <c r="T34" s="11">
        <f t="shared" si="10"/>
        <v>16984.66667</v>
      </c>
      <c r="U34" s="32">
        <f t="shared" si="11"/>
        <v>1</v>
      </c>
      <c r="V34" s="12">
        <f t="shared" si="12"/>
        <v>0.3214285714</v>
      </c>
      <c r="W34" s="31"/>
      <c r="X34" s="31">
        <v>9033.0</v>
      </c>
      <c r="Y34" s="29">
        <v>0.0</v>
      </c>
      <c r="Z34" s="33"/>
    </row>
    <row r="35" ht="15.75" customHeight="1">
      <c r="A35" s="38">
        <v>46140.0</v>
      </c>
      <c r="B35" s="14" t="str">
        <f t="shared" si="2"/>
        <v>火</v>
      </c>
      <c r="C35" s="29">
        <v>300000.0</v>
      </c>
      <c r="D35" s="15">
        <f t="shared" si="3"/>
        <v>9400000</v>
      </c>
      <c r="E35" s="29">
        <v>33050.0</v>
      </c>
      <c r="F35" s="29">
        <v>131650.0</v>
      </c>
      <c r="G35" s="29">
        <v>43246.0</v>
      </c>
      <c r="H35" s="15">
        <f t="shared" si="4"/>
        <v>207946</v>
      </c>
      <c r="I35" s="15">
        <f t="shared" si="5"/>
        <v>5420340</v>
      </c>
      <c r="J35" s="16">
        <f t="shared" ref="J35:K35" si="42">IF(H35="","",IFERROR(H35/C35,""))</f>
        <v>0.6931533333</v>
      </c>
      <c r="K35" s="16">
        <f t="shared" si="42"/>
        <v>0.5766319149</v>
      </c>
      <c r="L35" s="15">
        <f t="shared" si="7"/>
        <v>-3979660</v>
      </c>
      <c r="M35" s="39" t="str">
        <f t="shared" si="8"/>
        <v>▲ 遅れ</v>
      </c>
      <c r="N35" s="31">
        <v>11.0</v>
      </c>
      <c r="O35" s="31">
        <v>11.0</v>
      </c>
      <c r="P35" s="31">
        <v>26.0</v>
      </c>
      <c r="Q35" s="31">
        <v>10.0</v>
      </c>
      <c r="R35" s="31">
        <v>16.0</v>
      </c>
      <c r="S35" s="16">
        <f t="shared" si="9"/>
        <v>0.4230769231</v>
      </c>
      <c r="T35" s="15">
        <f t="shared" si="10"/>
        <v>18904.18182</v>
      </c>
      <c r="U35" s="40">
        <f t="shared" si="11"/>
        <v>1</v>
      </c>
      <c r="V35" s="16">
        <f t="shared" si="12"/>
        <v>0.3846153846</v>
      </c>
      <c r="W35" s="31"/>
      <c r="X35" s="31">
        <v>9029.0</v>
      </c>
      <c r="Y35" s="29">
        <v>0.0</v>
      </c>
      <c r="Z35" s="33"/>
    </row>
    <row r="36" ht="15.75" customHeight="1">
      <c r="A36" s="28">
        <v>46141.0</v>
      </c>
      <c r="B36" s="10" t="str">
        <f t="shared" si="2"/>
        <v>水</v>
      </c>
      <c r="C36" s="29">
        <v>500000.0</v>
      </c>
      <c r="D36" s="11">
        <f t="shared" si="3"/>
        <v>9900000</v>
      </c>
      <c r="E36" s="29">
        <v>90900.0</v>
      </c>
      <c r="F36" s="29">
        <v>402270.0</v>
      </c>
      <c r="G36" s="29">
        <v>22116.0</v>
      </c>
      <c r="H36" s="11">
        <f t="shared" si="4"/>
        <v>515286</v>
      </c>
      <c r="I36" s="11">
        <f t="shared" si="5"/>
        <v>5935626</v>
      </c>
      <c r="J36" s="12">
        <f t="shared" ref="J36:K36" si="43">IF(H36="","",IFERROR(H36/C36,""))</f>
        <v>1.030572</v>
      </c>
      <c r="K36" s="12">
        <f t="shared" si="43"/>
        <v>0.5995581818</v>
      </c>
      <c r="L36" s="11">
        <f t="shared" si="7"/>
        <v>-3964374</v>
      </c>
      <c r="M36" s="30" t="str">
        <f t="shared" si="8"/>
        <v>▲ 遅れ</v>
      </c>
      <c r="N36" s="31">
        <v>27.0</v>
      </c>
      <c r="O36" s="31">
        <v>27.0</v>
      </c>
      <c r="P36" s="31">
        <v>56.0</v>
      </c>
      <c r="Q36" s="31">
        <v>27.0</v>
      </c>
      <c r="R36" s="31">
        <v>51.0</v>
      </c>
      <c r="S36" s="12">
        <f t="shared" si="9"/>
        <v>0.4821428571</v>
      </c>
      <c r="T36" s="11">
        <f t="shared" si="10"/>
        <v>19084.66667</v>
      </c>
      <c r="U36" s="32">
        <f t="shared" si="11"/>
        <v>1</v>
      </c>
      <c r="V36" s="12">
        <f t="shared" si="12"/>
        <v>0.4821428571</v>
      </c>
      <c r="W36" s="31"/>
      <c r="X36" s="31">
        <v>9024.0</v>
      </c>
      <c r="Y36" s="29">
        <v>2510.0</v>
      </c>
      <c r="Z36" s="33"/>
    </row>
    <row r="37" ht="15.75" customHeight="1">
      <c r="A37" s="38">
        <v>46142.0</v>
      </c>
      <c r="B37" s="14" t="str">
        <f t="shared" si="2"/>
        <v>木</v>
      </c>
      <c r="C37" s="29">
        <v>300000.0</v>
      </c>
      <c r="D37" s="15">
        <f t="shared" si="3"/>
        <v>10200000</v>
      </c>
      <c r="E37" s="29">
        <v>276802.0</v>
      </c>
      <c r="F37" s="29">
        <v>92120.0</v>
      </c>
      <c r="G37" s="29">
        <v>27266.0</v>
      </c>
      <c r="H37" s="15">
        <f t="shared" si="4"/>
        <v>396188</v>
      </c>
      <c r="I37" s="15">
        <f t="shared" si="5"/>
        <v>6331814</v>
      </c>
      <c r="J37" s="16">
        <f t="shared" ref="J37:K37" si="44">IF(H37="","",IFERROR(H37/C37,""))</f>
        <v>1.320626667</v>
      </c>
      <c r="K37" s="16">
        <f t="shared" si="44"/>
        <v>0.6207660784</v>
      </c>
      <c r="L37" s="15">
        <f t="shared" si="7"/>
        <v>-3868186</v>
      </c>
      <c r="M37" s="39" t="str">
        <f t="shared" si="8"/>
        <v>▲ 遅れ</v>
      </c>
      <c r="N37" s="31">
        <v>18.0</v>
      </c>
      <c r="O37" s="31">
        <v>22.0</v>
      </c>
      <c r="P37" s="31">
        <v>43.0</v>
      </c>
      <c r="Q37" s="31">
        <v>16.0</v>
      </c>
      <c r="R37" s="31">
        <v>28.0</v>
      </c>
      <c r="S37" s="16">
        <f t="shared" si="9"/>
        <v>0.4186046512</v>
      </c>
      <c r="T37" s="15">
        <f t="shared" si="10"/>
        <v>22010.44444</v>
      </c>
      <c r="U37" s="40">
        <f t="shared" si="11"/>
        <v>1.222222222</v>
      </c>
      <c r="V37" s="16">
        <f t="shared" si="12"/>
        <v>0.3720930233</v>
      </c>
      <c r="W37" s="31"/>
      <c r="X37" s="31">
        <v>9024.0</v>
      </c>
      <c r="Y37" s="29">
        <v>0.0</v>
      </c>
      <c r="Z37" s="33"/>
    </row>
    <row r="38" ht="15.75" customHeight="1">
      <c r="A38" s="44" t="s">
        <v>81</v>
      </c>
      <c r="B38" s="18"/>
      <c r="C38" s="19">
        <f>SUM(C8:C37)</f>
        <v>10200000</v>
      </c>
      <c r="D38" s="19">
        <f>C38</f>
        <v>10200000</v>
      </c>
      <c r="E38" s="19">
        <f t="shared" ref="E38:H38" si="45">SUM(E8:E37)</f>
        <v>2044589</v>
      </c>
      <c r="F38" s="19">
        <f t="shared" si="45"/>
        <v>3884056</v>
      </c>
      <c r="G38" s="19">
        <f t="shared" si="45"/>
        <v>403169</v>
      </c>
      <c r="H38" s="19">
        <f t="shared" si="45"/>
        <v>6331814</v>
      </c>
      <c r="I38" s="19">
        <f>H38</f>
        <v>6331814</v>
      </c>
      <c r="J38" s="20">
        <f>IFERROR(H38/C38,"")</f>
        <v>0.6207660784</v>
      </c>
      <c r="K38" s="20">
        <f>IFERROR(H38/C38,"")</f>
        <v>0.6207660784</v>
      </c>
      <c r="L38" s="19">
        <f>H38-C38</f>
        <v>-3868186</v>
      </c>
      <c r="M38" s="45"/>
      <c r="N38" s="21">
        <f t="shared" ref="N38:R38" si="46">SUM(N8:N37)</f>
        <v>306</v>
      </c>
      <c r="O38" s="21">
        <f t="shared" si="46"/>
        <v>338</v>
      </c>
      <c r="P38" s="21">
        <f t="shared" si="46"/>
        <v>938</v>
      </c>
      <c r="Q38" s="21">
        <f t="shared" si="46"/>
        <v>446</v>
      </c>
      <c r="R38" s="21">
        <f t="shared" si="46"/>
        <v>407</v>
      </c>
      <c r="S38" s="20">
        <f t="shared" si="9"/>
        <v>0.3262260128</v>
      </c>
      <c r="T38" s="19">
        <f t="shared" si="10"/>
        <v>20692.20261</v>
      </c>
      <c r="U38" s="46">
        <f t="shared" si="11"/>
        <v>1.104575163</v>
      </c>
      <c r="V38" s="20">
        <f t="shared" si="12"/>
        <v>0.4754797441</v>
      </c>
      <c r="W38" s="21">
        <f>SUM(W8:W37)</f>
        <v>0</v>
      </c>
      <c r="X38" s="21">
        <f>IFERROR(LOOKUP(9.99E+307,X8:X37),"")</f>
        <v>9024</v>
      </c>
      <c r="Y38" s="19">
        <f>SUM(Y8:Y37)</f>
        <v>2510</v>
      </c>
      <c r="Z38" s="47" t="s">
        <v>82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Z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L8:L37">
    <cfRule type="expression" dxfId="0" priority="1">
      <formula>AND($H8&lt;&gt;"",$L8&gt;=0)</formula>
    </cfRule>
  </conditionalFormatting>
  <conditionalFormatting sqref="L8:L37">
    <cfRule type="expression" dxfId="1" priority="2">
      <formula>AND($H8&lt;&gt;"",$L8&lt;0)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7" width="11.0"/>
    <col customWidth="1" min="8" max="8" width="12.0"/>
    <col customWidth="1" min="9" max="9" width="13.0"/>
    <col customWidth="1" min="10" max="11" width="9.0"/>
    <col customWidth="1" min="12" max="12" width="13.0"/>
    <col customWidth="1" min="13" max="13" width="11.0"/>
    <col customWidth="1" min="14" max="19" width="8.0"/>
    <col customWidth="1" min="20" max="20" width="11.0"/>
    <col customWidth="1" min="21" max="23" width="8.0"/>
    <col customWidth="1" min="24" max="24" width="10.0"/>
    <col customWidth="1" min="25" max="25" width="9.0"/>
    <col customWidth="1" min="26" max="26" width="28.0"/>
    <col customWidth="1" min="27" max="27" width="3.0"/>
    <col customWidth="1" min="28" max="28" width="5.0"/>
    <col customWidth="1" min="29" max="29" width="13.0"/>
    <col customWidth="1" min="30" max="30" width="12.0"/>
    <col customWidth="1" min="31" max="31" width="9.0"/>
    <col customWidth="1" min="32" max="32" width="11.0"/>
    <col customWidth="1" min="33" max="35" width="9.0"/>
    <col customWidth="1" min="36" max="36" width="8.0"/>
  </cols>
  <sheetData>
    <row r="1" ht="27.75" customHeight="1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84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IF('設定'!$B$9="",SUM(C8:C38),'設定'!$B$9)</f>
        <v>6625036</v>
      </c>
      <c r="B4" s="6"/>
      <c r="C4" s="7">
        <f>SUM(H8:H38)</f>
        <v>6030095</v>
      </c>
      <c r="D4" s="6"/>
      <c r="E4" s="8">
        <f>IFERROR(C4/A4,0)</f>
        <v>0.9101980729</v>
      </c>
      <c r="F4" s="6"/>
      <c r="G4" s="25">
        <f>COUNTIF(H8:H38,"&gt;0")</f>
        <v>31</v>
      </c>
      <c r="H4" s="6"/>
      <c r="I4" s="7">
        <f>A4-C4</f>
        <v>594941</v>
      </c>
      <c r="J4" s="6"/>
      <c r="K4" s="7">
        <f>IF((31-G4)&gt;0,(A4-C4)/(31-G4),0)</f>
        <v>0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SUM(C8:C38)</f>
        <v>11200000</v>
      </c>
      <c r="B6" s="6"/>
      <c r="C6" s="7">
        <f>IFERROR(C4/G4*31,0)</f>
        <v>6030095</v>
      </c>
      <c r="D6" s="6"/>
      <c r="E6" s="8">
        <f>IFERROR(N39/P39,0)</f>
        <v>0.2701421801</v>
      </c>
      <c r="F6" s="6"/>
      <c r="G6" s="7">
        <f>IFERROR(H39/N39,0)</f>
        <v>21158.22807</v>
      </c>
      <c r="H6" s="6"/>
      <c r="I6" s="26">
        <f>IFERROR(O39/N39,0)</f>
        <v>1.098245614</v>
      </c>
      <c r="J6" s="6"/>
      <c r="K6" s="8">
        <f>IFERROR(Q39/P39,0)</f>
        <v>0.336492891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85</v>
      </c>
      <c r="H7" s="9" t="s">
        <v>51</v>
      </c>
      <c r="I7" s="9" t="s">
        <v>19</v>
      </c>
      <c r="J7" s="9" t="s">
        <v>52</v>
      </c>
      <c r="K7" s="9" t="s">
        <v>53</v>
      </c>
      <c r="L7" s="9" t="s">
        <v>54</v>
      </c>
      <c r="M7" s="9" t="s">
        <v>55</v>
      </c>
      <c r="N7" s="9" t="s">
        <v>14</v>
      </c>
      <c r="O7" s="9" t="s">
        <v>56</v>
      </c>
      <c r="P7" s="9" t="s">
        <v>15</v>
      </c>
      <c r="Q7" s="9" t="s">
        <v>57</v>
      </c>
      <c r="R7" s="9" t="s">
        <v>58</v>
      </c>
      <c r="S7" s="9" t="s">
        <v>16</v>
      </c>
      <c r="T7" s="9" t="s">
        <v>17</v>
      </c>
      <c r="U7" s="9" t="s">
        <v>43</v>
      </c>
      <c r="V7" s="9" t="s">
        <v>44</v>
      </c>
      <c r="W7" s="9" t="s">
        <v>59</v>
      </c>
      <c r="X7" s="9" t="s">
        <v>60</v>
      </c>
      <c r="Y7" s="9" t="s">
        <v>61</v>
      </c>
      <c r="Z7" s="9" t="s">
        <v>62</v>
      </c>
      <c r="AB7" s="27" t="s">
        <v>63</v>
      </c>
      <c r="AC7" s="27" t="s">
        <v>64</v>
      </c>
      <c r="AD7" s="27" t="s">
        <v>65</v>
      </c>
      <c r="AE7" s="27" t="s">
        <v>16</v>
      </c>
      <c r="AF7" s="27" t="s">
        <v>17</v>
      </c>
    </row>
    <row r="8">
      <c r="A8" s="28">
        <v>46143.0</v>
      </c>
      <c r="B8" s="10" t="str">
        <f t="shared" ref="B8:B38" si="2">MID("日月火水木金土",WEEKDAY(A8),1)</f>
        <v>金</v>
      </c>
      <c r="C8" s="29">
        <v>300000.0</v>
      </c>
      <c r="D8" s="11">
        <f t="shared" ref="D8:D38" si="3">SUM($C$8:C8)</f>
        <v>300000</v>
      </c>
      <c r="E8" s="29">
        <v>71430.0</v>
      </c>
      <c r="F8" s="29">
        <v>52020.0</v>
      </c>
      <c r="G8" s="29">
        <v>48010.0</v>
      </c>
      <c r="H8" s="11">
        <f t="shared" ref="H8:H38" si="4">IF(COUNT(E8:G8)=0,"",SUM(E8:G8))</f>
        <v>171460</v>
      </c>
      <c r="I8" s="11">
        <f t="shared" ref="I8:I38" si="5">IF(H8="","",SUM($H$8:H8))</f>
        <v>171460</v>
      </c>
      <c r="J8" s="12">
        <f t="shared" ref="J8:K8" si="1">IF(H8="","",IFERROR(H8/C8,""))</f>
        <v>0.5715333333</v>
      </c>
      <c r="K8" s="12">
        <f t="shared" si="1"/>
        <v>0.5715333333</v>
      </c>
      <c r="L8" s="11">
        <f t="shared" ref="L8:L38" si="7">IF(I8="","",IF(D8=0,"",I8-D8))</f>
        <v>-128540</v>
      </c>
      <c r="M8" s="30" t="str">
        <f t="shared" ref="M8:M38" si="8">IF(H8="","—",IF(D8=0,"予算未入力",IF(I8&gt;=D8,"◎ ペース内","▲ 遅れ")))</f>
        <v>▲ 遅れ</v>
      </c>
      <c r="N8" s="31">
        <v>7.0</v>
      </c>
      <c r="O8" s="31">
        <v>7.0</v>
      </c>
      <c r="P8" s="31">
        <v>38.0</v>
      </c>
      <c r="Q8" s="31">
        <v>7.0</v>
      </c>
      <c r="R8" s="31">
        <v>12.0</v>
      </c>
      <c r="S8" s="12">
        <f t="shared" ref="S8:S39" si="9">IFERROR(N8/P8,"")</f>
        <v>0.1842105263</v>
      </c>
      <c r="T8" s="11">
        <f t="shared" ref="T8:T39" si="10">IFERROR(H8/N8,"")</f>
        <v>24494.28571</v>
      </c>
      <c r="U8" s="32">
        <f t="shared" ref="U8:U39" si="11">IFERROR(O8/N8,"")</f>
        <v>1</v>
      </c>
      <c r="V8" s="12">
        <f t="shared" ref="V8:V39" si="12">IFERROR(Q8/P8,"")</f>
        <v>0.1842105263</v>
      </c>
      <c r="W8" s="31"/>
      <c r="X8" s="31">
        <v>9026.0</v>
      </c>
      <c r="Y8" s="29">
        <v>0.0</v>
      </c>
      <c r="Z8" s="33"/>
      <c r="AB8" s="34" t="s">
        <v>7</v>
      </c>
      <c r="AC8" s="35">
        <f t="shared" ref="AC8:AC14" si="13">IFERROR(AVERAGEIFS($H$8:$H$38,$B$8:$B$38,AB8,$H$8:$H$38,"&gt;0"),0)</f>
        <v>247403.5</v>
      </c>
      <c r="AD8" s="36">
        <f t="shared" ref="AD8:AD14" si="14">COUNTIFS($B$8:$B$38,AB8,$H$8:$H$38,"&gt;0")</f>
        <v>4</v>
      </c>
      <c r="AE8" s="37">
        <f t="shared" ref="AE8:AE14" si="15">IFERROR(SUMIF($B$8:$B$38,AB8,$N$8:$N$38)/SUMIF($B$8:$B$38,AB8,$P$8:$P$38),0)</f>
        <v>0.3243243243</v>
      </c>
      <c r="AF8" s="35">
        <f t="shared" ref="AF8:AF14" si="16">IFERROR(SUMIF($B$8:$B$38,AB8,$H$8:$H$38)/SUMIF($B$8:$B$38,AB8,$N$8:$N$38),0)</f>
        <v>20616.95833</v>
      </c>
    </row>
    <row r="9">
      <c r="A9" s="38">
        <v>46144.0</v>
      </c>
      <c r="B9" s="14" t="str">
        <f t="shared" si="2"/>
        <v>土</v>
      </c>
      <c r="C9" s="29">
        <v>800000.0</v>
      </c>
      <c r="D9" s="15">
        <f t="shared" si="3"/>
        <v>1100000</v>
      </c>
      <c r="E9" s="29">
        <v>69730.0</v>
      </c>
      <c r="F9" s="29">
        <v>174859.0</v>
      </c>
      <c r="G9" s="29">
        <v>2574.0</v>
      </c>
      <c r="H9" s="15">
        <f t="shared" si="4"/>
        <v>247163</v>
      </c>
      <c r="I9" s="15">
        <f t="shared" si="5"/>
        <v>418623</v>
      </c>
      <c r="J9" s="16">
        <f t="shared" ref="J9:K9" si="6">IF(H9="","",IFERROR(H9/C9,""))</f>
        <v>0.30895375</v>
      </c>
      <c r="K9" s="16">
        <f t="shared" si="6"/>
        <v>0.3805663636</v>
      </c>
      <c r="L9" s="15">
        <f t="shared" si="7"/>
        <v>-681377</v>
      </c>
      <c r="M9" s="39" t="str">
        <f t="shared" si="8"/>
        <v>▲ 遅れ</v>
      </c>
      <c r="N9" s="31">
        <v>12.0</v>
      </c>
      <c r="O9" s="31">
        <v>13.0</v>
      </c>
      <c r="P9" s="31">
        <v>50.0</v>
      </c>
      <c r="Q9" s="31">
        <v>19.0</v>
      </c>
      <c r="R9" s="31">
        <v>30.0</v>
      </c>
      <c r="S9" s="16">
        <f t="shared" si="9"/>
        <v>0.24</v>
      </c>
      <c r="T9" s="15">
        <f t="shared" si="10"/>
        <v>20596.91667</v>
      </c>
      <c r="U9" s="40">
        <f t="shared" si="11"/>
        <v>1.083333333</v>
      </c>
      <c r="V9" s="16">
        <f t="shared" si="12"/>
        <v>0.38</v>
      </c>
      <c r="W9" s="31"/>
      <c r="X9" s="31">
        <v>9026.0</v>
      </c>
      <c r="Y9" s="29">
        <v>0.0</v>
      </c>
      <c r="Z9" s="33"/>
      <c r="AB9" s="34" t="s">
        <v>66</v>
      </c>
      <c r="AC9" s="35">
        <f t="shared" si="13"/>
        <v>157339.25</v>
      </c>
      <c r="AD9" s="36">
        <f t="shared" si="14"/>
        <v>4</v>
      </c>
      <c r="AE9" s="37">
        <f t="shared" si="15"/>
        <v>0.2265625</v>
      </c>
      <c r="AF9" s="35">
        <f t="shared" si="16"/>
        <v>21701.96552</v>
      </c>
    </row>
    <row r="10">
      <c r="A10" s="28">
        <v>46145.0</v>
      </c>
      <c r="B10" s="10" t="str">
        <f t="shared" si="2"/>
        <v>日</v>
      </c>
      <c r="C10" s="29">
        <v>800000.0</v>
      </c>
      <c r="D10" s="11">
        <f t="shared" si="3"/>
        <v>1900000</v>
      </c>
      <c r="E10" s="29">
        <v>90828.0</v>
      </c>
      <c r="F10" s="29">
        <v>340770.0</v>
      </c>
      <c r="G10" s="29">
        <v>18135.0</v>
      </c>
      <c r="H10" s="11">
        <f t="shared" si="4"/>
        <v>449733</v>
      </c>
      <c r="I10" s="11">
        <f t="shared" si="5"/>
        <v>868356</v>
      </c>
      <c r="J10" s="12">
        <f t="shared" ref="J10:K10" si="17">IF(H10="","",IFERROR(H10/C10,""))</f>
        <v>0.56216625</v>
      </c>
      <c r="K10" s="12">
        <f t="shared" si="17"/>
        <v>0.4570294737</v>
      </c>
      <c r="L10" s="11">
        <f t="shared" si="7"/>
        <v>-1031644</v>
      </c>
      <c r="M10" s="30" t="str">
        <f t="shared" si="8"/>
        <v>▲ 遅れ</v>
      </c>
      <c r="N10" s="31">
        <v>23.0</v>
      </c>
      <c r="O10" s="31">
        <v>25.0</v>
      </c>
      <c r="P10" s="31">
        <v>43.0</v>
      </c>
      <c r="Q10" s="31">
        <v>24.0</v>
      </c>
      <c r="R10" s="31">
        <v>52.0</v>
      </c>
      <c r="S10" s="12">
        <f t="shared" si="9"/>
        <v>0.5348837209</v>
      </c>
      <c r="T10" s="11">
        <f t="shared" si="10"/>
        <v>19553.6087</v>
      </c>
      <c r="U10" s="32">
        <f t="shared" si="11"/>
        <v>1.086956522</v>
      </c>
      <c r="V10" s="12">
        <f t="shared" si="12"/>
        <v>0.5581395349</v>
      </c>
      <c r="W10" s="31"/>
      <c r="X10" s="31">
        <v>9026.0</v>
      </c>
      <c r="Y10" s="29">
        <v>0.0</v>
      </c>
      <c r="Z10" s="33"/>
      <c r="AB10" s="34" t="s">
        <v>67</v>
      </c>
      <c r="AC10" s="35">
        <f t="shared" si="13"/>
        <v>150081.25</v>
      </c>
      <c r="AD10" s="36">
        <f t="shared" si="14"/>
        <v>4</v>
      </c>
      <c r="AE10" s="37">
        <f t="shared" si="15"/>
        <v>0.2385321101</v>
      </c>
      <c r="AF10" s="35">
        <f t="shared" si="16"/>
        <v>23089.42308</v>
      </c>
    </row>
    <row r="11">
      <c r="A11" s="38">
        <v>46146.0</v>
      </c>
      <c r="B11" s="14" t="str">
        <f t="shared" si="2"/>
        <v>月</v>
      </c>
      <c r="C11" s="29">
        <v>800000.0</v>
      </c>
      <c r="D11" s="15">
        <f t="shared" si="3"/>
        <v>2700000</v>
      </c>
      <c r="E11" s="29">
        <v>191540.0</v>
      </c>
      <c r="F11" s="29">
        <v>326020.0</v>
      </c>
      <c r="G11" s="29">
        <v>54669.0</v>
      </c>
      <c r="H11" s="15">
        <f t="shared" si="4"/>
        <v>572229</v>
      </c>
      <c r="I11" s="15">
        <f t="shared" si="5"/>
        <v>1440585</v>
      </c>
      <c r="J11" s="16">
        <f t="shared" ref="J11:K11" si="18">IF(H11="","",IFERROR(H11/C11,""))</f>
        <v>0.71528625</v>
      </c>
      <c r="K11" s="16">
        <f t="shared" si="18"/>
        <v>0.53355</v>
      </c>
      <c r="L11" s="15">
        <f t="shared" si="7"/>
        <v>-1259415</v>
      </c>
      <c r="M11" s="39" t="str">
        <f t="shared" si="8"/>
        <v>▲ 遅れ</v>
      </c>
      <c r="N11" s="31">
        <v>27.0</v>
      </c>
      <c r="O11" s="31">
        <v>29.0</v>
      </c>
      <c r="P11" s="31">
        <v>66.0</v>
      </c>
      <c r="Q11" s="31">
        <v>30.0</v>
      </c>
      <c r="R11" s="31">
        <v>44.0</v>
      </c>
      <c r="S11" s="16">
        <f t="shared" si="9"/>
        <v>0.4090909091</v>
      </c>
      <c r="T11" s="15">
        <f t="shared" si="10"/>
        <v>21193.66667</v>
      </c>
      <c r="U11" s="40">
        <f t="shared" si="11"/>
        <v>1.074074074</v>
      </c>
      <c r="V11" s="16">
        <f t="shared" si="12"/>
        <v>0.4545454545</v>
      </c>
      <c r="W11" s="31"/>
      <c r="X11" s="31">
        <v>9029.0</v>
      </c>
      <c r="Y11" s="29">
        <v>0.0</v>
      </c>
      <c r="Z11" s="33"/>
      <c r="AB11" s="34" t="s">
        <v>68</v>
      </c>
      <c r="AC11" s="35">
        <f t="shared" si="13"/>
        <v>93831.25</v>
      </c>
      <c r="AD11" s="36">
        <f t="shared" si="14"/>
        <v>4</v>
      </c>
      <c r="AE11" s="37">
        <f t="shared" si="15"/>
        <v>0.2794117647</v>
      </c>
      <c r="AF11" s="35">
        <f t="shared" si="16"/>
        <v>19753.94737</v>
      </c>
    </row>
    <row r="12">
      <c r="A12" s="28">
        <v>46147.0</v>
      </c>
      <c r="B12" s="10" t="str">
        <f t="shared" si="2"/>
        <v>火</v>
      </c>
      <c r="C12" s="29">
        <v>800000.0</v>
      </c>
      <c r="D12" s="11">
        <f t="shared" si="3"/>
        <v>3500000</v>
      </c>
      <c r="E12" s="29">
        <v>24310.0</v>
      </c>
      <c r="F12" s="29">
        <v>170369.0</v>
      </c>
      <c r="G12" s="29">
        <v>26553.0</v>
      </c>
      <c r="H12" s="11">
        <f t="shared" si="4"/>
        <v>221232</v>
      </c>
      <c r="I12" s="11">
        <f t="shared" si="5"/>
        <v>1661817</v>
      </c>
      <c r="J12" s="12">
        <f t="shared" ref="J12:K12" si="19">IF(H12="","",IFERROR(H12/C12,""))</f>
        <v>0.27654</v>
      </c>
      <c r="K12" s="12">
        <f t="shared" si="19"/>
        <v>0.4748048571</v>
      </c>
      <c r="L12" s="11">
        <f t="shared" si="7"/>
        <v>-1838183</v>
      </c>
      <c r="M12" s="30" t="str">
        <f t="shared" si="8"/>
        <v>▲ 遅れ</v>
      </c>
      <c r="N12" s="31">
        <v>10.0</v>
      </c>
      <c r="O12" s="31">
        <v>12.0</v>
      </c>
      <c r="P12" s="31">
        <v>65.0</v>
      </c>
      <c r="Q12" s="31">
        <v>14.0</v>
      </c>
      <c r="R12" s="31">
        <v>27.0</v>
      </c>
      <c r="S12" s="12">
        <f t="shared" si="9"/>
        <v>0.1538461538</v>
      </c>
      <c r="T12" s="11">
        <f t="shared" si="10"/>
        <v>22123.2</v>
      </c>
      <c r="U12" s="32">
        <f t="shared" si="11"/>
        <v>1.2</v>
      </c>
      <c r="V12" s="12">
        <f t="shared" si="12"/>
        <v>0.2153846154</v>
      </c>
      <c r="W12" s="31"/>
      <c r="X12" s="31">
        <v>9024.0</v>
      </c>
      <c r="Y12" s="29">
        <v>0.0</v>
      </c>
      <c r="Z12" s="33"/>
      <c r="AB12" s="34" t="s">
        <v>69</v>
      </c>
      <c r="AC12" s="35">
        <f t="shared" si="13"/>
        <v>114059.4</v>
      </c>
      <c r="AD12" s="36">
        <f t="shared" si="14"/>
        <v>5</v>
      </c>
      <c r="AE12" s="37">
        <f t="shared" si="15"/>
        <v>0.1985294118</v>
      </c>
      <c r="AF12" s="35">
        <f t="shared" si="16"/>
        <v>21122.11111</v>
      </c>
    </row>
    <row r="13">
      <c r="A13" s="38">
        <v>46148.0</v>
      </c>
      <c r="B13" s="14" t="str">
        <f t="shared" si="2"/>
        <v>水</v>
      </c>
      <c r="C13" s="29">
        <v>700000.0</v>
      </c>
      <c r="D13" s="15">
        <f t="shared" si="3"/>
        <v>4200000</v>
      </c>
      <c r="E13" s="29">
        <v>143150.0</v>
      </c>
      <c r="F13" s="29">
        <v>145510.0</v>
      </c>
      <c r="G13" s="29">
        <v>-7852.0</v>
      </c>
      <c r="H13" s="15">
        <f t="shared" si="4"/>
        <v>280808</v>
      </c>
      <c r="I13" s="15">
        <f t="shared" si="5"/>
        <v>1942625</v>
      </c>
      <c r="J13" s="16">
        <f t="shared" ref="J13:K13" si="20">IF(H13="","",IFERROR(H13/C13,""))</f>
        <v>0.4011542857</v>
      </c>
      <c r="K13" s="16">
        <f t="shared" si="20"/>
        <v>0.4625297619</v>
      </c>
      <c r="L13" s="15">
        <f t="shared" si="7"/>
        <v>-2257375</v>
      </c>
      <c r="M13" s="39" t="str">
        <f t="shared" si="8"/>
        <v>▲ 遅れ</v>
      </c>
      <c r="N13" s="31">
        <v>12.0</v>
      </c>
      <c r="O13" s="31">
        <v>14.0</v>
      </c>
      <c r="P13" s="31">
        <v>47.0</v>
      </c>
      <c r="Q13" s="31">
        <v>14.0</v>
      </c>
      <c r="R13" s="31">
        <v>17.0</v>
      </c>
      <c r="S13" s="16">
        <f t="shared" si="9"/>
        <v>0.2553191489</v>
      </c>
      <c r="T13" s="15">
        <f t="shared" si="10"/>
        <v>23400.66667</v>
      </c>
      <c r="U13" s="40">
        <f t="shared" si="11"/>
        <v>1.166666667</v>
      </c>
      <c r="V13" s="16">
        <f t="shared" si="12"/>
        <v>0.2978723404</v>
      </c>
      <c r="W13" s="31"/>
      <c r="X13" s="31">
        <v>9023.0</v>
      </c>
      <c r="Y13" s="29">
        <v>0.0</v>
      </c>
      <c r="Z13" s="33"/>
      <c r="AB13" s="34" t="s">
        <v>70</v>
      </c>
      <c r="AC13" s="35">
        <f t="shared" si="13"/>
        <v>266354</v>
      </c>
      <c r="AD13" s="36">
        <f t="shared" si="14"/>
        <v>5</v>
      </c>
      <c r="AE13" s="37">
        <f t="shared" si="15"/>
        <v>0.2431372549</v>
      </c>
      <c r="AF13" s="35">
        <f t="shared" si="16"/>
        <v>21480.16129</v>
      </c>
    </row>
    <row r="14">
      <c r="A14" s="28">
        <v>46149.0</v>
      </c>
      <c r="B14" s="10" t="str">
        <f t="shared" si="2"/>
        <v>木</v>
      </c>
      <c r="C14" s="29">
        <v>200000.0</v>
      </c>
      <c r="D14" s="11">
        <f t="shared" si="3"/>
        <v>4400000</v>
      </c>
      <c r="E14" s="29">
        <v>23920.0</v>
      </c>
      <c r="F14" s="29">
        <v>102779.0</v>
      </c>
      <c r="G14" s="29">
        <v>-11994.0</v>
      </c>
      <c r="H14" s="11">
        <f t="shared" si="4"/>
        <v>114705</v>
      </c>
      <c r="I14" s="11">
        <f t="shared" si="5"/>
        <v>2057330</v>
      </c>
      <c r="J14" s="12">
        <f t="shared" ref="J14:K14" si="21">IF(H14="","",IFERROR(H14/C14,""))</f>
        <v>0.573525</v>
      </c>
      <c r="K14" s="12">
        <f t="shared" si="21"/>
        <v>0.467575</v>
      </c>
      <c r="L14" s="11">
        <f t="shared" si="7"/>
        <v>-2342670</v>
      </c>
      <c r="M14" s="30" t="str">
        <f t="shared" si="8"/>
        <v>▲ 遅れ</v>
      </c>
      <c r="N14" s="31">
        <v>6.0</v>
      </c>
      <c r="O14" s="31">
        <v>7.0</v>
      </c>
      <c r="P14" s="31">
        <v>18.0</v>
      </c>
      <c r="Q14" s="31">
        <v>5.0</v>
      </c>
      <c r="R14" s="31">
        <v>10.0</v>
      </c>
      <c r="S14" s="12">
        <f t="shared" si="9"/>
        <v>0.3333333333</v>
      </c>
      <c r="T14" s="11">
        <f t="shared" si="10"/>
        <v>19117.5</v>
      </c>
      <c r="U14" s="32">
        <f t="shared" si="11"/>
        <v>1.166666667</v>
      </c>
      <c r="V14" s="12">
        <f t="shared" si="12"/>
        <v>0.2777777778</v>
      </c>
      <c r="W14" s="31"/>
      <c r="X14" s="31">
        <v>9013.0</v>
      </c>
      <c r="Y14" s="29">
        <v>0.0</v>
      </c>
      <c r="Z14" s="33"/>
      <c r="AB14" s="34" t="s">
        <v>71</v>
      </c>
      <c r="AC14" s="35">
        <f t="shared" si="13"/>
        <v>306681.4</v>
      </c>
      <c r="AD14" s="36">
        <f t="shared" si="14"/>
        <v>5</v>
      </c>
      <c r="AE14" s="37">
        <f t="shared" si="15"/>
        <v>0.3507109005</v>
      </c>
      <c r="AF14" s="35">
        <f t="shared" si="16"/>
        <v>20721.71622</v>
      </c>
    </row>
    <row r="15">
      <c r="A15" s="38">
        <v>46150.0</v>
      </c>
      <c r="B15" s="14" t="str">
        <f t="shared" si="2"/>
        <v>金</v>
      </c>
      <c r="C15" s="29">
        <v>200000.0</v>
      </c>
      <c r="D15" s="15">
        <f t="shared" si="3"/>
        <v>4600000</v>
      </c>
      <c r="E15" s="29">
        <v>63620.0</v>
      </c>
      <c r="F15" s="29">
        <v>0.0</v>
      </c>
      <c r="G15" s="29">
        <v>-6116.0</v>
      </c>
      <c r="H15" s="15">
        <f t="shared" si="4"/>
        <v>57504</v>
      </c>
      <c r="I15" s="15">
        <f t="shared" si="5"/>
        <v>2114834</v>
      </c>
      <c r="J15" s="16">
        <f t="shared" ref="J15:K15" si="22">IF(H15="","",IFERROR(H15/C15,""))</f>
        <v>0.28752</v>
      </c>
      <c r="K15" s="16">
        <f t="shared" si="22"/>
        <v>0.4597465217</v>
      </c>
      <c r="L15" s="15">
        <f t="shared" si="7"/>
        <v>-2485166</v>
      </c>
      <c r="M15" s="39" t="str">
        <f t="shared" si="8"/>
        <v>▲ 遅れ</v>
      </c>
      <c r="N15" s="31">
        <v>3.0</v>
      </c>
      <c r="O15" s="31">
        <v>3.0</v>
      </c>
      <c r="P15" s="31">
        <v>26.0</v>
      </c>
      <c r="Q15" s="31">
        <v>3.0</v>
      </c>
      <c r="R15" s="31">
        <v>5.0</v>
      </c>
      <c r="S15" s="16">
        <f t="shared" si="9"/>
        <v>0.1153846154</v>
      </c>
      <c r="T15" s="15">
        <f t="shared" si="10"/>
        <v>19168</v>
      </c>
      <c r="U15" s="40">
        <f t="shared" si="11"/>
        <v>1</v>
      </c>
      <c r="V15" s="16">
        <f t="shared" si="12"/>
        <v>0.1153846154</v>
      </c>
      <c r="W15" s="31"/>
      <c r="X15" s="31">
        <v>9013.0</v>
      </c>
      <c r="Y15" s="29">
        <v>0.0</v>
      </c>
      <c r="Z15" s="33"/>
    </row>
    <row r="16">
      <c r="A16" s="28">
        <v>46151.0</v>
      </c>
      <c r="B16" s="10" t="str">
        <f t="shared" si="2"/>
        <v>土</v>
      </c>
      <c r="C16" s="29">
        <v>500000.0</v>
      </c>
      <c r="D16" s="11">
        <f t="shared" si="3"/>
        <v>5100000</v>
      </c>
      <c r="E16" s="29">
        <v>43610.0</v>
      </c>
      <c r="F16" s="29">
        <v>83370.0</v>
      </c>
      <c r="G16" s="29">
        <v>9624.0</v>
      </c>
      <c r="H16" s="11">
        <f t="shared" si="4"/>
        <v>136604</v>
      </c>
      <c r="I16" s="11">
        <f t="shared" si="5"/>
        <v>2251438</v>
      </c>
      <c r="J16" s="12">
        <f t="shared" ref="J16:K16" si="23">IF(H16="","",IFERROR(H16/C16,""))</f>
        <v>0.273208</v>
      </c>
      <c r="K16" s="12">
        <f t="shared" si="23"/>
        <v>0.4414584314</v>
      </c>
      <c r="L16" s="11">
        <f t="shared" si="7"/>
        <v>-2848562</v>
      </c>
      <c r="M16" s="30" t="str">
        <f t="shared" si="8"/>
        <v>▲ 遅れ</v>
      </c>
      <c r="N16" s="31">
        <v>6.0</v>
      </c>
      <c r="O16" s="31">
        <v>7.0</v>
      </c>
      <c r="P16" s="31">
        <v>41.0</v>
      </c>
      <c r="Q16" s="31">
        <v>11.0</v>
      </c>
      <c r="R16" s="31">
        <v>15.0</v>
      </c>
      <c r="S16" s="12">
        <f t="shared" si="9"/>
        <v>0.1463414634</v>
      </c>
      <c r="T16" s="11">
        <f t="shared" si="10"/>
        <v>22767.33333</v>
      </c>
      <c r="U16" s="32">
        <f t="shared" si="11"/>
        <v>1.166666667</v>
      </c>
      <c r="V16" s="12">
        <f t="shared" si="12"/>
        <v>0.2682926829</v>
      </c>
      <c r="W16" s="31"/>
      <c r="X16" s="31">
        <v>9010.0</v>
      </c>
      <c r="Y16" s="29">
        <v>0.0</v>
      </c>
      <c r="Z16" s="33"/>
      <c r="AB16" s="22" t="s">
        <v>72</v>
      </c>
    </row>
    <row r="17">
      <c r="A17" s="38">
        <v>46152.0</v>
      </c>
      <c r="B17" s="14" t="str">
        <f t="shared" si="2"/>
        <v>日</v>
      </c>
      <c r="C17" s="29">
        <v>400000.0</v>
      </c>
      <c r="D17" s="15">
        <f t="shared" si="3"/>
        <v>5500000</v>
      </c>
      <c r="E17" s="29">
        <v>22000.0</v>
      </c>
      <c r="F17" s="29">
        <v>206599.0</v>
      </c>
      <c r="G17" s="29">
        <v>-21789.0</v>
      </c>
      <c r="H17" s="15">
        <f t="shared" si="4"/>
        <v>206810</v>
      </c>
      <c r="I17" s="15">
        <f t="shared" si="5"/>
        <v>2458248</v>
      </c>
      <c r="J17" s="16">
        <f t="shared" ref="J17:K17" si="24">IF(H17="","",IFERROR(H17/C17,""))</f>
        <v>0.517025</v>
      </c>
      <c r="K17" s="16">
        <f t="shared" si="24"/>
        <v>0.4469541818</v>
      </c>
      <c r="L17" s="15">
        <f t="shared" si="7"/>
        <v>-3041752</v>
      </c>
      <c r="M17" s="39" t="str">
        <f t="shared" si="8"/>
        <v>▲ 遅れ</v>
      </c>
      <c r="N17" s="31">
        <v>9.0</v>
      </c>
      <c r="O17" s="31">
        <v>10.0</v>
      </c>
      <c r="P17" s="31">
        <v>41.0</v>
      </c>
      <c r="Q17" s="31">
        <v>10.0</v>
      </c>
      <c r="R17" s="31">
        <v>16.0</v>
      </c>
      <c r="S17" s="16">
        <f t="shared" si="9"/>
        <v>0.2195121951</v>
      </c>
      <c r="T17" s="15">
        <f t="shared" si="10"/>
        <v>22978.88889</v>
      </c>
      <c r="U17" s="40">
        <f t="shared" si="11"/>
        <v>1.111111111</v>
      </c>
      <c r="V17" s="16">
        <f t="shared" si="12"/>
        <v>0.243902439</v>
      </c>
      <c r="W17" s="31"/>
      <c r="X17" s="31">
        <v>9004.0</v>
      </c>
      <c r="Y17" s="29">
        <v>0.0</v>
      </c>
      <c r="Z17" s="33"/>
    </row>
    <row r="18">
      <c r="A18" s="28">
        <v>46153.0</v>
      </c>
      <c r="B18" s="10" t="str">
        <f t="shared" si="2"/>
        <v>月</v>
      </c>
      <c r="C18" s="29">
        <v>200000.0</v>
      </c>
      <c r="D18" s="11">
        <f t="shared" si="3"/>
        <v>5700000</v>
      </c>
      <c r="E18" s="29">
        <v>29470.0</v>
      </c>
      <c r="F18" s="29">
        <v>85597.0</v>
      </c>
      <c r="G18" s="29">
        <v>-11200.0</v>
      </c>
      <c r="H18" s="11">
        <f t="shared" si="4"/>
        <v>103867</v>
      </c>
      <c r="I18" s="11">
        <f t="shared" si="5"/>
        <v>2562115</v>
      </c>
      <c r="J18" s="12">
        <f t="shared" ref="J18:K18" si="25">IF(H18="","",IFERROR(H18/C18,""))</f>
        <v>0.519335</v>
      </c>
      <c r="K18" s="12">
        <f t="shared" si="25"/>
        <v>0.4494938596</v>
      </c>
      <c r="L18" s="11">
        <f t="shared" si="7"/>
        <v>-3137885</v>
      </c>
      <c r="M18" s="30" t="str">
        <f t="shared" si="8"/>
        <v>▲ 遅れ</v>
      </c>
      <c r="N18" s="31">
        <v>6.0</v>
      </c>
      <c r="O18" s="31">
        <v>6.0</v>
      </c>
      <c r="P18" s="31">
        <v>28.0</v>
      </c>
      <c r="Q18" s="31">
        <v>15.0</v>
      </c>
      <c r="R18" s="31">
        <v>26.0</v>
      </c>
      <c r="S18" s="12">
        <f t="shared" si="9"/>
        <v>0.2142857143</v>
      </c>
      <c r="T18" s="11">
        <f t="shared" si="10"/>
        <v>17311.16667</v>
      </c>
      <c r="U18" s="32">
        <f t="shared" si="11"/>
        <v>1</v>
      </c>
      <c r="V18" s="12">
        <f t="shared" si="12"/>
        <v>0.5357142857</v>
      </c>
      <c r="W18" s="31"/>
      <c r="X18" s="31">
        <v>9002.0</v>
      </c>
      <c r="Y18" s="29">
        <v>0.0</v>
      </c>
      <c r="Z18" s="33"/>
      <c r="AB18" s="23" t="s">
        <v>73</v>
      </c>
      <c r="AI18" s="22" t="s">
        <v>86</v>
      </c>
      <c r="AJ18" s="41">
        <f>$A$8+MOD(2-WEEKDAY($A$8,2)+7,7)</f>
        <v>46147</v>
      </c>
    </row>
    <row r="19">
      <c r="A19" s="38">
        <v>46154.0</v>
      </c>
      <c r="B19" s="14" t="str">
        <f t="shared" si="2"/>
        <v>火</v>
      </c>
      <c r="C19" s="29">
        <v>200000.0</v>
      </c>
      <c r="D19" s="15">
        <f t="shared" si="3"/>
        <v>5900000</v>
      </c>
      <c r="E19" s="29">
        <v>41410.0</v>
      </c>
      <c r="F19" s="29">
        <v>85140.0</v>
      </c>
      <c r="G19" s="29">
        <v>1456.0</v>
      </c>
      <c r="H19" s="15">
        <f t="shared" si="4"/>
        <v>128006</v>
      </c>
      <c r="I19" s="15">
        <f t="shared" si="5"/>
        <v>2690121</v>
      </c>
      <c r="J19" s="16">
        <f t="shared" ref="J19:K19" si="26">IF(H19="","",IFERROR(H19/C19,""))</f>
        <v>0.64003</v>
      </c>
      <c r="K19" s="16">
        <f t="shared" si="26"/>
        <v>0.4559527119</v>
      </c>
      <c r="L19" s="15">
        <f t="shared" si="7"/>
        <v>-3209879</v>
      </c>
      <c r="M19" s="39" t="str">
        <f t="shared" si="8"/>
        <v>▲ 遅れ</v>
      </c>
      <c r="N19" s="31">
        <v>6.0</v>
      </c>
      <c r="O19" s="31">
        <v>6.0</v>
      </c>
      <c r="P19" s="31">
        <v>20.0</v>
      </c>
      <c r="Q19" s="31">
        <v>6.0</v>
      </c>
      <c r="R19" s="31">
        <v>13.0</v>
      </c>
      <c r="S19" s="16">
        <f t="shared" si="9"/>
        <v>0.3</v>
      </c>
      <c r="T19" s="15">
        <f t="shared" si="10"/>
        <v>21334.33333</v>
      </c>
      <c r="U19" s="40">
        <f t="shared" si="11"/>
        <v>1</v>
      </c>
      <c r="V19" s="16">
        <f t="shared" si="12"/>
        <v>0.3</v>
      </c>
      <c r="W19" s="31"/>
      <c r="X19" s="31">
        <v>9007.0</v>
      </c>
      <c r="Y19" s="29">
        <v>0.0</v>
      </c>
      <c r="Z19" s="33"/>
      <c r="AB19" s="27" t="s">
        <v>75</v>
      </c>
      <c r="AC19" s="27" t="s">
        <v>76</v>
      </c>
      <c r="AD19" s="27" t="s">
        <v>77</v>
      </c>
      <c r="AE19" s="27" t="s">
        <v>16</v>
      </c>
      <c r="AF19" s="27" t="s">
        <v>17</v>
      </c>
      <c r="AG19" s="27" t="s">
        <v>43</v>
      </c>
      <c r="AH19" s="27" t="s">
        <v>44</v>
      </c>
    </row>
    <row r="20">
      <c r="A20" s="28">
        <v>46155.0</v>
      </c>
      <c r="B20" s="10" t="str">
        <f t="shared" si="2"/>
        <v>水</v>
      </c>
      <c r="C20" s="29">
        <v>200000.0</v>
      </c>
      <c r="D20" s="11">
        <f t="shared" si="3"/>
        <v>6100000</v>
      </c>
      <c r="E20" s="29">
        <v>74630.0</v>
      </c>
      <c r="F20" s="29">
        <v>91230.0</v>
      </c>
      <c r="G20" s="29">
        <v>-15853.0</v>
      </c>
      <c r="H20" s="11">
        <f t="shared" si="4"/>
        <v>150007</v>
      </c>
      <c r="I20" s="11">
        <f t="shared" si="5"/>
        <v>2840128</v>
      </c>
      <c r="J20" s="12">
        <f t="shared" ref="J20:K20" si="27">IF(H20="","",IFERROR(H20/C20,""))</f>
        <v>0.750035</v>
      </c>
      <c r="K20" s="12">
        <f t="shared" si="27"/>
        <v>0.4655947541</v>
      </c>
      <c r="L20" s="11">
        <f t="shared" si="7"/>
        <v>-3259872</v>
      </c>
      <c r="M20" s="30" t="str">
        <f t="shared" si="8"/>
        <v>▲ 遅れ</v>
      </c>
      <c r="N20" s="31">
        <v>7.0</v>
      </c>
      <c r="O20" s="31">
        <v>7.0</v>
      </c>
      <c r="P20" s="31">
        <v>20.0</v>
      </c>
      <c r="Q20" s="31">
        <v>7.0</v>
      </c>
      <c r="R20" s="31">
        <v>17.0</v>
      </c>
      <c r="S20" s="12">
        <f t="shared" si="9"/>
        <v>0.35</v>
      </c>
      <c r="T20" s="11">
        <f t="shared" si="10"/>
        <v>21429.57143</v>
      </c>
      <c r="U20" s="32">
        <f t="shared" si="11"/>
        <v>1</v>
      </c>
      <c r="V20" s="12">
        <f t="shared" si="12"/>
        <v>0.35</v>
      </c>
      <c r="W20" s="31"/>
      <c r="X20" s="31">
        <v>9002.0</v>
      </c>
      <c r="Y20" s="29">
        <v>0.0</v>
      </c>
      <c r="Z20" s="33"/>
      <c r="AB20" s="36">
        <v>1.0</v>
      </c>
      <c r="AC20" s="42" t="str">
        <f>IF($AJ$18+7*(1-1)&gt;$A$38,"",TEXT($AJ$18+7*(1-1),"m/d")&amp;"-"&amp;TEXT($AJ$18+7*(1-1)+6,"m/d"))</f>
        <v>5/5-5/11</v>
      </c>
      <c r="AD20" s="35">
        <f>IF($AC20="","",(SUMIFS($H$8:$H$38,$A$8:$A$38,"&gt;="&amp;$AJ$18+7*(1-1),$A$8:$A$38,"&lt;="&amp;$AJ$18+7*(1-1)+6)+SUMIFS('2026年06月'!$H$8:$H$37,'2026年06月'!$A$8:$A$37,"&gt;="&amp;$AJ$18+7*(1-1),'2026年06月'!$A$8:$A$37,"&lt;="&amp;$AJ$18+7*(1-1)+6)))</f>
        <v>1121530</v>
      </c>
      <c r="AE20" s="37">
        <f>IF($AC20="","",IFERROR((SUMIFS($N$8:$N$38,$A$8:$A$38,"&gt;="&amp;$AJ$18+7*(1-1),$A$8:$A$38,"&lt;="&amp;$AJ$18+7*(1-1)+6)+SUMIFS('2026年06月'!$N$8:$N$37,'2026年06月'!$A$8:$A$37,"&gt;="&amp;$AJ$18+7*(1-1),'2026年06月'!$A$8:$A$37,"&lt;="&amp;$AJ$18+7*(1-1)+6))/(SUMIFS($P$8:$P$38,$A$8:$A$38,"&gt;="&amp;$AJ$18+7*(1-1),$A$8:$A$38,"&lt;="&amp;$AJ$18+7*(1-1)+6)+SUMIFS('2026年06月'!$P$8:$P$37,'2026年06月'!$A$8:$A$37,"&gt;="&amp;$AJ$18+7*(1-1),'2026年06月'!$A$8:$A$37,"&lt;="&amp;$AJ$18+7*(1-1)+6)),""))</f>
        <v>0.1954887218</v>
      </c>
      <c r="AF20" s="35">
        <f>IF($AC20="","",IFERROR((SUMIFS($H$8:$H$38,$A$8:$A$38,"&gt;="&amp;$AJ$18+7*(1-1),$A$8:$A$38,"&lt;="&amp;$AJ$18+7*(1-1)+6)+SUMIFS('2026年06月'!$H$8:$H$37,'2026年06月'!$A$8:$A$37,"&gt;="&amp;$AJ$18+7*(1-1),'2026年06月'!$A$8:$A$37,"&lt;="&amp;$AJ$18+7*(1-1)+6))/(SUMIFS($N$8:$N$38,$A$8:$A$38,"&gt;="&amp;$AJ$18+7*(1-1),$A$8:$A$38,"&lt;="&amp;$AJ$18+7*(1-1)+6)+SUMIFS('2026年06月'!$N$8:$N$37,'2026年06月'!$A$8:$A$37,"&gt;="&amp;$AJ$18+7*(1-1),'2026年06月'!$A$8:$A$37,"&lt;="&amp;$AJ$18+7*(1-1)+6)),""))</f>
        <v>21567.88462</v>
      </c>
      <c r="AG20" s="43">
        <f>IF($AC20="","",IFERROR((SUMIFS($O$8:$O$38,$A$8:$A$38,"&gt;="&amp;$AJ$18+7*(1-1),$A$8:$A$38,"&lt;="&amp;$AJ$18+7*(1-1)+6)+SUMIFS('2026年06月'!$O$8:$O$37,'2026年06月'!$A$8:$A$37,"&gt;="&amp;$AJ$18+7*(1-1),'2026年06月'!$A$8:$A$37,"&lt;="&amp;$AJ$18+7*(1-1)+6))/(SUMIFS($N$8:$N$38,$A$8:$A$38,"&gt;="&amp;$AJ$18+7*(1-1),$A$8:$A$38,"&lt;="&amp;$AJ$18+7*(1-1)+6)+SUMIFS('2026年06月'!$N$8:$N$37,'2026年06月'!$A$8:$A$37,"&gt;="&amp;$AJ$18+7*(1-1),'2026年06月'!$A$8:$A$37,"&lt;="&amp;$AJ$18+7*(1-1)+6)),""))</f>
        <v>1.134615385</v>
      </c>
      <c r="AH20" s="37">
        <f>IF($AC20="","",IFERROR((SUMIFS($Q$8:$Q$38,$A$8:$A$38,"&gt;="&amp;$AJ$18+7*(1-1),$A$8:$A$38,"&lt;="&amp;$AJ$18+7*(1-1)+6)+SUMIFS('2026年06月'!$Q$8:$Q$37,'2026年06月'!$A$8:$A$37,"&gt;="&amp;$AJ$18+7*(1-1),'2026年06月'!$A$8:$A$37,"&lt;="&amp;$AJ$18+7*(1-1)+6))/(SUMIFS($P$8:$P$38,$A$8:$A$38,"&gt;="&amp;$AJ$18+7*(1-1),$A$8:$A$38,"&lt;="&amp;$AJ$18+7*(1-1)+6)+SUMIFS('2026年06月'!$P$8:$P$37,'2026年06月'!$A$8:$A$37,"&gt;="&amp;$AJ$18+7*(1-1),'2026年06月'!$A$8:$A$37,"&lt;="&amp;$AJ$18+7*(1-1)+6)),""))</f>
        <v>0.2706766917</v>
      </c>
    </row>
    <row r="21" ht="15.75" customHeight="1">
      <c r="A21" s="38">
        <v>46156.0</v>
      </c>
      <c r="B21" s="14" t="str">
        <f t="shared" si="2"/>
        <v>木</v>
      </c>
      <c r="C21" s="29">
        <v>200000.0</v>
      </c>
      <c r="D21" s="15">
        <f t="shared" si="3"/>
        <v>6300000</v>
      </c>
      <c r="E21" s="29">
        <v>23810.0</v>
      </c>
      <c r="F21" s="29">
        <v>47900.0</v>
      </c>
      <c r="G21" s="29">
        <v>12794.0</v>
      </c>
      <c r="H21" s="15">
        <f t="shared" si="4"/>
        <v>84504</v>
      </c>
      <c r="I21" s="15">
        <f t="shared" si="5"/>
        <v>2924632</v>
      </c>
      <c r="J21" s="16">
        <f t="shared" ref="J21:K21" si="28">IF(H21="","",IFERROR(H21/C21,""))</f>
        <v>0.42252</v>
      </c>
      <c r="K21" s="16">
        <f t="shared" si="28"/>
        <v>0.4642273016</v>
      </c>
      <c r="L21" s="15">
        <f t="shared" si="7"/>
        <v>-3375368</v>
      </c>
      <c r="M21" s="39" t="str">
        <f t="shared" si="8"/>
        <v>▲ 遅れ</v>
      </c>
      <c r="N21" s="31">
        <v>4.0</v>
      </c>
      <c r="O21" s="31">
        <v>4.0</v>
      </c>
      <c r="P21" s="31">
        <v>18.0</v>
      </c>
      <c r="Q21" s="31">
        <v>6.0</v>
      </c>
      <c r="R21" s="31">
        <v>11.0</v>
      </c>
      <c r="S21" s="16">
        <f t="shared" si="9"/>
        <v>0.2222222222</v>
      </c>
      <c r="T21" s="15">
        <f t="shared" si="10"/>
        <v>21126</v>
      </c>
      <c r="U21" s="40">
        <f t="shared" si="11"/>
        <v>1</v>
      </c>
      <c r="V21" s="16">
        <f t="shared" si="12"/>
        <v>0.3333333333</v>
      </c>
      <c r="W21" s="31"/>
      <c r="X21" s="31">
        <v>9000.0</v>
      </c>
      <c r="Y21" s="29">
        <v>0.0</v>
      </c>
      <c r="Z21" s="33"/>
      <c r="AB21" s="36">
        <v>2.0</v>
      </c>
      <c r="AC21" s="42" t="str">
        <f>IF($AJ$18+7*(2-1)&gt;$A$38,"",TEXT($AJ$18+7*(2-1),"m/d")&amp;"-"&amp;TEXT($AJ$18+7*(2-1)+6,"m/d"))</f>
        <v>5/12-5/18</v>
      </c>
      <c r="AD21" s="35">
        <f>IF($AC21="","",(SUMIFS($H$8:$H$38,$A$8:$A$38,"&gt;="&amp;$AJ$18+7*(2-1),$A$8:$A$38,"&lt;="&amp;$AJ$18+7*(2-1)+6)+SUMIFS('2026年06月'!$H$8:$H$37,'2026年06月'!$A$8:$A$37,"&gt;="&amp;$AJ$18+7*(2-1),'2026年06月'!$A$8:$A$37,"&lt;="&amp;$AJ$18+7*(2-1)+6)))</f>
        <v>1165587</v>
      </c>
      <c r="AE21" s="37">
        <f>IF($AC21="","",IFERROR((SUMIFS($N$8:$N$38,$A$8:$A$38,"&gt;="&amp;$AJ$18+7*(2-1),$A$8:$A$38,"&lt;="&amp;$AJ$18+7*(2-1)+6)+SUMIFS('2026年06月'!$N$8:$N$37,'2026年06月'!$A$8:$A$37,"&gt;="&amp;$AJ$18+7*(2-1),'2026年06月'!$A$8:$A$37,"&lt;="&amp;$AJ$18+7*(2-1)+6))/(SUMIFS($P$8:$P$38,$A$8:$A$38,"&gt;="&amp;$AJ$18+7*(2-1),$A$8:$A$38,"&lt;="&amp;$AJ$18+7*(2-1)+6)+SUMIFS('2026年06月'!$P$8:$P$37,'2026年06月'!$A$8:$A$37,"&gt;="&amp;$AJ$18+7*(2-1),'2026年06月'!$A$8:$A$37,"&lt;="&amp;$AJ$18+7*(2-1)+6)),""))</f>
        <v>0.2871794872</v>
      </c>
      <c r="AF21" s="35">
        <f>IF($AC21="","",IFERROR((SUMIFS($H$8:$H$38,$A$8:$A$38,"&gt;="&amp;$AJ$18+7*(2-1),$A$8:$A$38,"&lt;="&amp;$AJ$18+7*(2-1)+6)+SUMIFS('2026年06月'!$H$8:$H$37,'2026年06月'!$A$8:$A$37,"&gt;="&amp;$AJ$18+7*(2-1),'2026年06月'!$A$8:$A$37,"&lt;="&amp;$AJ$18+7*(2-1)+6))/(SUMIFS($N$8:$N$38,$A$8:$A$38,"&gt;="&amp;$AJ$18+7*(2-1),$A$8:$A$38,"&lt;="&amp;$AJ$18+7*(2-1)+6)+SUMIFS('2026年06月'!$N$8:$N$37,'2026年06月'!$A$8:$A$37,"&gt;="&amp;$AJ$18+7*(2-1),'2026年06月'!$A$8:$A$37,"&lt;="&amp;$AJ$18+7*(2-1)+6)),""))</f>
        <v>20814.05357</v>
      </c>
      <c r="AG21" s="43">
        <f>IF($AC21="","",IFERROR((SUMIFS($O$8:$O$38,$A$8:$A$38,"&gt;="&amp;$AJ$18+7*(2-1),$A$8:$A$38,"&lt;="&amp;$AJ$18+7*(2-1)+6)+SUMIFS('2026年06月'!$O$8:$O$37,'2026年06月'!$A$8:$A$37,"&gt;="&amp;$AJ$18+7*(2-1),'2026年06月'!$A$8:$A$37,"&lt;="&amp;$AJ$18+7*(2-1)+6))/(SUMIFS($N$8:$N$38,$A$8:$A$38,"&gt;="&amp;$AJ$18+7*(2-1),$A$8:$A$38,"&lt;="&amp;$AJ$18+7*(2-1)+6)+SUMIFS('2026年06月'!$N$8:$N$37,'2026年06月'!$A$8:$A$37,"&gt;="&amp;$AJ$18+7*(2-1),'2026年06月'!$A$8:$A$37,"&lt;="&amp;$AJ$18+7*(2-1)+6)),""))</f>
        <v>1.035714286</v>
      </c>
      <c r="AH21" s="37">
        <f>IF($AC21="","",IFERROR((SUMIFS($Q$8:$Q$38,$A$8:$A$38,"&gt;="&amp;$AJ$18+7*(2-1),$A$8:$A$38,"&lt;="&amp;$AJ$18+7*(2-1)+6)+SUMIFS('2026年06月'!$Q$8:$Q$37,'2026年06月'!$A$8:$A$37,"&gt;="&amp;$AJ$18+7*(2-1),'2026年06月'!$A$8:$A$37,"&lt;="&amp;$AJ$18+7*(2-1)+6))/(SUMIFS($P$8:$P$38,$A$8:$A$38,"&gt;="&amp;$AJ$18+7*(2-1),$A$8:$A$38,"&lt;="&amp;$AJ$18+7*(2-1)+6)+SUMIFS('2026年06月'!$P$8:$P$37,'2026年06月'!$A$8:$A$37,"&gt;="&amp;$AJ$18+7*(2-1),'2026年06月'!$A$8:$A$37,"&lt;="&amp;$AJ$18+7*(2-1)+6)),""))</f>
        <v>0.3230769231</v>
      </c>
    </row>
    <row r="22" ht="15.75" customHeight="1">
      <c r="A22" s="28">
        <v>46157.0</v>
      </c>
      <c r="B22" s="10" t="str">
        <f t="shared" si="2"/>
        <v>金</v>
      </c>
      <c r="C22" s="29">
        <v>200000.0</v>
      </c>
      <c r="D22" s="11">
        <f t="shared" si="3"/>
        <v>6500000</v>
      </c>
      <c r="E22" s="29">
        <v>0.0</v>
      </c>
      <c r="F22" s="29">
        <v>104750.0</v>
      </c>
      <c r="G22" s="29">
        <v>-10237.0</v>
      </c>
      <c r="H22" s="11">
        <f t="shared" si="4"/>
        <v>94513</v>
      </c>
      <c r="I22" s="11">
        <f t="shared" si="5"/>
        <v>3019145</v>
      </c>
      <c r="J22" s="12">
        <f t="shared" ref="J22:K22" si="29">IF(H22="","",IFERROR(H22/C22,""))</f>
        <v>0.472565</v>
      </c>
      <c r="K22" s="12">
        <f t="shared" si="29"/>
        <v>0.4644838462</v>
      </c>
      <c r="L22" s="11">
        <f t="shared" si="7"/>
        <v>-3480855</v>
      </c>
      <c r="M22" s="30" t="str">
        <f t="shared" si="8"/>
        <v>▲ 遅れ</v>
      </c>
      <c r="N22" s="31">
        <v>5.0</v>
      </c>
      <c r="O22" s="31">
        <v>5.0</v>
      </c>
      <c r="P22" s="31">
        <v>23.0</v>
      </c>
      <c r="Q22" s="31">
        <v>6.0</v>
      </c>
      <c r="R22" s="31">
        <v>8.0</v>
      </c>
      <c r="S22" s="12">
        <f t="shared" si="9"/>
        <v>0.2173913043</v>
      </c>
      <c r="T22" s="11">
        <f t="shared" si="10"/>
        <v>18902.6</v>
      </c>
      <c r="U22" s="32">
        <f t="shared" si="11"/>
        <v>1</v>
      </c>
      <c r="V22" s="12">
        <f t="shared" si="12"/>
        <v>0.2608695652</v>
      </c>
      <c r="W22" s="31"/>
      <c r="X22" s="31">
        <v>9002.0</v>
      </c>
      <c r="Y22" s="29">
        <v>0.0</v>
      </c>
      <c r="Z22" s="33"/>
      <c r="AB22" s="36">
        <v>3.0</v>
      </c>
      <c r="AC22" s="42" t="str">
        <f>IF($AJ$18+7*(3-1)&gt;$A$38,"",TEXT($AJ$18+7*(3-1),"m/d")&amp;"-"&amp;TEXT($AJ$18+7*(3-1)+6,"m/d"))</f>
        <v>5/19-5/25</v>
      </c>
      <c r="AD22" s="35">
        <f>IF($AC22="","",(SUMIFS($H$8:$H$38,$A$8:$A$38,"&gt;="&amp;$AJ$18+7*(3-1),$A$8:$A$38,"&lt;="&amp;$AJ$18+7*(3-1)+6)+SUMIFS('2026年06月'!$H$8:$H$37,'2026年06月'!$A$8:$A$37,"&gt;="&amp;$AJ$18+7*(3-1),'2026年06月'!$A$8:$A$37,"&lt;="&amp;$AJ$18+7*(3-1)+6)))</f>
        <v>1182303</v>
      </c>
      <c r="AE22" s="37">
        <f>IF($AC22="","",IFERROR((SUMIFS($N$8:$N$38,$A$8:$A$38,"&gt;="&amp;$AJ$18+7*(3-1),$A$8:$A$38,"&lt;="&amp;$AJ$18+7*(3-1)+6)+SUMIFS('2026年06月'!$N$8:$N$37,'2026年06月'!$A$8:$A$37,"&gt;="&amp;$AJ$18+7*(3-1),'2026年06月'!$A$8:$A$37,"&lt;="&amp;$AJ$18+7*(3-1)+6))/(SUMIFS($P$8:$P$38,$A$8:$A$38,"&gt;="&amp;$AJ$18+7*(3-1),$A$8:$A$38,"&lt;="&amp;$AJ$18+7*(3-1)+6)+SUMIFS('2026年06月'!$P$8:$P$37,'2026年06月'!$A$8:$A$37,"&gt;="&amp;$AJ$18+7*(3-1),'2026年06月'!$A$8:$A$37,"&lt;="&amp;$AJ$18+7*(3-1)+6)),""))</f>
        <v>0.285</v>
      </c>
      <c r="AF22" s="35">
        <f>IF($AC22="","",IFERROR((SUMIFS($H$8:$H$38,$A$8:$A$38,"&gt;="&amp;$AJ$18+7*(3-1),$A$8:$A$38,"&lt;="&amp;$AJ$18+7*(3-1)+6)+SUMIFS('2026年06月'!$H$8:$H$37,'2026年06月'!$A$8:$A$37,"&gt;="&amp;$AJ$18+7*(3-1),'2026年06月'!$A$8:$A$37,"&lt;="&amp;$AJ$18+7*(3-1)+6))/(SUMIFS($N$8:$N$38,$A$8:$A$38,"&gt;="&amp;$AJ$18+7*(3-1),$A$8:$A$38,"&lt;="&amp;$AJ$18+7*(3-1)+6)+SUMIFS('2026年06月'!$N$8:$N$37,'2026年06月'!$A$8:$A$37,"&gt;="&amp;$AJ$18+7*(3-1),'2026年06月'!$A$8:$A$37,"&lt;="&amp;$AJ$18+7*(3-1)+6)),""))</f>
        <v>20742.15789</v>
      </c>
      <c r="AG22" s="43">
        <f>IF($AC22="","",IFERROR((SUMIFS($O$8:$O$38,$A$8:$A$38,"&gt;="&amp;$AJ$18+7*(3-1),$A$8:$A$38,"&lt;="&amp;$AJ$18+7*(3-1)+6)+SUMIFS('2026年06月'!$O$8:$O$37,'2026年06月'!$A$8:$A$37,"&gt;="&amp;$AJ$18+7*(3-1),'2026年06月'!$A$8:$A$37,"&lt;="&amp;$AJ$18+7*(3-1)+6))/(SUMIFS($N$8:$N$38,$A$8:$A$38,"&gt;="&amp;$AJ$18+7*(3-1),$A$8:$A$38,"&lt;="&amp;$AJ$18+7*(3-1)+6)+SUMIFS('2026年06月'!$N$8:$N$37,'2026年06月'!$A$8:$A$37,"&gt;="&amp;$AJ$18+7*(3-1),'2026年06月'!$A$8:$A$37,"&lt;="&amp;$AJ$18+7*(3-1)+6)),""))</f>
        <v>1.087719298</v>
      </c>
      <c r="AH22" s="37">
        <f>IF($AC22="","",IFERROR((SUMIFS($Q$8:$Q$38,$A$8:$A$38,"&gt;="&amp;$AJ$18+7*(3-1),$A$8:$A$38,"&lt;="&amp;$AJ$18+7*(3-1)+6)+SUMIFS('2026年06月'!$Q$8:$Q$37,'2026年06月'!$A$8:$A$37,"&gt;="&amp;$AJ$18+7*(3-1),'2026年06月'!$A$8:$A$37,"&lt;="&amp;$AJ$18+7*(3-1)+6))/(SUMIFS($P$8:$P$38,$A$8:$A$38,"&gt;="&amp;$AJ$18+7*(3-1),$A$8:$A$38,"&lt;="&amp;$AJ$18+7*(3-1)+6)+SUMIFS('2026年06月'!$P$8:$P$37,'2026年06月'!$A$8:$A$37,"&gt;="&amp;$AJ$18+7*(3-1),'2026年06月'!$A$8:$A$37,"&lt;="&amp;$AJ$18+7*(3-1)+6)),""))</f>
        <v>0.395</v>
      </c>
    </row>
    <row r="23" ht="15.75" customHeight="1">
      <c r="A23" s="38">
        <v>46158.0</v>
      </c>
      <c r="B23" s="14" t="str">
        <f t="shared" si="2"/>
        <v>土</v>
      </c>
      <c r="C23" s="29">
        <v>500000.0</v>
      </c>
      <c r="D23" s="15">
        <f t="shared" si="3"/>
        <v>7000000</v>
      </c>
      <c r="E23" s="29">
        <v>71430.0</v>
      </c>
      <c r="F23" s="29">
        <v>138630.0</v>
      </c>
      <c r="G23" s="29">
        <v>67958.0</v>
      </c>
      <c r="H23" s="15">
        <f t="shared" si="4"/>
        <v>278018</v>
      </c>
      <c r="I23" s="15">
        <f t="shared" si="5"/>
        <v>3297163</v>
      </c>
      <c r="J23" s="16">
        <f t="shared" ref="J23:K23" si="30">IF(H23="","",IFERROR(H23/C23,""))</f>
        <v>0.556036</v>
      </c>
      <c r="K23" s="16">
        <f t="shared" si="30"/>
        <v>0.4710232857</v>
      </c>
      <c r="L23" s="15">
        <f t="shared" si="7"/>
        <v>-3702837</v>
      </c>
      <c r="M23" s="39" t="str">
        <f t="shared" si="8"/>
        <v>▲ 遅れ</v>
      </c>
      <c r="N23" s="31">
        <v>13.0</v>
      </c>
      <c r="O23" s="31">
        <v>13.0</v>
      </c>
      <c r="P23" s="31">
        <v>42.0</v>
      </c>
      <c r="Q23" s="31">
        <v>13.0</v>
      </c>
      <c r="R23" s="31">
        <v>21.0</v>
      </c>
      <c r="S23" s="16">
        <f t="shared" si="9"/>
        <v>0.3095238095</v>
      </c>
      <c r="T23" s="15">
        <f t="shared" si="10"/>
        <v>21386</v>
      </c>
      <c r="U23" s="40">
        <f t="shared" si="11"/>
        <v>1</v>
      </c>
      <c r="V23" s="16">
        <f t="shared" si="12"/>
        <v>0.3095238095</v>
      </c>
      <c r="W23" s="31"/>
      <c r="X23" s="31">
        <v>8999.0</v>
      </c>
      <c r="Y23" s="29">
        <v>0.0</v>
      </c>
      <c r="Z23" s="33"/>
      <c r="AB23" s="36">
        <v>4.0</v>
      </c>
      <c r="AC23" s="42" t="str">
        <f>IF($AJ$18+7*(4-1)&gt;$A$38,"",TEXT($AJ$18+7*(4-1),"m/d")&amp;"-"&amp;TEXT($AJ$18+7*(4-1)+6,"m/d"))</f>
        <v>5/26-6/1</v>
      </c>
      <c r="AD23" s="35">
        <f>IF($AC23="","",(SUMIFS($H$8:$H$38,$A$8:$A$38,"&gt;="&amp;$AJ$18+7*(4-1),$A$8:$A$38,"&lt;="&amp;$AJ$18+7*(4-1)+6)+SUMIFS('2026年06月'!$H$8:$H$37,'2026年06月'!$A$8:$A$37,"&gt;="&amp;$AJ$18+7*(4-1),'2026年06月'!$A$8:$A$37,"&lt;="&amp;$AJ$18+7*(4-1)+6)))</f>
        <v>1266653</v>
      </c>
      <c r="AE23" s="37">
        <f>IF($AC23="","",IFERROR((SUMIFS($N$8:$N$38,$A$8:$A$38,"&gt;="&amp;$AJ$18+7*(4-1),$A$8:$A$38,"&lt;="&amp;$AJ$18+7*(4-1)+6)+SUMIFS('2026年06月'!$N$8:$N$37,'2026年06月'!$A$8:$A$37,"&gt;="&amp;$AJ$18+7*(4-1),'2026年06月'!$A$8:$A$37,"&lt;="&amp;$AJ$18+7*(4-1)+6))/(SUMIFS($P$8:$P$38,$A$8:$A$38,"&gt;="&amp;$AJ$18+7*(4-1),$A$8:$A$38,"&lt;="&amp;$AJ$18+7*(4-1)+6)+SUMIFS('2026年06月'!$P$8:$P$37,'2026年06月'!$A$8:$A$37,"&gt;="&amp;$AJ$18+7*(4-1),'2026年06月'!$A$8:$A$37,"&lt;="&amp;$AJ$18+7*(4-1)+6)),""))</f>
        <v>0.2587719298</v>
      </c>
      <c r="AF23" s="35">
        <f>IF($AC23="","",IFERROR((SUMIFS($H$8:$H$38,$A$8:$A$38,"&gt;="&amp;$AJ$18+7*(4-1),$A$8:$A$38,"&lt;="&amp;$AJ$18+7*(4-1)+6)+SUMIFS('2026年06月'!$H$8:$H$37,'2026年06月'!$A$8:$A$37,"&gt;="&amp;$AJ$18+7*(4-1),'2026年06月'!$A$8:$A$37,"&lt;="&amp;$AJ$18+7*(4-1)+6))/(SUMIFS($N$8:$N$38,$A$8:$A$38,"&gt;="&amp;$AJ$18+7*(4-1),$A$8:$A$38,"&lt;="&amp;$AJ$18+7*(4-1)+6)+SUMIFS('2026年06月'!$N$8:$N$37,'2026年06月'!$A$8:$A$37,"&gt;="&amp;$AJ$18+7*(4-1),'2026年06月'!$A$8:$A$37,"&lt;="&amp;$AJ$18+7*(4-1)+6)),""))</f>
        <v>21468.69492</v>
      </c>
      <c r="AG23" s="43">
        <f>IF($AC23="","",IFERROR((SUMIFS($O$8:$O$38,$A$8:$A$38,"&gt;="&amp;$AJ$18+7*(4-1),$A$8:$A$38,"&lt;="&amp;$AJ$18+7*(4-1)+6)+SUMIFS('2026年06月'!$O$8:$O$37,'2026年06月'!$A$8:$A$37,"&gt;="&amp;$AJ$18+7*(4-1),'2026年06月'!$A$8:$A$37,"&lt;="&amp;$AJ$18+7*(4-1)+6))/(SUMIFS($N$8:$N$38,$A$8:$A$38,"&gt;="&amp;$AJ$18+7*(4-1),$A$8:$A$38,"&lt;="&amp;$AJ$18+7*(4-1)+6)+SUMIFS('2026年06月'!$N$8:$N$37,'2026年06月'!$A$8:$A$37,"&gt;="&amp;$AJ$18+7*(4-1),'2026年06月'!$A$8:$A$37,"&lt;="&amp;$AJ$18+7*(4-1)+6)),""))</f>
        <v>1.169491525</v>
      </c>
      <c r="AH23" s="37">
        <f>IF($AC23="","",IFERROR((SUMIFS($Q$8:$Q$38,$A$8:$A$38,"&gt;="&amp;$AJ$18+7*(4-1),$A$8:$A$38,"&lt;="&amp;$AJ$18+7*(4-1)+6)+SUMIFS('2026年06月'!$Q$8:$Q$37,'2026年06月'!$A$8:$A$37,"&gt;="&amp;$AJ$18+7*(4-1),'2026年06月'!$A$8:$A$37,"&lt;="&amp;$AJ$18+7*(4-1)+6))/(SUMIFS($P$8:$P$38,$A$8:$A$38,"&gt;="&amp;$AJ$18+7*(4-1),$A$8:$A$38,"&lt;="&amp;$AJ$18+7*(4-1)+6)+SUMIFS('2026年06月'!$P$8:$P$37,'2026年06月'!$A$8:$A$37,"&gt;="&amp;$AJ$18+7*(4-1),'2026年06月'!$A$8:$A$37,"&lt;="&amp;$AJ$18+7*(4-1)+6)),""))</f>
        <v>0.3026315789</v>
      </c>
    </row>
    <row r="24" ht="15.75" customHeight="1">
      <c r="A24" s="28">
        <v>46159.0</v>
      </c>
      <c r="B24" s="10" t="str">
        <f t="shared" si="2"/>
        <v>日</v>
      </c>
      <c r="C24" s="29">
        <v>400000.0</v>
      </c>
      <c r="D24" s="11">
        <f t="shared" si="3"/>
        <v>7400000</v>
      </c>
      <c r="E24" s="29">
        <v>103440.0</v>
      </c>
      <c r="F24" s="29">
        <v>166960.0</v>
      </c>
      <c r="G24" s="29">
        <v>14637.0</v>
      </c>
      <c r="H24" s="11">
        <f t="shared" si="4"/>
        <v>285037</v>
      </c>
      <c r="I24" s="11">
        <f t="shared" si="5"/>
        <v>3582200</v>
      </c>
      <c r="J24" s="12">
        <f t="shared" ref="J24:K24" si="31">IF(H24="","",IFERROR(H24/C24,""))</f>
        <v>0.7125925</v>
      </c>
      <c r="K24" s="12">
        <f t="shared" si="31"/>
        <v>0.4840810811</v>
      </c>
      <c r="L24" s="11">
        <f t="shared" si="7"/>
        <v>-3817800</v>
      </c>
      <c r="M24" s="30" t="str">
        <f t="shared" si="8"/>
        <v>▲ 遅れ</v>
      </c>
      <c r="N24" s="31">
        <v>14.0</v>
      </c>
      <c r="O24" s="31">
        <v>15.0</v>
      </c>
      <c r="P24" s="31">
        <v>40.0</v>
      </c>
      <c r="Q24" s="31">
        <v>18.0</v>
      </c>
      <c r="R24" s="31">
        <v>32.0</v>
      </c>
      <c r="S24" s="12">
        <f t="shared" si="9"/>
        <v>0.35</v>
      </c>
      <c r="T24" s="11">
        <f t="shared" si="10"/>
        <v>20359.78571</v>
      </c>
      <c r="U24" s="32">
        <f t="shared" si="11"/>
        <v>1.071428571</v>
      </c>
      <c r="V24" s="12">
        <f t="shared" si="12"/>
        <v>0.45</v>
      </c>
      <c r="W24" s="31"/>
      <c r="X24" s="31">
        <v>8996.0</v>
      </c>
      <c r="Y24" s="29">
        <v>0.0</v>
      </c>
      <c r="Z24" s="33"/>
      <c r="AB24" s="36">
        <v>5.0</v>
      </c>
      <c r="AC24" s="42" t="str">
        <f>IF($AJ$18+7*(5-1)&gt;$A$38,"",TEXT($AJ$18+7*(5-1),"m/d")&amp;"-"&amp;TEXT($AJ$18+7*(5-1)+6,"m/d"))</f>
        <v/>
      </c>
      <c r="AD24" s="35" t="str">
        <f>IF($AC24="","",(SUMIFS($H$8:$H$38,$A$8:$A$38,"&gt;="&amp;$AJ$18+7*(5-1),$A$8:$A$38,"&lt;="&amp;$AJ$18+7*(5-1)+6)+SUMIFS('2026年06月'!$H$8:$H$37,'2026年06月'!$A$8:$A$37,"&gt;="&amp;$AJ$18+7*(5-1),'2026年06月'!$A$8:$A$37,"&lt;="&amp;$AJ$18+7*(5-1)+6)))</f>
        <v/>
      </c>
      <c r="AE24" s="37" t="str">
        <f>IF($AC24="","",IFERROR((SUMIFS($N$8:$N$38,$A$8:$A$38,"&gt;="&amp;$AJ$18+7*(5-1),$A$8:$A$38,"&lt;="&amp;$AJ$18+7*(5-1)+6)+SUMIFS('2026年06月'!$N$8:$N$37,'2026年06月'!$A$8:$A$37,"&gt;="&amp;$AJ$18+7*(5-1),'2026年06月'!$A$8:$A$37,"&lt;="&amp;$AJ$18+7*(5-1)+6))/(SUMIFS($P$8:$P$38,$A$8:$A$38,"&gt;="&amp;$AJ$18+7*(5-1),$A$8:$A$38,"&lt;="&amp;$AJ$18+7*(5-1)+6)+SUMIFS('2026年06月'!$P$8:$P$37,'2026年06月'!$A$8:$A$37,"&gt;="&amp;$AJ$18+7*(5-1),'2026年06月'!$A$8:$A$37,"&lt;="&amp;$AJ$18+7*(5-1)+6)),""))</f>
        <v/>
      </c>
      <c r="AF24" s="35" t="str">
        <f>IF($AC24="","",IFERROR((SUMIFS($H$8:$H$38,$A$8:$A$38,"&gt;="&amp;$AJ$18+7*(5-1),$A$8:$A$38,"&lt;="&amp;$AJ$18+7*(5-1)+6)+SUMIFS('2026年06月'!$H$8:$H$37,'2026年06月'!$A$8:$A$37,"&gt;="&amp;$AJ$18+7*(5-1),'2026年06月'!$A$8:$A$37,"&lt;="&amp;$AJ$18+7*(5-1)+6))/(SUMIFS($N$8:$N$38,$A$8:$A$38,"&gt;="&amp;$AJ$18+7*(5-1),$A$8:$A$38,"&lt;="&amp;$AJ$18+7*(5-1)+6)+SUMIFS('2026年06月'!$N$8:$N$37,'2026年06月'!$A$8:$A$37,"&gt;="&amp;$AJ$18+7*(5-1),'2026年06月'!$A$8:$A$37,"&lt;="&amp;$AJ$18+7*(5-1)+6)),""))</f>
        <v/>
      </c>
      <c r="AG24" s="43" t="str">
        <f>IF($AC24="","",IFERROR((SUMIFS($O$8:$O$38,$A$8:$A$38,"&gt;="&amp;$AJ$18+7*(5-1),$A$8:$A$38,"&lt;="&amp;$AJ$18+7*(5-1)+6)+SUMIFS('2026年06月'!$O$8:$O$37,'2026年06月'!$A$8:$A$37,"&gt;="&amp;$AJ$18+7*(5-1),'2026年06月'!$A$8:$A$37,"&lt;="&amp;$AJ$18+7*(5-1)+6))/(SUMIFS($N$8:$N$38,$A$8:$A$38,"&gt;="&amp;$AJ$18+7*(5-1),$A$8:$A$38,"&lt;="&amp;$AJ$18+7*(5-1)+6)+SUMIFS('2026年06月'!$N$8:$N$37,'2026年06月'!$A$8:$A$37,"&gt;="&amp;$AJ$18+7*(5-1),'2026年06月'!$A$8:$A$37,"&lt;="&amp;$AJ$18+7*(5-1)+6)),""))</f>
        <v/>
      </c>
      <c r="AH24" s="37" t="str">
        <f>IF($AC24="","",IFERROR((SUMIFS($Q$8:$Q$38,$A$8:$A$38,"&gt;="&amp;$AJ$18+7*(5-1),$A$8:$A$38,"&lt;="&amp;$AJ$18+7*(5-1)+6)+SUMIFS('2026年06月'!$Q$8:$Q$37,'2026年06月'!$A$8:$A$37,"&gt;="&amp;$AJ$18+7*(5-1),'2026年06月'!$A$8:$A$37,"&lt;="&amp;$AJ$18+7*(5-1)+6))/(SUMIFS($P$8:$P$38,$A$8:$A$38,"&gt;="&amp;$AJ$18+7*(5-1),$A$8:$A$38,"&lt;="&amp;$AJ$18+7*(5-1)+6)+SUMIFS('2026年06月'!$P$8:$P$37,'2026年06月'!$A$8:$A$37,"&gt;="&amp;$AJ$18+7*(5-1),'2026年06月'!$A$8:$A$37,"&lt;="&amp;$AJ$18+7*(5-1)+6)),""))</f>
        <v/>
      </c>
    </row>
    <row r="25" ht="15.75" customHeight="1">
      <c r="A25" s="38">
        <v>46160.0</v>
      </c>
      <c r="B25" s="14" t="str">
        <f t="shared" si="2"/>
        <v>月</v>
      </c>
      <c r="C25" s="29">
        <v>200000.0</v>
      </c>
      <c r="D25" s="15">
        <f t="shared" si="3"/>
        <v>7600000</v>
      </c>
      <c r="E25" s="29">
        <v>44220.0</v>
      </c>
      <c r="F25" s="29">
        <v>116540.0</v>
      </c>
      <c r="G25" s="29">
        <v>-15258.0</v>
      </c>
      <c r="H25" s="15">
        <f t="shared" si="4"/>
        <v>145502</v>
      </c>
      <c r="I25" s="15">
        <f t="shared" si="5"/>
        <v>3727702</v>
      </c>
      <c r="J25" s="16">
        <f t="shared" ref="J25:K25" si="32">IF(H25="","",IFERROR(H25/C25,""))</f>
        <v>0.72751</v>
      </c>
      <c r="K25" s="16">
        <f t="shared" si="32"/>
        <v>0.4904871053</v>
      </c>
      <c r="L25" s="15">
        <f t="shared" si="7"/>
        <v>-3872298</v>
      </c>
      <c r="M25" s="39" t="str">
        <f t="shared" si="8"/>
        <v>▲ 遅れ</v>
      </c>
      <c r="N25" s="31">
        <v>7.0</v>
      </c>
      <c r="O25" s="31">
        <v>8.0</v>
      </c>
      <c r="P25" s="31">
        <v>32.0</v>
      </c>
      <c r="Q25" s="31">
        <v>7.0</v>
      </c>
      <c r="R25" s="31">
        <v>15.0</v>
      </c>
      <c r="S25" s="16">
        <f t="shared" si="9"/>
        <v>0.21875</v>
      </c>
      <c r="T25" s="15">
        <f t="shared" si="10"/>
        <v>20786</v>
      </c>
      <c r="U25" s="40">
        <f t="shared" si="11"/>
        <v>1.142857143</v>
      </c>
      <c r="V25" s="16">
        <f t="shared" si="12"/>
        <v>0.21875</v>
      </c>
      <c r="W25" s="31"/>
      <c r="X25" s="31">
        <v>8993.0</v>
      </c>
      <c r="Y25" s="29">
        <v>0.0</v>
      </c>
      <c r="Z25" s="33"/>
      <c r="AB25" s="36">
        <v>6.0</v>
      </c>
      <c r="AC25" s="42" t="str">
        <f>IF($AJ$18+7*(6-1)&gt;$A$38,"",TEXT($AJ$18+7*(6-1),"m/d")&amp;"-"&amp;TEXT($AJ$18+7*(6-1)+6,"m/d"))</f>
        <v/>
      </c>
      <c r="AD25" s="35" t="str">
        <f>IF($AC25="","",(SUMIFS($H$8:$H$38,$A$8:$A$38,"&gt;="&amp;$AJ$18+7*(6-1),$A$8:$A$38,"&lt;="&amp;$AJ$18+7*(6-1)+6)+SUMIFS('2026年06月'!$H$8:$H$37,'2026年06月'!$A$8:$A$37,"&gt;="&amp;$AJ$18+7*(6-1),'2026年06月'!$A$8:$A$37,"&lt;="&amp;$AJ$18+7*(6-1)+6)))</f>
        <v/>
      </c>
      <c r="AE25" s="37" t="str">
        <f>IF($AC25="","",IFERROR((SUMIFS($N$8:$N$38,$A$8:$A$38,"&gt;="&amp;$AJ$18+7*(6-1),$A$8:$A$38,"&lt;="&amp;$AJ$18+7*(6-1)+6)+SUMIFS('2026年06月'!$N$8:$N$37,'2026年06月'!$A$8:$A$37,"&gt;="&amp;$AJ$18+7*(6-1),'2026年06月'!$A$8:$A$37,"&lt;="&amp;$AJ$18+7*(6-1)+6))/(SUMIFS($P$8:$P$38,$A$8:$A$38,"&gt;="&amp;$AJ$18+7*(6-1),$A$8:$A$38,"&lt;="&amp;$AJ$18+7*(6-1)+6)+SUMIFS('2026年06月'!$P$8:$P$37,'2026年06月'!$A$8:$A$37,"&gt;="&amp;$AJ$18+7*(6-1),'2026年06月'!$A$8:$A$37,"&lt;="&amp;$AJ$18+7*(6-1)+6)),""))</f>
        <v/>
      </c>
      <c r="AF25" s="35" t="str">
        <f>IF($AC25="","",IFERROR((SUMIFS($H$8:$H$38,$A$8:$A$38,"&gt;="&amp;$AJ$18+7*(6-1),$A$8:$A$38,"&lt;="&amp;$AJ$18+7*(6-1)+6)+SUMIFS('2026年06月'!$H$8:$H$37,'2026年06月'!$A$8:$A$37,"&gt;="&amp;$AJ$18+7*(6-1),'2026年06月'!$A$8:$A$37,"&lt;="&amp;$AJ$18+7*(6-1)+6))/(SUMIFS($N$8:$N$38,$A$8:$A$38,"&gt;="&amp;$AJ$18+7*(6-1),$A$8:$A$38,"&lt;="&amp;$AJ$18+7*(6-1)+6)+SUMIFS('2026年06月'!$N$8:$N$37,'2026年06月'!$A$8:$A$37,"&gt;="&amp;$AJ$18+7*(6-1),'2026年06月'!$A$8:$A$37,"&lt;="&amp;$AJ$18+7*(6-1)+6)),""))</f>
        <v/>
      </c>
      <c r="AG25" s="43" t="str">
        <f>IF($AC25="","",IFERROR((SUMIFS($O$8:$O$38,$A$8:$A$38,"&gt;="&amp;$AJ$18+7*(6-1),$A$8:$A$38,"&lt;="&amp;$AJ$18+7*(6-1)+6)+SUMIFS('2026年06月'!$O$8:$O$37,'2026年06月'!$A$8:$A$37,"&gt;="&amp;$AJ$18+7*(6-1),'2026年06月'!$A$8:$A$37,"&lt;="&amp;$AJ$18+7*(6-1)+6))/(SUMIFS($N$8:$N$38,$A$8:$A$38,"&gt;="&amp;$AJ$18+7*(6-1),$A$8:$A$38,"&lt;="&amp;$AJ$18+7*(6-1)+6)+SUMIFS('2026年06月'!$N$8:$N$37,'2026年06月'!$A$8:$A$37,"&gt;="&amp;$AJ$18+7*(6-1),'2026年06月'!$A$8:$A$37,"&lt;="&amp;$AJ$18+7*(6-1)+6)),""))</f>
        <v/>
      </c>
      <c r="AH25" s="37" t="str">
        <f>IF($AC25="","",IFERROR((SUMIFS($Q$8:$Q$38,$A$8:$A$38,"&gt;="&amp;$AJ$18+7*(6-1),$A$8:$A$38,"&lt;="&amp;$AJ$18+7*(6-1)+6)+SUMIFS('2026年06月'!$Q$8:$Q$37,'2026年06月'!$A$8:$A$37,"&gt;="&amp;$AJ$18+7*(6-1),'2026年06月'!$A$8:$A$37,"&lt;="&amp;$AJ$18+7*(6-1)+6))/(SUMIFS($P$8:$P$38,$A$8:$A$38,"&gt;="&amp;$AJ$18+7*(6-1),$A$8:$A$38,"&lt;="&amp;$AJ$18+7*(6-1)+6)+SUMIFS('2026年06月'!$P$8:$P$37,'2026年06月'!$A$8:$A$37,"&gt;="&amp;$AJ$18+7*(6-1),'2026年06月'!$A$8:$A$37,"&lt;="&amp;$AJ$18+7*(6-1)+6)),""))</f>
        <v/>
      </c>
    </row>
    <row r="26" ht="15.75" customHeight="1">
      <c r="A26" s="28">
        <v>46161.0</v>
      </c>
      <c r="B26" s="10" t="str">
        <f t="shared" si="2"/>
        <v>火</v>
      </c>
      <c r="C26" s="29">
        <v>200000.0</v>
      </c>
      <c r="D26" s="11">
        <f t="shared" si="3"/>
        <v>7800000</v>
      </c>
      <c r="E26" s="29">
        <v>960.0</v>
      </c>
      <c r="F26" s="29">
        <v>143040.0</v>
      </c>
      <c r="G26" s="29">
        <v>8609.0</v>
      </c>
      <c r="H26" s="11">
        <f t="shared" si="4"/>
        <v>152609</v>
      </c>
      <c r="I26" s="11">
        <f t="shared" si="5"/>
        <v>3880311</v>
      </c>
      <c r="J26" s="12">
        <f t="shared" ref="J26:K26" si="33">IF(H26="","",IFERROR(H26/C26,""))</f>
        <v>0.763045</v>
      </c>
      <c r="K26" s="12">
        <f t="shared" si="33"/>
        <v>0.4974757692</v>
      </c>
      <c r="L26" s="11">
        <f t="shared" si="7"/>
        <v>-3919689</v>
      </c>
      <c r="M26" s="30" t="str">
        <f t="shared" si="8"/>
        <v>▲ 遅れ</v>
      </c>
      <c r="N26" s="31">
        <v>7.0</v>
      </c>
      <c r="O26" s="31">
        <v>8.0</v>
      </c>
      <c r="P26" s="31">
        <v>24.0</v>
      </c>
      <c r="Q26" s="31">
        <v>10.0</v>
      </c>
      <c r="R26" s="31">
        <v>17.0</v>
      </c>
      <c r="S26" s="12">
        <f t="shared" si="9"/>
        <v>0.2916666667</v>
      </c>
      <c r="T26" s="11">
        <f t="shared" si="10"/>
        <v>21801.28571</v>
      </c>
      <c r="U26" s="32">
        <f t="shared" si="11"/>
        <v>1.142857143</v>
      </c>
      <c r="V26" s="12">
        <f t="shared" si="12"/>
        <v>0.4166666667</v>
      </c>
      <c r="W26" s="31"/>
      <c r="X26" s="31">
        <v>8994.0</v>
      </c>
      <c r="Y26" s="29">
        <v>0.0</v>
      </c>
      <c r="Z26" s="33"/>
      <c r="AB26" s="22" t="s">
        <v>87</v>
      </c>
    </row>
    <row r="27" ht="15.75" customHeight="1">
      <c r="A27" s="38">
        <v>46162.0</v>
      </c>
      <c r="B27" s="14" t="str">
        <f t="shared" si="2"/>
        <v>水</v>
      </c>
      <c r="C27" s="29">
        <v>200000.0</v>
      </c>
      <c r="D27" s="15">
        <f t="shared" si="3"/>
        <v>8000000</v>
      </c>
      <c r="E27" s="29">
        <v>0.0</v>
      </c>
      <c r="F27" s="29">
        <v>47620.0</v>
      </c>
      <c r="G27" s="29">
        <v>-4616.0</v>
      </c>
      <c r="H27" s="15">
        <f t="shared" si="4"/>
        <v>43004</v>
      </c>
      <c r="I27" s="15">
        <f t="shared" si="5"/>
        <v>3923315</v>
      </c>
      <c r="J27" s="16">
        <f t="shared" ref="J27:K27" si="34">IF(H27="","",IFERROR(H27/C27,""))</f>
        <v>0.21502</v>
      </c>
      <c r="K27" s="16">
        <f t="shared" si="34"/>
        <v>0.490414375</v>
      </c>
      <c r="L27" s="15">
        <f t="shared" si="7"/>
        <v>-4076685</v>
      </c>
      <c r="M27" s="39" t="str">
        <f t="shared" si="8"/>
        <v>▲ 遅れ</v>
      </c>
      <c r="N27" s="31">
        <v>2.0</v>
      </c>
      <c r="O27" s="31">
        <v>2.0</v>
      </c>
      <c r="P27" s="31">
        <v>23.0</v>
      </c>
      <c r="Q27" s="31">
        <v>5.0</v>
      </c>
      <c r="R27" s="31">
        <v>6.0</v>
      </c>
      <c r="S27" s="16">
        <f t="shared" si="9"/>
        <v>0.08695652174</v>
      </c>
      <c r="T27" s="15">
        <f t="shared" si="10"/>
        <v>21502</v>
      </c>
      <c r="U27" s="40">
        <f t="shared" si="11"/>
        <v>1</v>
      </c>
      <c r="V27" s="16">
        <f t="shared" si="12"/>
        <v>0.2173913043</v>
      </c>
      <c r="W27" s="31"/>
      <c r="X27" s="31">
        <v>8994.0</v>
      </c>
      <c r="Y27" s="29">
        <v>0.0</v>
      </c>
      <c r="Z27" s="33"/>
      <c r="AB27" s="22" t="s">
        <v>88</v>
      </c>
    </row>
    <row r="28" ht="15.75" customHeight="1">
      <c r="A28" s="28">
        <v>46163.0</v>
      </c>
      <c r="B28" s="10" t="str">
        <f t="shared" si="2"/>
        <v>木</v>
      </c>
      <c r="C28" s="29">
        <v>200000.0</v>
      </c>
      <c r="D28" s="11">
        <f t="shared" si="3"/>
        <v>8200000</v>
      </c>
      <c r="E28" s="29">
        <v>0.0</v>
      </c>
      <c r="F28" s="29">
        <v>60430.0</v>
      </c>
      <c r="G28" s="29">
        <v>11678.0</v>
      </c>
      <c r="H28" s="11">
        <f t="shared" si="4"/>
        <v>72108</v>
      </c>
      <c r="I28" s="11">
        <f t="shared" si="5"/>
        <v>3995423</v>
      </c>
      <c r="J28" s="12">
        <f t="shared" ref="J28:K28" si="35">IF(H28="","",IFERROR(H28/C28,""))</f>
        <v>0.36054</v>
      </c>
      <c r="K28" s="12">
        <f t="shared" si="35"/>
        <v>0.4872467073</v>
      </c>
      <c r="L28" s="11">
        <f t="shared" si="7"/>
        <v>-4204577</v>
      </c>
      <c r="M28" s="30" t="str">
        <f t="shared" si="8"/>
        <v>▲ 遅れ</v>
      </c>
      <c r="N28" s="31">
        <v>4.0</v>
      </c>
      <c r="O28" s="31">
        <v>5.0</v>
      </c>
      <c r="P28" s="31">
        <v>12.0</v>
      </c>
      <c r="Q28" s="31">
        <v>7.0</v>
      </c>
      <c r="R28" s="31">
        <v>14.0</v>
      </c>
      <c r="S28" s="12">
        <f t="shared" si="9"/>
        <v>0.3333333333</v>
      </c>
      <c r="T28" s="11">
        <f t="shared" si="10"/>
        <v>18027</v>
      </c>
      <c r="U28" s="32">
        <f t="shared" si="11"/>
        <v>1.25</v>
      </c>
      <c r="V28" s="12">
        <f t="shared" si="12"/>
        <v>0.5833333333</v>
      </c>
      <c r="W28" s="31"/>
      <c r="X28" s="31">
        <v>8989.0</v>
      </c>
      <c r="Y28" s="29">
        <v>0.0</v>
      </c>
      <c r="Z28" s="33"/>
      <c r="AB28" s="22" t="s">
        <v>89</v>
      </c>
    </row>
    <row r="29" ht="15.75" customHeight="1">
      <c r="A29" s="38">
        <v>46164.0</v>
      </c>
      <c r="B29" s="14" t="str">
        <f t="shared" si="2"/>
        <v>金</v>
      </c>
      <c r="C29" s="29">
        <v>200000.0</v>
      </c>
      <c r="D29" s="15">
        <f t="shared" si="3"/>
        <v>8400000</v>
      </c>
      <c r="E29" s="29">
        <v>0.0</v>
      </c>
      <c r="F29" s="29">
        <v>66430.0</v>
      </c>
      <c r="G29" s="29">
        <v>-6425.0</v>
      </c>
      <c r="H29" s="15">
        <f t="shared" si="4"/>
        <v>60005</v>
      </c>
      <c r="I29" s="15">
        <f t="shared" si="5"/>
        <v>4055428</v>
      </c>
      <c r="J29" s="16">
        <f t="shared" ref="J29:K29" si="36">IF(H29="","",IFERROR(H29/C29,""))</f>
        <v>0.300025</v>
      </c>
      <c r="K29" s="16">
        <f t="shared" si="36"/>
        <v>0.4827890476</v>
      </c>
      <c r="L29" s="15">
        <f t="shared" si="7"/>
        <v>-4344572</v>
      </c>
      <c r="M29" s="39" t="str">
        <f t="shared" si="8"/>
        <v>▲ 遅れ</v>
      </c>
      <c r="N29" s="31">
        <v>3.0</v>
      </c>
      <c r="O29" s="31">
        <v>3.0</v>
      </c>
      <c r="P29" s="31">
        <v>16.0</v>
      </c>
      <c r="Q29" s="31">
        <v>4.0</v>
      </c>
      <c r="R29" s="31">
        <v>5.0</v>
      </c>
      <c r="S29" s="16">
        <f t="shared" si="9"/>
        <v>0.1875</v>
      </c>
      <c r="T29" s="15">
        <f t="shared" si="10"/>
        <v>20001.66667</v>
      </c>
      <c r="U29" s="40">
        <f t="shared" si="11"/>
        <v>1</v>
      </c>
      <c r="V29" s="16">
        <f t="shared" si="12"/>
        <v>0.25</v>
      </c>
      <c r="W29" s="31"/>
      <c r="X29" s="31">
        <v>8984.0</v>
      </c>
      <c r="Y29" s="29">
        <v>0.0</v>
      </c>
      <c r="Z29" s="33"/>
    </row>
    <row r="30" ht="15.75" customHeight="1">
      <c r="A30" s="28">
        <v>46165.0</v>
      </c>
      <c r="B30" s="10" t="str">
        <f t="shared" si="2"/>
        <v>土</v>
      </c>
      <c r="C30" s="29">
        <v>500000.0</v>
      </c>
      <c r="D30" s="11">
        <f t="shared" si="3"/>
        <v>8900000</v>
      </c>
      <c r="E30" s="29">
        <v>98430.0</v>
      </c>
      <c r="F30" s="29">
        <v>277900.0</v>
      </c>
      <c r="G30" s="29">
        <v>-20387.0</v>
      </c>
      <c r="H30" s="11">
        <f t="shared" si="4"/>
        <v>355943</v>
      </c>
      <c r="I30" s="11">
        <f t="shared" si="5"/>
        <v>4411371</v>
      </c>
      <c r="J30" s="12">
        <f t="shared" ref="J30:K30" si="37">IF(H30="","",IFERROR(H30/C30,""))</f>
        <v>0.711886</v>
      </c>
      <c r="K30" s="12">
        <f t="shared" si="37"/>
        <v>0.4956596629</v>
      </c>
      <c r="L30" s="11">
        <f t="shared" si="7"/>
        <v>-4488629</v>
      </c>
      <c r="M30" s="30" t="str">
        <f t="shared" si="8"/>
        <v>▲ 遅れ</v>
      </c>
      <c r="N30" s="31">
        <v>17.0</v>
      </c>
      <c r="O30" s="31">
        <v>19.0</v>
      </c>
      <c r="P30" s="31">
        <v>61.0</v>
      </c>
      <c r="Q30" s="31">
        <v>21.0</v>
      </c>
      <c r="R30" s="31">
        <v>42.0</v>
      </c>
      <c r="S30" s="12">
        <f t="shared" si="9"/>
        <v>0.2786885246</v>
      </c>
      <c r="T30" s="11">
        <f t="shared" si="10"/>
        <v>20937.82353</v>
      </c>
      <c r="U30" s="32">
        <f t="shared" si="11"/>
        <v>1.117647059</v>
      </c>
      <c r="V30" s="12">
        <f t="shared" si="12"/>
        <v>0.3442622951</v>
      </c>
      <c r="W30" s="31"/>
      <c r="X30" s="31">
        <v>8984.0</v>
      </c>
      <c r="Y30" s="29">
        <v>0.0</v>
      </c>
      <c r="Z30" s="33"/>
    </row>
    <row r="31" ht="15.75" customHeight="1">
      <c r="A31" s="38">
        <v>46166.0</v>
      </c>
      <c r="B31" s="14" t="str">
        <f t="shared" si="2"/>
        <v>日</v>
      </c>
      <c r="C31" s="29">
        <v>400000.0</v>
      </c>
      <c r="D31" s="15">
        <f t="shared" si="3"/>
        <v>9300000</v>
      </c>
      <c r="E31" s="29">
        <v>44220.0</v>
      </c>
      <c r="F31" s="29">
        <v>229640.0</v>
      </c>
      <c r="G31" s="29">
        <v>56758.0</v>
      </c>
      <c r="H31" s="15">
        <f t="shared" si="4"/>
        <v>330618</v>
      </c>
      <c r="I31" s="15">
        <f t="shared" si="5"/>
        <v>4741989</v>
      </c>
      <c r="J31" s="16">
        <f t="shared" ref="J31:K31" si="38">IF(H31="","",IFERROR(H31/C31,""))</f>
        <v>0.826545</v>
      </c>
      <c r="K31" s="16">
        <f t="shared" si="38"/>
        <v>0.5098912903</v>
      </c>
      <c r="L31" s="15">
        <f t="shared" si="7"/>
        <v>-4558011</v>
      </c>
      <c r="M31" s="39" t="str">
        <f t="shared" si="8"/>
        <v>▲ 遅れ</v>
      </c>
      <c r="N31" s="31">
        <v>16.0</v>
      </c>
      <c r="O31" s="31">
        <v>17.0</v>
      </c>
      <c r="P31" s="31">
        <v>42.0</v>
      </c>
      <c r="Q31" s="31">
        <v>23.0</v>
      </c>
      <c r="R31" s="31">
        <v>49.0</v>
      </c>
      <c r="S31" s="16">
        <f t="shared" si="9"/>
        <v>0.380952381</v>
      </c>
      <c r="T31" s="15">
        <f t="shared" si="10"/>
        <v>20663.625</v>
      </c>
      <c r="U31" s="40">
        <f t="shared" si="11"/>
        <v>1.0625</v>
      </c>
      <c r="V31" s="16">
        <f t="shared" si="12"/>
        <v>0.5476190476</v>
      </c>
      <c r="W31" s="31"/>
      <c r="X31" s="31">
        <v>8979.0</v>
      </c>
      <c r="Y31" s="29">
        <v>0.0</v>
      </c>
      <c r="Z31" s="33"/>
    </row>
    <row r="32" ht="15.75" customHeight="1">
      <c r="A32" s="28">
        <v>46167.0</v>
      </c>
      <c r="B32" s="10" t="str">
        <f t="shared" si="2"/>
        <v>月</v>
      </c>
      <c r="C32" s="29">
        <v>200000.0</v>
      </c>
      <c r="D32" s="11">
        <f t="shared" si="3"/>
        <v>9500000</v>
      </c>
      <c r="E32" s="29">
        <v>67030.0</v>
      </c>
      <c r="F32" s="29">
        <v>95240.0</v>
      </c>
      <c r="G32" s="29">
        <v>5746.0</v>
      </c>
      <c r="H32" s="11">
        <f t="shared" si="4"/>
        <v>168016</v>
      </c>
      <c r="I32" s="11">
        <f t="shared" si="5"/>
        <v>4910005</v>
      </c>
      <c r="J32" s="12">
        <f t="shared" ref="J32:K32" si="39">IF(H32="","",IFERROR(H32/C32,""))</f>
        <v>0.84008</v>
      </c>
      <c r="K32" s="12">
        <f t="shared" si="39"/>
        <v>0.5168426316</v>
      </c>
      <c r="L32" s="11">
        <f t="shared" si="7"/>
        <v>-4589995</v>
      </c>
      <c r="M32" s="30" t="str">
        <f t="shared" si="8"/>
        <v>▲ 遅れ</v>
      </c>
      <c r="N32" s="31">
        <v>8.0</v>
      </c>
      <c r="O32" s="31">
        <v>8.0</v>
      </c>
      <c r="P32" s="31">
        <v>22.0</v>
      </c>
      <c r="Q32" s="31">
        <v>9.0</v>
      </c>
      <c r="R32" s="31">
        <v>11.0</v>
      </c>
      <c r="S32" s="12">
        <f t="shared" si="9"/>
        <v>0.3636363636</v>
      </c>
      <c r="T32" s="11">
        <f t="shared" si="10"/>
        <v>21002</v>
      </c>
      <c r="U32" s="32">
        <f t="shared" si="11"/>
        <v>1</v>
      </c>
      <c r="V32" s="12">
        <f t="shared" si="12"/>
        <v>0.4090909091</v>
      </c>
      <c r="W32" s="31"/>
      <c r="X32" s="31">
        <v>8979.0</v>
      </c>
      <c r="Y32" s="29">
        <v>0.0</v>
      </c>
      <c r="Z32" s="33"/>
    </row>
    <row r="33" ht="15.75" customHeight="1">
      <c r="A33" s="38">
        <v>46168.0</v>
      </c>
      <c r="B33" s="14" t="str">
        <f t="shared" si="2"/>
        <v>火</v>
      </c>
      <c r="C33" s="29">
        <v>200000.0</v>
      </c>
      <c r="D33" s="15">
        <f t="shared" si="3"/>
        <v>9700000</v>
      </c>
      <c r="E33" s="29">
        <v>47620.0</v>
      </c>
      <c r="F33" s="29">
        <v>71820.0</v>
      </c>
      <c r="G33" s="29">
        <v>8070.0</v>
      </c>
      <c r="H33" s="15">
        <f t="shared" si="4"/>
        <v>127510</v>
      </c>
      <c r="I33" s="15">
        <f t="shared" si="5"/>
        <v>5037515</v>
      </c>
      <c r="J33" s="16">
        <f t="shared" ref="J33:K33" si="40">IF(H33="","",IFERROR(H33/C33,""))</f>
        <v>0.63755</v>
      </c>
      <c r="K33" s="16">
        <f t="shared" si="40"/>
        <v>0.5193314433</v>
      </c>
      <c r="L33" s="15">
        <f t="shared" si="7"/>
        <v>-4662485</v>
      </c>
      <c r="M33" s="39" t="str">
        <f t="shared" si="8"/>
        <v>▲ 遅れ</v>
      </c>
      <c r="N33" s="31">
        <v>6.0</v>
      </c>
      <c r="O33" s="31">
        <v>6.0</v>
      </c>
      <c r="P33" s="31">
        <v>19.0</v>
      </c>
      <c r="Q33" s="31">
        <v>7.0</v>
      </c>
      <c r="R33" s="31">
        <v>12.0</v>
      </c>
      <c r="S33" s="16">
        <f t="shared" si="9"/>
        <v>0.3157894737</v>
      </c>
      <c r="T33" s="15">
        <f t="shared" si="10"/>
        <v>21251.66667</v>
      </c>
      <c r="U33" s="40">
        <f t="shared" si="11"/>
        <v>1</v>
      </c>
      <c r="V33" s="16">
        <f t="shared" si="12"/>
        <v>0.3684210526</v>
      </c>
      <c r="W33" s="31"/>
      <c r="X33" s="31">
        <v>8976.0</v>
      </c>
      <c r="Y33" s="29">
        <v>0.0</v>
      </c>
      <c r="Z33" s="33"/>
    </row>
    <row r="34" ht="15.75" customHeight="1">
      <c r="A34" s="28">
        <v>46169.0</v>
      </c>
      <c r="B34" s="10" t="str">
        <f t="shared" si="2"/>
        <v>水</v>
      </c>
      <c r="C34" s="29">
        <v>200000.0</v>
      </c>
      <c r="D34" s="11">
        <f t="shared" si="3"/>
        <v>9900000</v>
      </c>
      <c r="E34" s="29">
        <v>24620.0</v>
      </c>
      <c r="F34" s="29">
        <v>48510.0</v>
      </c>
      <c r="G34" s="29">
        <v>53376.0</v>
      </c>
      <c r="H34" s="11">
        <f t="shared" si="4"/>
        <v>126506</v>
      </c>
      <c r="I34" s="11">
        <f t="shared" si="5"/>
        <v>5164021</v>
      </c>
      <c r="J34" s="12">
        <f t="shared" ref="J34:K34" si="41">IF(H34="","",IFERROR(H34/C34,""))</f>
        <v>0.63253</v>
      </c>
      <c r="K34" s="12">
        <f t="shared" si="41"/>
        <v>0.5216182828</v>
      </c>
      <c r="L34" s="11">
        <f t="shared" si="7"/>
        <v>-4735979</v>
      </c>
      <c r="M34" s="30" t="str">
        <f t="shared" si="8"/>
        <v>▲ 遅れ</v>
      </c>
      <c r="N34" s="31">
        <v>5.0</v>
      </c>
      <c r="O34" s="31">
        <v>6.0</v>
      </c>
      <c r="P34" s="31">
        <v>19.0</v>
      </c>
      <c r="Q34" s="31">
        <v>5.0</v>
      </c>
      <c r="R34" s="31">
        <v>11.0</v>
      </c>
      <c r="S34" s="12">
        <f t="shared" si="9"/>
        <v>0.2631578947</v>
      </c>
      <c r="T34" s="11">
        <f t="shared" si="10"/>
        <v>25301.2</v>
      </c>
      <c r="U34" s="32">
        <f t="shared" si="11"/>
        <v>1.2</v>
      </c>
      <c r="V34" s="12">
        <f t="shared" si="12"/>
        <v>0.2631578947</v>
      </c>
      <c r="W34" s="31"/>
      <c r="X34" s="31">
        <v>8972.0</v>
      </c>
      <c r="Y34" s="29">
        <v>0.0</v>
      </c>
      <c r="Z34" s="33"/>
    </row>
    <row r="35" ht="15.75" customHeight="1">
      <c r="A35" s="38">
        <v>46170.0</v>
      </c>
      <c r="B35" s="14" t="str">
        <f t="shared" si="2"/>
        <v>木</v>
      </c>
      <c r="C35" s="29">
        <v>200000.0</v>
      </c>
      <c r="D35" s="15">
        <f t="shared" si="3"/>
        <v>10100000</v>
      </c>
      <c r="E35" s="29">
        <v>0.0</v>
      </c>
      <c r="F35" s="29">
        <v>90840.0</v>
      </c>
      <c r="G35" s="29">
        <v>13168.0</v>
      </c>
      <c r="H35" s="15">
        <f t="shared" si="4"/>
        <v>104008</v>
      </c>
      <c r="I35" s="15">
        <f t="shared" si="5"/>
        <v>5268029</v>
      </c>
      <c r="J35" s="16">
        <f t="shared" ref="J35:K35" si="42">IF(H35="","",IFERROR(H35/C35,""))</f>
        <v>0.52004</v>
      </c>
      <c r="K35" s="16">
        <f t="shared" si="42"/>
        <v>0.5215870297</v>
      </c>
      <c r="L35" s="15">
        <f t="shared" si="7"/>
        <v>-4831971</v>
      </c>
      <c r="M35" s="39" t="str">
        <f t="shared" si="8"/>
        <v>▲ 遅れ</v>
      </c>
      <c r="N35" s="31">
        <v>5.0</v>
      </c>
      <c r="O35" s="31">
        <v>5.0</v>
      </c>
      <c r="P35" s="31">
        <v>20.0</v>
      </c>
      <c r="Q35" s="31">
        <v>7.0</v>
      </c>
      <c r="R35" s="31">
        <v>11.0</v>
      </c>
      <c r="S35" s="16">
        <f t="shared" si="9"/>
        <v>0.25</v>
      </c>
      <c r="T35" s="15">
        <f t="shared" si="10"/>
        <v>20801.6</v>
      </c>
      <c r="U35" s="40">
        <f t="shared" si="11"/>
        <v>1</v>
      </c>
      <c r="V35" s="16">
        <f t="shared" si="12"/>
        <v>0.35</v>
      </c>
      <c r="W35" s="31"/>
      <c r="X35" s="31">
        <v>8970.0</v>
      </c>
      <c r="Y35" s="29">
        <v>0.0</v>
      </c>
      <c r="Z35" s="33"/>
    </row>
    <row r="36" ht="15.75" customHeight="1">
      <c r="A36" s="28">
        <v>46171.0</v>
      </c>
      <c r="B36" s="10" t="str">
        <f t="shared" si="2"/>
        <v>金</v>
      </c>
      <c r="C36" s="29">
        <v>200000.0</v>
      </c>
      <c r="D36" s="11">
        <f t="shared" si="3"/>
        <v>10300000</v>
      </c>
      <c r="E36" s="29">
        <v>0.0</v>
      </c>
      <c r="F36" s="29">
        <v>184980.0</v>
      </c>
      <c r="G36" s="29">
        <v>1835.0</v>
      </c>
      <c r="H36" s="11">
        <f t="shared" si="4"/>
        <v>186815</v>
      </c>
      <c r="I36" s="11">
        <f t="shared" si="5"/>
        <v>5454844</v>
      </c>
      <c r="J36" s="12">
        <f t="shared" ref="J36:K36" si="43">IF(H36="","",IFERROR(H36/C36,""))</f>
        <v>0.934075</v>
      </c>
      <c r="K36" s="12">
        <f t="shared" si="43"/>
        <v>0.5295965049</v>
      </c>
      <c r="L36" s="11">
        <f t="shared" si="7"/>
        <v>-4845156</v>
      </c>
      <c r="M36" s="30" t="str">
        <f t="shared" si="8"/>
        <v>▲ 遅れ</v>
      </c>
      <c r="N36" s="31">
        <v>9.0</v>
      </c>
      <c r="O36" s="31">
        <v>12.0</v>
      </c>
      <c r="P36" s="31">
        <v>33.0</v>
      </c>
      <c r="Q36" s="31">
        <v>15.0</v>
      </c>
      <c r="R36" s="31">
        <v>24.0</v>
      </c>
      <c r="S36" s="12">
        <f t="shared" si="9"/>
        <v>0.2727272727</v>
      </c>
      <c r="T36" s="11">
        <f t="shared" si="10"/>
        <v>20757.22222</v>
      </c>
      <c r="U36" s="32">
        <f t="shared" si="11"/>
        <v>1.333333333</v>
      </c>
      <c r="V36" s="12">
        <f t="shared" si="12"/>
        <v>0.4545454545</v>
      </c>
      <c r="W36" s="31"/>
      <c r="X36" s="31">
        <v>8968.0</v>
      </c>
      <c r="Y36" s="29">
        <v>0.0</v>
      </c>
      <c r="Z36" s="33"/>
    </row>
    <row r="37" ht="15.75" customHeight="1">
      <c r="A37" s="38">
        <v>46172.0</v>
      </c>
      <c r="B37" s="14" t="str">
        <f t="shared" si="2"/>
        <v>土</v>
      </c>
      <c r="C37" s="29">
        <v>500000.0</v>
      </c>
      <c r="D37" s="15">
        <f t="shared" si="3"/>
        <v>10800000</v>
      </c>
      <c r="E37" s="29">
        <v>90740.0</v>
      </c>
      <c r="F37" s="29">
        <v>257690.0</v>
      </c>
      <c r="G37" s="29">
        <v>-34388.0</v>
      </c>
      <c r="H37" s="15">
        <f t="shared" si="4"/>
        <v>314042</v>
      </c>
      <c r="I37" s="15">
        <f t="shared" si="5"/>
        <v>5768886</v>
      </c>
      <c r="J37" s="16">
        <f t="shared" ref="J37:K37" si="44">IF(H37="","",IFERROR(H37/C37,""))</f>
        <v>0.628084</v>
      </c>
      <c r="K37" s="16">
        <f t="shared" si="44"/>
        <v>0.5341561111</v>
      </c>
      <c r="L37" s="15">
        <f t="shared" si="7"/>
        <v>-5031114</v>
      </c>
      <c r="M37" s="39" t="str">
        <f t="shared" si="8"/>
        <v>▲ 遅れ</v>
      </c>
      <c r="N37" s="31">
        <v>14.0</v>
      </c>
      <c r="O37" s="31">
        <v>15.0</v>
      </c>
      <c r="P37" s="31">
        <v>61.0</v>
      </c>
      <c r="Q37" s="31">
        <v>13.0</v>
      </c>
      <c r="R37" s="31">
        <v>24.0</v>
      </c>
      <c r="S37" s="16">
        <f t="shared" si="9"/>
        <v>0.2295081967</v>
      </c>
      <c r="T37" s="15">
        <f t="shared" si="10"/>
        <v>22431.57143</v>
      </c>
      <c r="U37" s="40">
        <f t="shared" si="11"/>
        <v>1.071428571</v>
      </c>
      <c r="V37" s="16">
        <f t="shared" si="12"/>
        <v>0.2131147541</v>
      </c>
      <c r="W37" s="31"/>
      <c r="X37" s="31">
        <v>8969.0</v>
      </c>
      <c r="Y37" s="29">
        <v>0.0</v>
      </c>
      <c r="Z37" s="33"/>
    </row>
    <row r="38" ht="15.75" customHeight="1">
      <c r="A38" s="28">
        <v>46173.0</v>
      </c>
      <c r="B38" s="10" t="str">
        <f t="shared" si="2"/>
        <v>日</v>
      </c>
      <c r="C38" s="29">
        <v>400000.0</v>
      </c>
      <c r="D38" s="11">
        <f t="shared" si="3"/>
        <v>11200000</v>
      </c>
      <c r="E38" s="29">
        <v>50380.0</v>
      </c>
      <c r="F38" s="29">
        <v>209040.0</v>
      </c>
      <c r="G38" s="29">
        <v>1789.0</v>
      </c>
      <c r="H38" s="11">
        <f t="shared" si="4"/>
        <v>261209</v>
      </c>
      <c r="I38" s="11">
        <f t="shared" si="5"/>
        <v>6030095</v>
      </c>
      <c r="J38" s="12">
        <f t="shared" ref="J38:K38" si="45">IF(H38="","",IFERROR(H38/C38,""))</f>
        <v>0.6530225</v>
      </c>
      <c r="K38" s="12">
        <f t="shared" si="45"/>
        <v>0.5384013393</v>
      </c>
      <c r="L38" s="11">
        <f t="shared" si="7"/>
        <v>-5169905</v>
      </c>
      <c r="M38" s="30" t="str">
        <f t="shared" si="8"/>
        <v>▲ 遅れ</v>
      </c>
      <c r="N38" s="31">
        <v>12.0</v>
      </c>
      <c r="O38" s="31">
        <v>16.0</v>
      </c>
      <c r="P38" s="31">
        <v>45.0</v>
      </c>
      <c r="Q38" s="31">
        <v>14.0</v>
      </c>
      <c r="R38" s="31">
        <v>26.0</v>
      </c>
      <c r="S38" s="12">
        <f t="shared" si="9"/>
        <v>0.2666666667</v>
      </c>
      <c r="T38" s="11">
        <f t="shared" si="10"/>
        <v>21767.41667</v>
      </c>
      <c r="U38" s="32">
        <f t="shared" si="11"/>
        <v>1.333333333</v>
      </c>
      <c r="V38" s="12">
        <f t="shared" si="12"/>
        <v>0.3111111111</v>
      </c>
      <c r="W38" s="31"/>
      <c r="X38" s="31">
        <v>8961.0</v>
      </c>
      <c r="Y38" s="29">
        <v>0.0</v>
      </c>
      <c r="Z38" s="33"/>
    </row>
    <row r="39" ht="15.75" customHeight="1">
      <c r="A39" s="44" t="s">
        <v>81</v>
      </c>
      <c r="B39" s="18"/>
      <c r="C39" s="19">
        <f>SUM(C8:C38)</f>
        <v>11200000</v>
      </c>
      <c r="D39" s="19">
        <f>C39</f>
        <v>11200000</v>
      </c>
      <c r="E39" s="19">
        <f t="shared" ref="E39:H39" si="46">SUM(E8:E38)</f>
        <v>1556548</v>
      </c>
      <c r="F39" s="19">
        <f t="shared" si="46"/>
        <v>4222223</v>
      </c>
      <c r="G39" s="19">
        <f t="shared" si="46"/>
        <v>251324</v>
      </c>
      <c r="H39" s="19">
        <f t="shared" si="46"/>
        <v>6030095</v>
      </c>
      <c r="I39" s="19">
        <f>H39</f>
        <v>6030095</v>
      </c>
      <c r="J39" s="20">
        <f>IFERROR(H39/C39,"")</f>
        <v>0.5384013393</v>
      </c>
      <c r="K39" s="20">
        <f>IFERROR(H39/C39,"")</f>
        <v>0.5384013393</v>
      </c>
      <c r="L39" s="19">
        <f>H39-C39</f>
        <v>-5169905</v>
      </c>
      <c r="M39" s="45"/>
      <c r="N39" s="21">
        <f t="shared" ref="N39:R39" si="47">SUM(N8:N38)</f>
        <v>285</v>
      </c>
      <c r="O39" s="21">
        <f t="shared" si="47"/>
        <v>313</v>
      </c>
      <c r="P39" s="21">
        <f t="shared" si="47"/>
        <v>1055</v>
      </c>
      <c r="Q39" s="21">
        <f t="shared" si="47"/>
        <v>355</v>
      </c>
      <c r="R39" s="21">
        <f t="shared" si="47"/>
        <v>623</v>
      </c>
      <c r="S39" s="20">
        <f t="shared" si="9"/>
        <v>0.2701421801</v>
      </c>
      <c r="T39" s="19">
        <f t="shared" si="10"/>
        <v>21158.22807</v>
      </c>
      <c r="U39" s="46">
        <f t="shared" si="11"/>
        <v>1.098245614</v>
      </c>
      <c r="V39" s="20">
        <f t="shared" si="12"/>
        <v>0.336492891</v>
      </c>
      <c r="W39" s="21">
        <f>SUM(W8:W38)</f>
        <v>0</v>
      </c>
      <c r="X39" s="21">
        <f>IFERROR(LOOKUP(9.99E+307,X8:X38),"")</f>
        <v>8961</v>
      </c>
      <c r="Y39" s="19">
        <f>SUM(Y8:Y38)</f>
        <v>0</v>
      </c>
      <c r="Z39" s="47" t="s">
        <v>82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Z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L8:L38">
    <cfRule type="expression" dxfId="0" priority="1">
      <formula>AND($H8&lt;&gt;"",$L8&gt;=0)</formula>
    </cfRule>
  </conditionalFormatting>
  <conditionalFormatting sqref="L8:L38">
    <cfRule type="expression" dxfId="1" priority="2">
      <formula>AND($H8&lt;&gt;"",$L8&lt;0)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7" width="11.0"/>
    <col customWidth="1" min="8" max="8" width="12.0"/>
    <col customWidth="1" min="9" max="9" width="13.0"/>
    <col customWidth="1" min="10" max="11" width="9.0"/>
    <col customWidth="1" min="12" max="12" width="13.0"/>
    <col customWidth="1" min="13" max="13" width="11.0"/>
    <col customWidth="1" min="14" max="19" width="8.0"/>
    <col customWidth="1" min="20" max="20" width="11.0"/>
    <col customWidth="1" min="21" max="23" width="8.0"/>
    <col customWidth="1" min="24" max="24" width="10.0"/>
    <col customWidth="1" min="25" max="25" width="9.0"/>
    <col customWidth="1" min="26" max="26" width="28.0"/>
    <col customWidth="1" min="27" max="27" width="3.0"/>
    <col customWidth="1" min="28" max="28" width="5.0"/>
    <col customWidth="1" min="29" max="29" width="13.0"/>
    <col customWidth="1" min="30" max="30" width="12.0"/>
    <col customWidth="1" min="31" max="31" width="9.0"/>
    <col customWidth="1" min="32" max="32" width="11.0"/>
    <col customWidth="1" min="33" max="35" width="9.0"/>
    <col customWidth="1" min="36" max="36" width="8.0"/>
  </cols>
  <sheetData>
    <row r="1" ht="27.75" customHeight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91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IF('設定'!$B$10="",SUM(C8:C37),'設定'!$B$10)</f>
        <v>9000000</v>
      </c>
      <c r="B4" s="6"/>
      <c r="C4" s="7">
        <f>SUM(H8:H37)</f>
        <v>5200406</v>
      </c>
      <c r="D4" s="6"/>
      <c r="E4" s="8">
        <f>IFERROR(C4/A4,0)</f>
        <v>0.5778228889</v>
      </c>
      <c r="F4" s="6"/>
      <c r="G4" s="25">
        <f>COUNTIF(H8:H37,"&gt;0")</f>
        <v>30</v>
      </c>
      <c r="H4" s="6"/>
      <c r="I4" s="7">
        <f>A4-C4</f>
        <v>3799594</v>
      </c>
      <c r="J4" s="6"/>
      <c r="K4" s="7">
        <f>IF((30-G4)&gt;0,(A4-C4)/(30-G4),0)</f>
        <v>0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SUM(C8:C37)</f>
        <v>9500000</v>
      </c>
      <c r="B6" s="6"/>
      <c r="C6" s="7">
        <f>IFERROR(C4/G4*30,0)</f>
        <v>5200406</v>
      </c>
      <c r="D6" s="6"/>
      <c r="E6" s="8">
        <f>IFERROR(N38/P38,0)</f>
        <v>0.2877697842</v>
      </c>
      <c r="F6" s="6"/>
      <c r="G6" s="7">
        <f>IFERROR(H38/N38,0)</f>
        <v>21668.35833</v>
      </c>
      <c r="H6" s="6"/>
      <c r="I6" s="26">
        <f>IFERROR(O38/N38,0)</f>
        <v>1.129166667</v>
      </c>
      <c r="J6" s="6"/>
      <c r="K6" s="8">
        <f>IFERROR(Q38/P38,0)</f>
        <v>0.381294964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92</v>
      </c>
      <c r="H7" s="9" t="s">
        <v>51</v>
      </c>
      <c r="I7" s="9" t="s">
        <v>19</v>
      </c>
      <c r="J7" s="9" t="s">
        <v>52</v>
      </c>
      <c r="K7" s="9" t="s">
        <v>53</v>
      </c>
      <c r="L7" s="9" t="s">
        <v>54</v>
      </c>
      <c r="M7" s="9" t="s">
        <v>55</v>
      </c>
      <c r="N7" s="9" t="s">
        <v>14</v>
      </c>
      <c r="O7" s="9" t="s">
        <v>56</v>
      </c>
      <c r="P7" s="9" t="s">
        <v>15</v>
      </c>
      <c r="Q7" s="9" t="s">
        <v>57</v>
      </c>
      <c r="R7" s="9" t="s">
        <v>58</v>
      </c>
      <c r="S7" s="9" t="s">
        <v>16</v>
      </c>
      <c r="T7" s="9" t="s">
        <v>17</v>
      </c>
      <c r="U7" s="9" t="s">
        <v>43</v>
      </c>
      <c r="V7" s="9" t="s">
        <v>44</v>
      </c>
      <c r="W7" s="9" t="s">
        <v>59</v>
      </c>
      <c r="X7" s="9" t="s">
        <v>60</v>
      </c>
      <c r="Y7" s="9" t="s">
        <v>61</v>
      </c>
      <c r="Z7" s="9" t="s">
        <v>62</v>
      </c>
      <c r="AB7" s="27" t="s">
        <v>63</v>
      </c>
      <c r="AC7" s="27" t="s">
        <v>64</v>
      </c>
      <c r="AD7" s="27" t="s">
        <v>65</v>
      </c>
      <c r="AE7" s="27" t="s">
        <v>16</v>
      </c>
      <c r="AF7" s="27" t="s">
        <v>17</v>
      </c>
    </row>
    <row r="8">
      <c r="A8" s="28">
        <v>46174.0</v>
      </c>
      <c r="B8" s="10" t="str">
        <f t="shared" ref="B8:B37" si="2">MID("日月火水木金土",WEEKDAY(A8),1)</f>
        <v>月</v>
      </c>
      <c r="C8" s="29">
        <v>250000.0</v>
      </c>
      <c r="D8" s="11">
        <f t="shared" ref="D8:D37" si="3">SUM($C$8:C8)</f>
        <v>250000</v>
      </c>
      <c r="E8" s="29">
        <v>49710.0</v>
      </c>
      <c r="F8" s="29">
        <v>67150.0</v>
      </c>
      <c r="G8" s="29">
        <v>29703.0</v>
      </c>
      <c r="H8" s="11">
        <f t="shared" ref="H8:H37" si="4">IF(COUNT(E8:G8)=0,"",SUM(E8:G8))</f>
        <v>146563</v>
      </c>
      <c r="I8" s="11">
        <f t="shared" ref="I8:I37" si="5">IF(H8="","",SUM($H$8:H8))</f>
        <v>146563</v>
      </c>
      <c r="J8" s="12">
        <f t="shared" ref="J8:K8" si="1">IF(H8="","",IFERROR(H8/C8,""))</f>
        <v>0.586252</v>
      </c>
      <c r="K8" s="12">
        <f t="shared" si="1"/>
        <v>0.586252</v>
      </c>
      <c r="L8" s="11">
        <f t="shared" ref="L8:L37" si="7">IF(I8="","",IF(D8=0,"",I8-D8))</f>
        <v>-103437</v>
      </c>
      <c r="M8" s="30" t="str">
        <f t="shared" ref="M8:M37" si="8">IF(H8="","—",IF(D8=0,"予算未入力",IF(I8&gt;=D8,"◎ ペース内","▲ 遅れ")))</f>
        <v>▲ 遅れ</v>
      </c>
      <c r="N8" s="31">
        <v>8.0</v>
      </c>
      <c r="O8" s="31">
        <v>9.0</v>
      </c>
      <c r="P8" s="31">
        <v>31.0</v>
      </c>
      <c r="Q8" s="31">
        <v>8.0</v>
      </c>
      <c r="R8" s="31">
        <v>14.0</v>
      </c>
      <c r="S8" s="12">
        <f t="shared" ref="S8:S38" si="9">IFERROR(N8/P8,"")</f>
        <v>0.2580645161</v>
      </c>
      <c r="T8" s="11">
        <f t="shared" ref="T8:T38" si="10">IFERROR(H8/N8,"")</f>
        <v>18320.375</v>
      </c>
      <c r="U8" s="32">
        <f t="shared" ref="U8:U38" si="11">IFERROR(O8/N8,"")</f>
        <v>1.125</v>
      </c>
      <c r="V8" s="12">
        <f t="shared" ref="V8:V38" si="12">IFERROR(Q8/P8,"")</f>
        <v>0.2580645161</v>
      </c>
      <c r="W8" s="31"/>
      <c r="X8" s="31">
        <v>8963.0</v>
      </c>
      <c r="Y8" s="29">
        <v>0.0</v>
      </c>
      <c r="Z8" s="33"/>
      <c r="AB8" s="34" t="s">
        <v>7</v>
      </c>
      <c r="AC8" s="35">
        <f t="shared" ref="AC8:AC14" si="13">IFERROR(AVERAGEIFS($H$8:$H$37,$B$8:$B$37,AB8,$H$8:$H$37,"&gt;0"),0)</f>
        <v>77027.4</v>
      </c>
      <c r="AD8" s="36">
        <f t="shared" ref="AD8:AD14" si="14">COUNTIFS($B$8:$B$37,AB8,$H$8:$H$37,"&gt;0")</f>
        <v>5</v>
      </c>
      <c r="AE8" s="37">
        <f t="shared" ref="AE8:AE14" si="15">IFERROR(SUMIF($B$8:$B$37,AB8,$N$8:$N$37)/SUMIF($B$8:$B$37,AB8,$P$8:$P$37),0)</f>
        <v>0.1747572816</v>
      </c>
      <c r="AF8" s="35">
        <f t="shared" ref="AF8:AF14" si="16">IFERROR(SUMIF($B$8:$B$37,AB8,$H$8:$H$37)/SUMIF($B$8:$B$37,AB8,$N$8:$N$37),0)</f>
        <v>21396.5</v>
      </c>
    </row>
    <row r="9">
      <c r="A9" s="38">
        <v>46175.0</v>
      </c>
      <c r="B9" s="14" t="str">
        <f t="shared" si="2"/>
        <v>火</v>
      </c>
      <c r="C9" s="29">
        <v>250000.0</v>
      </c>
      <c r="D9" s="15">
        <f t="shared" si="3"/>
        <v>500000</v>
      </c>
      <c r="E9" s="29">
        <v>0.0</v>
      </c>
      <c r="F9" s="29">
        <v>21500.0</v>
      </c>
      <c r="G9" s="29">
        <v>41502.0</v>
      </c>
      <c r="H9" s="15">
        <f t="shared" si="4"/>
        <v>63002</v>
      </c>
      <c r="I9" s="15">
        <f t="shared" si="5"/>
        <v>209565</v>
      </c>
      <c r="J9" s="16">
        <f t="shared" ref="J9:K9" si="6">IF(H9="","",IFERROR(H9/C9,""))</f>
        <v>0.252008</v>
      </c>
      <c r="K9" s="16">
        <f t="shared" si="6"/>
        <v>0.41913</v>
      </c>
      <c r="L9" s="15">
        <f t="shared" si="7"/>
        <v>-290435</v>
      </c>
      <c r="M9" s="39" t="str">
        <f t="shared" si="8"/>
        <v>▲ 遅れ</v>
      </c>
      <c r="N9" s="31">
        <v>3.0</v>
      </c>
      <c r="O9" s="31">
        <v>3.0</v>
      </c>
      <c r="P9" s="31">
        <v>17.0</v>
      </c>
      <c r="Q9" s="31">
        <v>3.0</v>
      </c>
      <c r="R9" s="31">
        <v>4.0</v>
      </c>
      <c r="S9" s="16">
        <f t="shared" si="9"/>
        <v>0.1764705882</v>
      </c>
      <c r="T9" s="15">
        <f t="shared" si="10"/>
        <v>21000.66667</v>
      </c>
      <c r="U9" s="40">
        <f t="shared" si="11"/>
        <v>1</v>
      </c>
      <c r="V9" s="16">
        <f t="shared" si="12"/>
        <v>0.1764705882</v>
      </c>
      <c r="W9" s="31"/>
      <c r="X9" s="31">
        <v>8959.0</v>
      </c>
      <c r="Y9" s="29">
        <v>0.0</v>
      </c>
      <c r="Z9" s="33"/>
      <c r="AB9" s="34" t="s">
        <v>66</v>
      </c>
      <c r="AC9" s="35">
        <f t="shared" si="13"/>
        <v>150731.8</v>
      </c>
      <c r="AD9" s="36">
        <f t="shared" si="14"/>
        <v>5</v>
      </c>
      <c r="AE9" s="37">
        <f t="shared" si="15"/>
        <v>0.2905982906</v>
      </c>
      <c r="AF9" s="35">
        <f t="shared" si="16"/>
        <v>22166.44118</v>
      </c>
    </row>
    <row r="10">
      <c r="A10" s="28">
        <v>46176.0</v>
      </c>
      <c r="B10" s="10" t="str">
        <f t="shared" si="2"/>
        <v>水</v>
      </c>
      <c r="C10" s="29">
        <v>250000.0</v>
      </c>
      <c r="D10" s="11">
        <f t="shared" si="3"/>
        <v>750000</v>
      </c>
      <c r="E10" s="29">
        <v>45420.0</v>
      </c>
      <c r="F10" s="29">
        <v>66820.0</v>
      </c>
      <c r="G10" s="29">
        <v>56268.0</v>
      </c>
      <c r="H10" s="11">
        <f t="shared" si="4"/>
        <v>168508</v>
      </c>
      <c r="I10" s="11">
        <f t="shared" si="5"/>
        <v>378073</v>
      </c>
      <c r="J10" s="12">
        <f t="shared" ref="J10:K10" si="17">IF(H10="","",IFERROR(H10/C10,""))</f>
        <v>0.674032</v>
      </c>
      <c r="K10" s="12">
        <f t="shared" si="17"/>
        <v>0.5040973333</v>
      </c>
      <c r="L10" s="11">
        <f t="shared" si="7"/>
        <v>-371927</v>
      </c>
      <c r="M10" s="30" t="str">
        <f t="shared" si="8"/>
        <v>▲ 遅れ</v>
      </c>
      <c r="N10" s="31">
        <v>7.0</v>
      </c>
      <c r="O10" s="31">
        <v>8.0</v>
      </c>
      <c r="P10" s="31">
        <v>22.0</v>
      </c>
      <c r="Q10" s="31">
        <v>8.0</v>
      </c>
      <c r="R10" s="31">
        <v>16.0</v>
      </c>
      <c r="S10" s="12">
        <f t="shared" si="9"/>
        <v>0.3181818182</v>
      </c>
      <c r="T10" s="11">
        <f t="shared" si="10"/>
        <v>24072.57143</v>
      </c>
      <c r="U10" s="32">
        <f t="shared" si="11"/>
        <v>1.142857143</v>
      </c>
      <c r="V10" s="12">
        <f t="shared" si="12"/>
        <v>0.3636363636</v>
      </c>
      <c r="W10" s="31"/>
      <c r="X10" s="31">
        <v>8950.0</v>
      </c>
      <c r="Y10" s="29">
        <v>0.0</v>
      </c>
      <c r="Z10" s="33"/>
      <c r="AB10" s="34" t="s">
        <v>67</v>
      </c>
      <c r="AC10" s="35">
        <f t="shared" si="13"/>
        <v>140237.75</v>
      </c>
      <c r="AD10" s="36">
        <f t="shared" si="14"/>
        <v>4</v>
      </c>
      <c r="AE10" s="37">
        <f t="shared" si="15"/>
        <v>0.3076923077</v>
      </c>
      <c r="AF10" s="35">
        <f t="shared" si="16"/>
        <v>23372.95833</v>
      </c>
    </row>
    <row r="11">
      <c r="A11" s="38">
        <v>46177.0</v>
      </c>
      <c r="B11" s="14" t="str">
        <f t="shared" si="2"/>
        <v>木</v>
      </c>
      <c r="C11" s="29">
        <v>250000.0</v>
      </c>
      <c r="D11" s="15">
        <f t="shared" si="3"/>
        <v>1000000</v>
      </c>
      <c r="E11" s="29">
        <v>52130.0</v>
      </c>
      <c r="F11" s="29">
        <v>17210.0</v>
      </c>
      <c r="G11" s="29">
        <v>-6833.0</v>
      </c>
      <c r="H11" s="15">
        <f t="shared" si="4"/>
        <v>62507</v>
      </c>
      <c r="I11" s="15">
        <f t="shared" si="5"/>
        <v>440580</v>
      </c>
      <c r="J11" s="16">
        <f t="shared" ref="J11:K11" si="18">IF(H11="","",IFERROR(H11/C11,""))</f>
        <v>0.250028</v>
      </c>
      <c r="K11" s="16">
        <f t="shared" si="18"/>
        <v>0.44058</v>
      </c>
      <c r="L11" s="15">
        <f t="shared" si="7"/>
        <v>-559420</v>
      </c>
      <c r="M11" s="39" t="str">
        <f t="shared" si="8"/>
        <v>▲ 遅れ</v>
      </c>
      <c r="N11" s="31">
        <v>3.0</v>
      </c>
      <c r="O11" s="31">
        <v>3.0</v>
      </c>
      <c r="P11" s="31">
        <v>14.0</v>
      </c>
      <c r="Q11" s="31">
        <v>5.0</v>
      </c>
      <c r="R11" s="31">
        <v>6.0</v>
      </c>
      <c r="S11" s="16">
        <f t="shared" si="9"/>
        <v>0.2142857143</v>
      </c>
      <c r="T11" s="15">
        <f t="shared" si="10"/>
        <v>20835.66667</v>
      </c>
      <c r="U11" s="40">
        <f t="shared" si="11"/>
        <v>1</v>
      </c>
      <c r="V11" s="16">
        <f t="shared" si="12"/>
        <v>0.3571428571</v>
      </c>
      <c r="W11" s="31"/>
      <c r="X11" s="31">
        <v>8948.0</v>
      </c>
      <c r="Y11" s="29">
        <v>0.0</v>
      </c>
      <c r="Z11" s="33"/>
      <c r="AB11" s="34" t="s">
        <v>68</v>
      </c>
      <c r="AC11" s="35">
        <f t="shared" si="13"/>
        <v>79104.75</v>
      </c>
      <c r="AD11" s="36">
        <f t="shared" si="14"/>
        <v>4</v>
      </c>
      <c r="AE11" s="37">
        <f t="shared" si="15"/>
        <v>0.2142857143</v>
      </c>
      <c r="AF11" s="35">
        <f t="shared" si="16"/>
        <v>21094.6</v>
      </c>
    </row>
    <row r="12">
      <c r="A12" s="28">
        <v>46178.0</v>
      </c>
      <c r="B12" s="10" t="str">
        <f t="shared" si="2"/>
        <v>金</v>
      </c>
      <c r="C12" s="29">
        <v>250000.0</v>
      </c>
      <c r="D12" s="11">
        <f t="shared" si="3"/>
        <v>1250000</v>
      </c>
      <c r="E12" s="29">
        <v>41020.0</v>
      </c>
      <c r="F12" s="29">
        <v>19410.0</v>
      </c>
      <c r="G12" s="29">
        <v>17580.0</v>
      </c>
      <c r="H12" s="11">
        <f t="shared" si="4"/>
        <v>78010</v>
      </c>
      <c r="I12" s="11">
        <f t="shared" si="5"/>
        <v>518590</v>
      </c>
      <c r="J12" s="12">
        <f t="shared" ref="J12:K12" si="19">IF(H12="","",IFERROR(H12/C12,""))</f>
        <v>0.31204</v>
      </c>
      <c r="K12" s="12">
        <f t="shared" si="19"/>
        <v>0.414872</v>
      </c>
      <c r="L12" s="11">
        <f t="shared" si="7"/>
        <v>-731410</v>
      </c>
      <c r="M12" s="30" t="str">
        <f t="shared" si="8"/>
        <v>▲ 遅れ</v>
      </c>
      <c r="N12" s="31">
        <v>4.0</v>
      </c>
      <c r="O12" s="31">
        <v>4.0</v>
      </c>
      <c r="P12" s="31">
        <v>12.0</v>
      </c>
      <c r="Q12" s="31">
        <v>5.0</v>
      </c>
      <c r="R12" s="31">
        <v>9.0</v>
      </c>
      <c r="S12" s="12">
        <f t="shared" si="9"/>
        <v>0.3333333333</v>
      </c>
      <c r="T12" s="11">
        <f t="shared" si="10"/>
        <v>19502.5</v>
      </c>
      <c r="U12" s="32">
        <f t="shared" si="11"/>
        <v>1</v>
      </c>
      <c r="V12" s="12">
        <f t="shared" si="12"/>
        <v>0.4166666667</v>
      </c>
      <c r="W12" s="31"/>
      <c r="X12" s="31">
        <v>8949.0</v>
      </c>
      <c r="Y12" s="29">
        <v>0.0</v>
      </c>
      <c r="Z12" s="33"/>
      <c r="AB12" s="34" t="s">
        <v>69</v>
      </c>
      <c r="AC12" s="35">
        <f t="shared" si="13"/>
        <v>157307.25</v>
      </c>
      <c r="AD12" s="36">
        <f t="shared" si="14"/>
        <v>4</v>
      </c>
      <c r="AE12" s="37">
        <f t="shared" si="15"/>
        <v>0.3493975904</v>
      </c>
      <c r="AF12" s="35">
        <f t="shared" si="16"/>
        <v>21697.55172</v>
      </c>
    </row>
    <row r="13">
      <c r="A13" s="38">
        <v>46179.0</v>
      </c>
      <c r="B13" s="14" t="str">
        <f t="shared" si="2"/>
        <v>土</v>
      </c>
      <c r="C13" s="29">
        <v>500000.0</v>
      </c>
      <c r="D13" s="15">
        <f t="shared" si="3"/>
        <v>1750000</v>
      </c>
      <c r="E13" s="29">
        <v>74130.0</v>
      </c>
      <c r="F13" s="29">
        <v>93540.0</v>
      </c>
      <c r="G13" s="29">
        <v>29340.0</v>
      </c>
      <c r="H13" s="15">
        <f t="shared" si="4"/>
        <v>197010</v>
      </c>
      <c r="I13" s="15">
        <f t="shared" si="5"/>
        <v>715600</v>
      </c>
      <c r="J13" s="16">
        <f t="shared" ref="J13:K13" si="20">IF(H13="","",IFERROR(H13/C13,""))</f>
        <v>0.39402</v>
      </c>
      <c r="K13" s="16">
        <f t="shared" si="20"/>
        <v>0.4089142857</v>
      </c>
      <c r="L13" s="15">
        <f t="shared" si="7"/>
        <v>-1034400</v>
      </c>
      <c r="M13" s="39" t="str">
        <f t="shared" si="8"/>
        <v>▲ 遅れ</v>
      </c>
      <c r="N13" s="31">
        <v>9.0</v>
      </c>
      <c r="O13" s="31">
        <v>9.0</v>
      </c>
      <c r="P13" s="31">
        <v>40.0</v>
      </c>
      <c r="Q13" s="31">
        <v>16.0</v>
      </c>
      <c r="R13" s="31">
        <v>22.0</v>
      </c>
      <c r="S13" s="16">
        <f t="shared" si="9"/>
        <v>0.225</v>
      </c>
      <c r="T13" s="15">
        <f t="shared" si="10"/>
        <v>21890</v>
      </c>
      <c r="U13" s="40">
        <f t="shared" si="11"/>
        <v>1</v>
      </c>
      <c r="V13" s="16">
        <f t="shared" si="12"/>
        <v>0.4</v>
      </c>
      <c r="W13" s="31"/>
      <c r="X13" s="31">
        <v>8948.0</v>
      </c>
      <c r="Y13" s="29">
        <v>0.0</v>
      </c>
      <c r="Z13" s="33"/>
      <c r="AB13" s="34" t="s">
        <v>70</v>
      </c>
      <c r="AC13" s="35">
        <f t="shared" si="13"/>
        <v>315022.25</v>
      </c>
      <c r="AD13" s="36">
        <f t="shared" si="14"/>
        <v>4</v>
      </c>
      <c r="AE13" s="37">
        <f t="shared" si="15"/>
        <v>0.3177083333</v>
      </c>
      <c r="AF13" s="35">
        <f t="shared" si="16"/>
        <v>20657.19672</v>
      </c>
    </row>
    <row r="14">
      <c r="A14" s="28">
        <v>46180.0</v>
      </c>
      <c r="B14" s="10" t="str">
        <f t="shared" si="2"/>
        <v>日</v>
      </c>
      <c r="C14" s="29">
        <v>500000.0</v>
      </c>
      <c r="D14" s="11">
        <f t="shared" si="3"/>
        <v>2250000</v>
      </c>
      <c r="E14" s="29">
        <v>70230.0</v>
      </c>
      <c r="F14" s="29">
        <v>87540.0</v>
      </c>
      <c r="G14" s="29">
        <v>-15259.0</v>
      </c>
      <c r="H14" s="11">
        <f t="shared" si="4"/>
        <v>142511</v>
      </c>
      <c r="I14" s="11">
        <f t="shared" si="5"/>
        <v>858111</v>
      </c>
      <c r="J14" s="12">
        <f t="shared" ref="J14:K14" si="21">IF(H14="","",IFERROR(H14/C14,""))</f>
        <v>0.285022</v>
      </c>
      <c r="K14" s="12">
        <f t="shared" si="21"/>
        <v>0.3813826667</v>
      </c>
      <c r="L14" s="11">
        <f t="shared" si="7"/>
        <v>-1391889</v>
      </c>
      <c r="M14" s="30" t="str">
        <f t="shared" si="8"/>
        <v>▲ 遅れ</v>
      </c>
      <c r="N14" s="31">
        <v>7.0</v>
      </c>
      <c r="O14" s="31">
        <v>7.0</v>
      </c>
      <c r="P14" s="31">
        <v>40.0</v>
      </c>
      <c r="Q14" s="31">
        <v>20.0</v>
      </c>
      <c r="R14" s="31">
        <v>30.0</v>
      </c>
      <c r="S14" s="12">
        <f t="shared" si="9"/>
        <v>0.175</v>
      </c>
      <c r="T14" s="11">
        <f t="shared" si="10"/>
        <v>20358.71429</v>
      </c>
      <c r="U14" s="32">
        <f t="shared" si="11"/>
        <v>1</v>
      </c>
      <c r="V14" s="12">
        <f t="shared" si="12"/>
        <v>0.5</v>
      </c>
      <c r="W14" s="31"/>
      <c r="X14" s="31">
        <v>8939.0</v>
      </c>
      <c r="Y14" s="29">
        <v>0.0</v>
      </c>
      <c r="Z14" s="33"/>
      <c r="AB14" s="34" t="s">
        <v>71</v>
      </c>
      <c r="AC14" s="35">
        <f t="shared" si="13"/>
        <v>323730.5</v>
      </c>
      <c r="AD14" s="36">
        <f t="shared" si="14"/>
        <v>4</v>
      </c>
      <c r="AE14" s="37">
        <f t="shared" si="15"/>
        <v>0.3089005236</v>
      </c>
      <c r="AF14" s="35">
        <f t="shared" si="16"/>
        <v>21947.83051</v>
      </c>
    </row>
    <row r="15">
      <c r="A15" s="38">
        <v>46181.0</v>
      </c>
      <c r="B15" s="14" t="str">
        <f t="shared" si="2"/>
        <v>月</v>
      </c>
      <c r="C15" s="29">
        <v>250000.0</v>
      </c>
      <c r="D15" s="15">
        <f t="shared" si="3"/>
        <v>2500000</v>
      </c>
      <c r="E15" s="29">
        <v>24310.0</v>
      </c>
      <c r="F15" s="29">
        <v>24310.0</v>
      </c>
      <c r="G15" s="29">
        <v>-4620.0</v>
      </c>
      <c r="H15" s="15">
        <f t="shared" si="4"/>
        <v>44000</v>
      </c>
      <c r="I15" s="15">
        <f t="shared" si="5"/>
        <v>902111</v>
      </c>
      <c r="J15" s="16">
        <f t="shared" ref="J15:K15" si="22">IF(H15="","",IFERROR(H15/C15,""))</f>
        <v>0.176</v>
      </c>
      <c r="K15" s="16">
        <f t="shared" si="22"/>
        <v>0.3608444</v>
      </c>
      <c r="L15" s="15">
        <f t="shared" si="7"/>
        <v>-1597889</v>
      </c>
      <c r="M15" s="39" t="str">
        <f t="shared" si="8"/>
        <v>▲ 遅れ</v>
      </c>
      <c r="N15" s="31">
        <v>2.0</v>
      </c>
      <c r="O15" s="31">
        <v>2.0</v>
      </c>
      <c r="P15" s="31">
        <v>24.0</v>
      </c>
      <c r="Q15" s="31">
        <v>4.0</v>
      </c>
      <c r="R15" s="31">
        <v>5.0</v>
      </c>
      <c r="S15" s="16">
        <f t="shared" si="9"/>
        <v>0.08333333333</v>
      </c>
      <c r="T15" s="15">
        <f t="shared" si="10"/>
        <v>22000</v>
      </c>
      <c r="U15" s="40">
        <f t="shared" si="11"/>
        <v>1</v>
      </c>
      <c r="V15" s="16">
        <f t="shared" si="12"/>
        <v>0.1666666667</v>
      </c>
      <c r="W15" s="31"/>
      <c r="X15" s="31">
        <v>8933.0</v>
      </c>
      <c r="Y15" s="29">
        <v>0.0</v>
      </c>
      <c r="Z15" s="33"/>
    </row>
    <row r="16">
      <c r="A16" s="28">
        <v>46182.0</v>
      </c>
      <c r="B16" s="10" t="str">
        <f t="shared" si="2"/>
        <v>火</v>
      </c>
      <c r="C16" s="29">
        <v>250000.0</v>
      </c>
      <c r="D16" s="11">
        <f t="shared" si="3"/>
        <v>2750000</v>
      </c>
      <c r="E16" s="29">
        <v>40470.0</v>
      </c>
      <c r="F16" s="29">
        <v>126040.0</v>
      </c>
      <c r="G16" s="29">
        <v>-15998.0</v>
      </c>
      <c r="H16" s="11">
        <f t="shared" si="4"/>
        <v>150512</v>
      </c>
      <c r="I16" s="11">
        <f t="shared" si="5"/>
        <v>1052623</v>
      </c>
      <c r="J16" s="12">
        <f t="shared" ref="J16:K16" si="23">IF(H16="","",IFERROR(H16/C16,""))</f>
        <v>0.602048</v>
      </c>
      <c r="K16" s="12">
        <f t="shared" si="23"/>
        <v>0.382772</v>
      </c>
      <c r="L16" s="11">
        <f t="shared" si="7"/>
        <v>-1697377</v>
      </c>
      <c r="M16" s="30" t="str">
        <f t="shared" si="8"/>
        <v>▲ 遅れ</v>
      </c>
      <c r="N16" s="31">
        <v>6.0</v>
      </c>
      <c r="O16" s="31">
        <v>7.0</v>
      </c>
      <c r="P16" s="31">
        <v>26.0</v>
      </c>
      <c r="Q16" s="31">
        <v>7.0</v>
      </c>
      <c r="R16" s="31">
        <v>11.0</v>
      </c>
      <c r="S16" s="12">
        <f t="shared" si="9"/>
        <v>0.2307692308</v>
      </c>
      <c r="T16" s="11">
        <f t="shared" si="10"/>
        <v>25085.33333</v>
      </c>
      <c r="U16" s="32">
        <f t="shared" si="11"/>
        <v>1.166666667</v>
      </c>
      <c r="V16" s="12">
        <f t="shared" si="12"/>
        <v>0.2692307692</v>
      </c>
      <c r="W16" s="31"/>
      <c r="X16" s="31">
        <v>8935.0</v>
      </c>
      <c r="Y16" s="29">
        <v>0.0</v>
      </c>
      <c r="Z16" s="33"/>
      <c r="AB16" s="22" t="s">
        <v>72</v>
      </c>
    </row>
    <row r="17">
      <c r="A17" s="38">
        <v>46183.0</v>
      </c>
      <c r="B17" s="14" t="str">
        <f t="shared" si="2"/>
        <v>水</v>
      </c>
      <c r="C17" s="29">
        <v>250000.0</v>
      </c>
      <c r="D17" s="15">
        <f t="shared" si="3"/>
        <v>3000000</v>
      </c>
      <c r="E17" s="29">
        <v>45810.0</v>
      </c>
      <c r="F17" s="29">
        <v>68030.0</v>
      </c>
      <c r="G17" s="29">
        <v>-8736.0</v>
      </c>
      <c r="H17" s="15">
        <f t="shared" si="4"/>
        <v>105104</v>
      </c>
      <c r="I17" s="15">
        <f t="shared" si="5"/>
        <v>1157727</v>
      </c>
      <c r="J17" s="16">
        <f t="shared" ref="J17:K17" si="24">IF(H17="","",IFERROR(H17/C17,""))</f>
        <v>0.420416</v>
      </c>
      <c r="K17" s="16">
        <f t="shared" si="24"/>
        <v>0.385909</v>
      </c>
      <c r="L17" s="15">
        <f t="shared" si="7"/>
        <v>-1842273</v>
      </c>
      <c r="M17" s="39" t="str">
        <f t="shared" si="8"/>
        <v>▲ 遅れ</v>
      </c>
      <c r="N17" s="31">
        <v>4.0</v>
      </c>
      <c r="O17" s="31">
        <v>5.0</v>
      </c>
      <c r="P17" s="31">
        <v>18.0</v>
      </c>
      <c r="Q17" s="31">
        <v>4.0</v>
      </c>
      <c r="R17" s="31">
        <v>5.0</v>
      </c>
      <c r="S17" s="16">
        <f t="shared" si="9"/>
        <v>0.2222222222</v>
      </c>
      <c r="T17" s="15">
        <f t="shared" si="10"/>
        <v>26276</v>
      </c>
      <c r="U17" s="40">
        <f t="shared" si="11"/>
        <v>1.25</v>
      </c>
      <c r="V17" s="16">
        <f t="shared" si="12"/>
        <v>0.2222222222</v>
      </c>
      <c r="W17" s="31"/>
      <c r="X17" s="31">
        <v>8932.0</v>
      </c>
      <c r="Y17" s="29">
        <v>0.0</v>
      </c>
      <c r="Z17" s="33"/>
    </row>
    <row r="18">
      <c r="A18" s="28">
        <v>46184.0</v>
      </c>
      <c r="B18" s="10" t="str">
        <f t="shared" si="2"/>
        <v>木</v>
      </c>
      <c r="C18" s="29">
        <v>250000.0</v>
      </c>
      <c r="D18" s="11">
        <f t="shared" si="3"/>
        <v>3250000</v>
      </c>
      <c r="E18" s="29">
        <v>3960.0</v>
      </c>
      <c r="F18" s="29">
        <v>0.0</v>
      </c>
      <c r="G18" s="29">
        <v>-360.0</v>
      </c>
      <c r="H18" s="11">
        <f t="shared" si="4"/>
        <v>3600</v>
      </c>
      <c r="I18" s="11">
        <f t="shared" si="5"/>
        <v>1161327</v>
      </c>
      <c r="J18" s="12">
        <f t="shared" ref="J18:K18" si="25">IF(H18="","",IFERROR(H18/C18,""))</f>
        <v>0.0144</v>
      </c>
      <c r="K18" s="12">
        <f t="shared" si="25"/>
        <v>0.3573313846</v>
      </c>
      <c r="L18" s="11">
        <f t="shared" si="7"/>
        <v>-2088673</v>
      </c>
      <c r="M18" s="30" t="str">
        <f t="shared" si="8"/>
        <v>▲ 遅れ</v>
      </c>
      <c r="N18" s="31">
        <v>1.0</v>
      </c>
      <c r="O18" s="31">
        <v>1.0</v>
      </c>
      <c r="P18" s="31">
        <v>14.0</v>
      </c>
      <c r="Q18" s="31">
        <v>1.0</v>
      </c>
      <c r="R18" s="31">
        <v>1.0</v>
      </c>
      <c r="S18" s="12">
        <f t="shared" si="9"/>
        <v>0.07142857143</v>
      </c>
      <c r="T18" s="11">
        <f t="shared" si="10"/>
        <v>3600</v>
      </c>
      <c r="U18" s="32">
        <f t="shared" si="11"/>
        <v>1</v>
      </c>
      <c r="V18" s="12">
        <f t="shared" si="12"/>
        <v>0.07142857143</v>
      </c>
      <c r="W18" s="31"/>
      <c r="X18" s="31">
        <v>8928.0</v>
      </c>
      <c r="Y18" s="29">
        <v>0.0</v>
      </c>
      <c r="Z18" s="33"/>
      <c r="AB18" s="23" t="s">
        <v>73</v>
      </c>
      <c r="AI18" s="22" t="s">
        <v>93</v>
      </c>
      <c r="AJ18" s="41">
        <f>$A$8+MOD(2-WEEKDAY($A$8,2)+7,7)</f>
        <v>46175</v>
      </c>
    </row>
    <row r="19">
      <c r="A19" s="38">
        <v>46185.0</v>
      </c>
      <c r="B19" s="14" t="str">
        <f t="shared" si="2"/>
        <v>金</v>
      </c>
      <c r="C19" s="29">
        <v>250000.0</v>
      </c>
      <c r="D19" s="15">
        <f t="shared" si="3"/>
        <v>3500000</v>
      </c>
      <c r="E19" s="29">
        <v>0.0</v>
      </c>
      <c r="F19" s="29">
        <v>122430.0</v>
      </c>
      <c r="G19" s="29">
        <v>9895.0</v>
      </c>
      <c r="H19" s="15">
        <f t="shared" si="4"/>
        <v>132325</v>
      </c>
      <c r="I19" s="15">
        <f t="shared" si="5"/>
        <v>1293652</v>
      </c>
      <c r="J19" s="16">
        <f t="shared" ref="J19:K19" si="26">IF(H19="","",IFERROR(H19/C19,""))</f>
        <v>0.5293</v>
      </c>
      <c r="K19" s="16">
        <f t="shared" si="26"/>
        <v>0.3696148571</v>
      </c>
      <c r="L19" s="15">
        <f t="shared" si="7"/>
        <v>-2206348</v>
      </c>
      <c r="M19" s="39" t="str">
        <f t="shared" si="8"/>
        <v>▲ 遅れ</v>
      </c>
      <c r="N19" s="31">
        <v>4.0</v>
      </c>
      <c r="O19" s="31">
        <v>6.0</v>
      </c>
      <c r="P19" s="31">
        <v>20.0</v>
      </c>
      <c r="Q19" s="31">
        <v>7.0</v>
      </c>
      <c r="R19" s="31">
        <v>13.0</v>
      </c>
      <c r="S19" s="16">
        <f t="shared" si="9"/>
        <v>0.2</v>
      </c>
      <c r="T19" s="15">
        <f t="shared" si="10"/>
        <v>33081.25</v>
      </c>
      <c r="U19" s="40">
        <f t="shared" si="11"/>
        <v>1.5</v>
      </c>
      <c r="V19" s="16">
        <f t="shared" si="12"/>
        <v>0.35</v>
      </c>
      <c r="W19" s="31"/>
      <c r="X19" s="31">
        <v>8924.0</v>
      </c>
      <c r="Y19" s="29">
        <v>0.0</v>
      </c>
      <c r="Z19" s="33"/>
      <c r="AB19" s="27" t="s">
        <v>75</v>
      </c>
      <c r="AC19" s="27" t="s">
        <v>76</v>
      </c>
      <c r="AD19" s="27" t="s">
        <v>77</v>
      </c>
      <c r="AE19" s="27" t="s">
        <v>16</v>
      </c>
      <c r="AF19" s="27" t="s">
        <v>17</v>
      </c>
      <c r="AG19" s="27" t="s">
        <v>43</v>
      </c>
      <c r="AH19" s="27" t="s">
        <v>44</v>
      </c>
    </row>
    <row r="20">
      <c r="A20" s="28">
        <v>46186.0</v>
      </c>
      <c r="B20" s="10" t="str">
        <f t="shared" si="2"/>
        <v>土</v>
      </c>
      <c r="C20" s="29">
        <v>500000.0</v>
      </c>
      <c r="D20" s="11">
        <f t="shared" si="3"/>
        <v>4000000</v>
      </c>
      <c r="E20" s="29">
        <v>201980.0</v>
      </c>
      <c r="F20" s="29">
        <v>184160.0</v>
      </c>
      <c r="G20" s="29">
        <v>-14082.0</v>
      </c>
      <c r="H20" s="11">
        <f t="shared" si="4"/>
        <v>372058</v>
      </c>
      <c r="I20" s="11">
        <f t="shared" si="5"/>
        <v>1665710</v>
      </c>
      <c r="J20" s="12">
        <f t="shared" ref="J20:K20" si="27">IF(H20="","",IFERROR(H20/C20,""))</f>
        <v>0.744116</v>
      </c>
      <c r="K20" s="12">
        <f t="shared" si="27"/>
        <v>0.4164275</v>
      </c>
      <c r="L20" s="11">
        <f t="shared" si="7"/>
        <v>-2334290</v>
      </c>
      <c r="M20" s="30" t="str">
        <f t="shared" si="8"/>
        <v>▲ 遅れ</v>
      </c>
      <c r="N20" s="31">
        <v>19.0</v>
      </c>
      <c r="O20" s="31">
        <v>19.0</v>
      </c>
      <c r="P20" s="31">
        <v>60.0</v>
      </c>
      <c r="Q20" s="31">
        <v>25.0</v>
      </c>
      <c r="R20" s="31">
        <v>40.0</v>
      </c>
      <c r="S20" s="12">
        <f t="shared" si="9"/>
        <v>0.3166666667</v>
      </c>
      <c r="T20" s="11">
        <f t="shared" si="10"/>
        <v>19582</v>
      </c>
      <c r="U20" s="32">
        <f t="shared" si="11"/>
        <v>1</v>
      </c>
      <c r="V20" s="12">
        <f t="shared" si="12"/>
        <v>0.4166666667</v>
      </c>
      <c r="W20" s="31"/>
      <c r="X20" s="31">
        <v>8923.0</v>
      </c>
      <c r="Y20" s="29">
        <v>0.0</v>
      </c>
      <c r="Z20" s="33"/>
      <c r="AB20" s="36">
        <v>1.0</v>
      </c>
      <c r="AC20" s="42" t="str">
        <f>IF($AJ$18+7*(1-1)&gt;$A$37,"",TEXT($AJ$18+7*(1-1),"m/d")&amp;"-"&amp;TEXT($AJ$18+7*(1-1)+6,"m/d"))</f>
        <v>6/2-6/8</v>
      </c>
      <c r="AD20" s="35">
        <f>IF($AC20="","",(SUMIFS($H$8:$H$37,$A$8:$A$37,"&gt;="&amp;$AJ$18+7*(1-1),$A$8:$A$37,"&lt;="&amp;$AJ$18+7*(1-1)+6)+SUMIFS('2026年07月'!$I$8:$I$38,'2026年07月'!$A$8:$A$38,"&gt;="&amp;$AJ$18+7*(1-1),'2026年07月'!$A$8:$A$38,"&lt;="&amp;$AJ$18+7*(1-1)+6)))</f>
        <v>755548</v>
      </c>
      <c r="AE20" s="37">
        <f>IF($AC20="","",IFERROR((SUMIFS($N$8:$N$37,$A$8:$A$37,"&gt;="&amp;$AJ$18+7*(1-1),$A$8:$A$37,"&lt;="&amp;$AJ$18+7*(1-1)+6)+SUMIFS('2026年07月'!$O$8:$O$38,'2026年07月'!$A$8:$A$38,"&gt;="&amp;$AJ$18+7*(1-1),'2026年07月'!$A$8:$A$38,"&lt;="&amp;$AJ$18+7*(1-1)+6))/(SUMIFS($P$8:$P$37,$A$8:$A$37,"&gt;="&amp;$AJ$18+7*(1-1),$A$8:$A$37,"&lt;="&amp;$AJ$18+7*(1-1)+6)+SUMIFS('2026年07月'!$Q$8:$Q$38,'2026年07月'!$A$8:$A$38,"&gt;="&amp;$AJ$18+7*(1-1),'2026年07月'!$A$8:$A$38,"&lt;="&amp;$AJ$18+7*(1-1)+6)),""))</f>
        <v>0.2071005917</v>
      </c>
      <c r="AF20" s="35">
        <f>IF($AC20="","",IFERROR((SUMIFS($H$8:$H$37,$A$8:$A$37,"&gt;="&amp;$AJ$18+7*(1-1),$A$8:$A$37,"&lt;="&amp;$AJ$18+7*(1-1)+6)+SUMIFS('2026年07月'!$I$8:$I$38,'2026年07月'!$A$8:$A$38,"&gt;="&amp;$AJ$18+7*(1-1),'2026年07月'!$A$8:$A$38,"&lt;="&amp;$AJ$18+7*(1-1)+6))/(SUMIFS($N$8:$N$37,$A$8:$A$37,"&gt;="&amp;$AJ$18+7*(1-1),$A$8:$A$37,"&lt;="&amp;$AJ$18+7*(1-1)+6)+SUMIFS('2026年07月'!$O$8:$O$38,'2026年07月'!$A$8:$A$38,"&gt;="&amp;$AJ$18+7*(1-1),'2026年07月'!$A$8:$A$38,"&lt;="&amp;$AJ$18+7*(1-1)+6)),""))</f>
        <v>21587.08571</v>
      </c>
      <c r="AG20" s="43">
        <f>IF($AC20="","",IFERROR((SUMIFS($O$8:$O$37,$A$8:$A$37,"&gt;="&amp;$AJ$18+7*(1-1),$A$8:$A$37,"&lt;="&amp;$AJ$18+7*(1-1)+6)+SUMIFS('2026年07月'!$P$8:$P$38,'2026年07月'!$A$8:$A$38,"&gt;="&amp;$AJ$18+7*(1-1),'2026年07月'!$A$8:$A$38,"&lt;="&amp;$AJ$18+7*(1-1)+6))/(SUMIFS($N$8:$N$37,$A$8:$A$37,"&gt;="&amp;$AJ$18+7*(1-1),$A$8:$A$37,"&lt;="&amp;$AJ$18+7*(1-1)+6)+SUMIFS('2026年07月'!$O$8:$O$38,'2026年07月'!$A$8:$A$38,"&gt;="&amp;$AJ$18+7*(1-1),'2026年07月'!$A$8:$A$38,"&lt;="&amp;$AJ$18+7*(1-1)+6)),""))</f>
        <v>1.028571429</v>
      </c>
      <c r="AH20" s="37">
        <f>IF($AC20="","",IFERROR((SUMIFS($Q$8:$Q$37,$A$8:$A$37,"&gt;="&amp;$AJ$18+7*(1-1),$A$8:$A$37,"&lt;="&amp;$AJ$18+7*(1-1)+6)+SUMIFS('2026年07月'!$R$8:$R$38,'2026年07月'!$A$8:$A$38,"&gt;="&amp;$AJ$18+7*(1-1),'2026年07月'!$A$8:$A$38,"&lt;="&amp;$AJ$18+7*(1-1)+6))/(SUMIFS($P$8:$P$37,$A$8:$A$37,"&gt;="&amp;$AJ$18+7*(1-1),$A$8:$A$37,"&lt;="&amp;$AJ$18+7*(1-1)+6)+SUMIFS('2026年07月'!$Q$8:$Q$38,'2026年07月'!$A$8:$A$38,"&gt;="&amp;$AJ$18+7*(1-1),'2026年07月'!$A$8:$A$38,"&lt;="&amp;$AJ$18+7*(1-1)+6)),""))</f>
        <v>0.3609467456</v>
      </c>
    </row>
    <row r="21" ht="15.75" customHeight="1">
      <c r="A21" s="38">
        <v>46187.0</v>
      </c>
      <c r="B21" s="14" t="str">
        <f t="shared" si="2"/>
        <v>日</v>
      </c>
      <c r="C21" s="29">
        <v>500000.0</v>
      </c>
      <c r="D21" s="15">
        <f t="shared" si="3"/>
        <v>4500000</v>
      </c>
      <c r="E21" s="29">
        <v>178180.0</v>
      </c>
      <c r="F21" s="29">
        <v>121310.0</v>
      </c>
      <c r="G21" s="29">
        <v>10729.0</v>
      </c>
      <c r="H21" s="15">
        <f t="shared" si="4"/>
        <v>310219</v>
      </c>
      <c r="I21" s="15">
        <f t="shared" si="5"/>
        <v>1975929</v>
      </c>
      <c r="J21" s="16">
        <f t="shared" ref="J21:K21" si="28">IF(H21="","",IFERROR(H21/C21,""))</f>
        <v>0.620438</v>
      </c>
      <c r="K21" s="16">
        <f t="shared" si="28"/>
        <v>0.4390953333</v>
      </c>
      <c r="L21" s="15">
        <f t="shared" si="7"/>
        <v>-2524071</v>
      </c>
      <c r="M21" s="39" t="str">
        <f t="shared" si="8"/>
        <v>▲ 遅れ</v>
      </c>
      <c r="N21" s="31">
        <v>15.0</v>
      </c>
      <c r="O21" s="31">
        <v>17.0</v>
      </c>
      <c r="P21" s="31">
        <v>64.0</v>
      </c>
      <c r="Q21" s="31">
        <v>25.0</v>
      </c>
      <c r="R21" s="31">
        <v>38.0</v>
      </c>
      <c r="S21" s="16">
        <f t="shared" si="9"/>
        <v>0.234375</v>
      </c>
      <c r="T21" s="15">
        <f t="shared" si="10"/>
        <v>20681.26667</v>
      </c>
      <c r="U21" s="40">
        <f t="shared" si="11"/>
        <v>1.133333333</v>
      </c>
      <c r="V21" s="16">
        <f t="shared" si="12"/>
        <v>0.390625</v>
      </c>
      <c r="W21" s="31"/>
      <c r="X21" s="31">
        <v>8921.0</v>
      </c>
      <c r="Y21" s="29">
        <v>0.0</v>
      </c>
      <c r="Z21" s="33"/>
      <c r="AB21" s="36">
        <v>2.0</v>
      </c>
      <c r="AC21" s="42" t="str">
        <f>IF($AJ$18+7*(2-1)&gt;$A$37,"",TEXT($AJ$18+7*(2-1),"m/d")&amp;"-"&amp;TEXT($AJ$18+7*(2-1)+6,"m/d"))</f>
        <v>6/9-6/15</v>
      </c>
      <c r="AD21" s="35">
        <f>IF($AC21="","",(SUMIFS($H$8:$H$37,$A$8:$A$37,"&gt;="&amp;$AJ$18+7*(2-1),$A$8:$A$37,"&lt;="&amp;$AJ$18+7*(2-1)+6)+SUMIFS('2026年07月'!$I$8:$I$38,'2026年07月'!$A$8:$A$38,"&gt;="&amp;$AJ$18+7*(2-1),'2026年07月'!$A$8:$A$38,"&lt;="&amp;$AJ$18+7*(2-1)+6)))</f>
        <v>1134528</v>
      </c>
      <c r="AE21" s="37">
        <f>IF($AC21="","",IFERROR((SUMIFS($N$8:$N$37,$A$8:$A$37,"&gt;="&amp;$AJ$18+7*(2-1),$A$8:$A$37,"&lt;="&amp;$AJ$18+7*(2-1)+6)+SUMIFS('2026年07月'!$O$8:$O$38,'2026年07月'!$A$8:$A$38,"&gt;="&amp;$AJ$18+7*(2-1),'2026年07月'!$A$8:$A$38,"&lt;="&amp;$AJ$18+7*(2-1)+6))/(SUMIFS($P$8:$P$37,$A$8:$A$37,"&gt;="&amp;$AJ$18+7*(2-1),$A$8:$A$37,"&lt;="&amp;$AJ$18+7*(2-1)+6)+SUMIFS('2026年07月'!$Q$8:$Q$38,'2026年07月'!$A$8:$A$38,"&gt;="&amp;$AJ$18+7*(2-1),'2026年07月'!$A$8:$A$38,"&lt;="&amp;$AJ$18+7*(2-1)+6)),""))</f>
        <v>0.2407407407</v>
      </c>
      <c r="AF21" s="35">
        <f>IF($AC21="","",IFERROR((SUMIFS($H$8:$H$37,$A$8:$A$37,"&gt;="&amp;$AJ$18+7*(2-1),$A$8:$A$37,"&lt;="&amp;$AJ$18+7*(2-1)+6)+SUMIFS('2026年07月'!$I$8:$I$38,'2026年07月'!$A$8:$A$38,"&gt;="&amp;$AJ$18+7*(2-1),'2026年07月'!$A$8:$A$38,"&lt;="&amp;$AJ$18+7*(2-1)+6))/(SUMIFS($N$8:$N$37,$A$8:$A$37,"&gt;="&amp;$AJ$18+7*(2-1),$A$8:$A$37,"&lt;="&amp;$AJ$18+7*(2-1)+6)+SUMIFS('2026年07月'!$O$8:$O$38,'2026年07月'!$A$8:$A$38,"&gt;="&amp;$AJ$18+7*(2-1),'2026年07月'!$A$8:$A$38,"&lt;="&amp;$AJ$18+7*(2-1)+6)),""))</f>
        <v>21817.84615</v>
      </c>
      <c r="AG21" s="43">
        <f>IF($AC21="","",IFERROR((SUMIFS($O$8:$O$37,$A$8:$A$37,"&gt;="&amp;$AJ$18+7*(2-1),$A$8:$A$37,"&lt;="&amp;$AJ$18+7*(2-1)+6)+SUMIFS('2026年07月'!$P$8:$P$38,'2026年07月'!$A$8:$A$38,"&gt;="&amp;$AJ$18+7*(2-1),'2026年07月'!$A$8:$A$38,"&lt;="&amp;$AJ$18+7*(2-1)+6))/(SUMIFS($N$8:$N$37,$A$8:$A$37,"&gt;="&amp;$AJ$18+7*(2-1),$A$8:$A$37,"&lt;="&amp;$AJ$18+7*(2-1)+6)+SUMIFS('2026年07月'!$O$8:$O$38,'2026年07月'!$A$8:$A$38,"&gt;="&amp;$AJ$18+7*(2-1),'2026年07月'!$A$8:$A$38,"&lt;="&amp;$AJ$18+7*(2-1)+6)),""))</f>
        <v>1.115384615</v>
      </c>
      <c r="AH21" s="37">
        <f>IF($AC21="","",IFERROR((SUMIFS($Q$8:$Q$37,$A$8:$A$37,"&gt;="&amp;$AJ$18+7*(2-1),$A$8:$A$37,"&lt;="&amp;$AJ$18+7*(2-1)+6)+SUMIFS('2026年07月'!$R$8:$R$38,'2026年07月'!$A$8:$A$38,"&gt;="&amp;$AJ$18+7*(2-1),'2026年07月'!$A$8:$A$38,"&lt;="&amp;$AJ$18+7*(2-1)+6))/(SUMIFS($P$8:$P$37,$A$8:$A$37,"&gt;="&amp;$AJ$18+7*(2-1),$A$8:$A$37,"&lt;="&amp;$AJ$18+7*(2-1)+6)+SUMIFS('2026年07月'!$Q$8:$Q$38,'2026年07月'!$A$8:$A$38,"&gt;="&amp;$AJ$18+7*(2-1),'2026年07月'!$A$8:$A$38,"&lt;="&amp;$AJ$18+7*(2-1)+6)),""))</f>
        <v>0.3472222222</v>
      </c>
    </row>
    <row r="22" ht="15.75" customHeight="1">
      <c r="A22" s="28">
        <v>46188.0</v>
      </c>
      <c r="B22" s="10" t="str">
        <f t="shared" si="2"/>
        <v>月</v>
      </c>
      <c r="C22" s="29">
        <v>250000.0</v>
      </c>
      <c r="D22" s="11">
        <f t="shared" si="3"/>
        <v>4750000</v>
      </c>
      <c r="E22" s="29">
        <v>60710.0</v>
      </c>
      <c r="F22" s="29">
        <v>0.0</v>
      </c>
      <c r="G22" s="29"/>
      <c r="H22" s="11">
        <f t="shared" si="4"/>
        <v>60710</v>
      </c>
      <c r="I22" s="11">
        <f t="shared" si="5"/>
        <v>2036639</v>
      </c>
      <c r="J22" s="12">
        <f t="shared" ref="J22:K22" si="29">IF(H22="","",IFERROR(H22/C22,""))</f>
        <v>0.24284</v>
      </c>
      <c r="K22" s="12">
        <f t="shared" si="29"/>
        <v>0.4287661053</v>
      </c>
      <c r="L22" s="11">
        <f t="shared" si="7"/>
        <v>-2713361</v>
      </c>
      <c r="M22" s="30" t="str">
        <f t="shared" si="8"/>
        <v>▲ 遅れ</v>
      </c>
      <c r="N22" s="31">
        <v>3.0</v>
      </c>
      <c r="O22" s="31">
        <v>3.0</v>
      </c>
      <c r="P22" s="31">
        <v>14.0</v>
      </c>
      <c r="Q22" s="31">
        <v>6.0</v>
      </c>
      <c r="R22" s="31">
        <v>10.0</v>
      </c>
      <c r="S22" s="12">
        <f t="shared" si="9"/>
        <v>0.2142857143</v>
      </c>
      <c r="T22" s="11">
        <f t="shared" si="10"/>
        <v>20236.66667</v>
      </c>
      <c r="U22" s="32">
        <f t="shared" si="11"/>
        <v>1</v>
      </c>
      <c r="V22" s="12">
        <f t="shared" si="12"/>
        <v>0.4285714286</v>
      </c>
      <c r="W22" s="31"/>
      <c r="X22" s="31">
        <v>8918.0</v>
      </c>
      <c r="Y22" s="29">
        <v>0.0</v>
      </c>
      <c r="Z22" s="33"/>
      <c r="AB22" s="36">
        <v>3.0</v>
      </c>
      <c r="AC22" s="42" t="str">
        <f>IF($AJ$18+7*(3-1)&gt;$A$37,"",TEXT($AJ$18+7*(3-1),"m/d")&amp;"-"&amp;TEXT($AJ$18+7*(3-1)+6,"m/d"))</f>
        <v>6/16-6/22</v>
      </c>
      <c r="AD22" s="35">
        <f>IF($AC22="","",(SUMIFS($H$8:$H$37,$A$8:$A$37,"&gt;="&amp;$AJ$18+7*(3-1),$A$8:$A$37,"&lt;="&amp;$AJ$18+7*(3-1)+6)+SUMIFS('2026年07月'!$I$8:$I$38,'2026年07月'!$A$8:$A$38,"&gt;="&amp;$AJ$18+7*(3-1),'2026年07月'!$A$8:$A$38,"&lt;="&amp;$AJ$18+7*(3-1)+6)))</f>
        <v>1342299</v>
      </c>
      <c r="AE22" s="37">
        <f>IF($AC22="","",IFERROR((SUMIFS($N$8:$N$37,$A$8:$A$37,"&gt;="&amp;$AJ$18+7*(3-1),$A$8:$A$37,"&lt;="&amp;$AJ$18+7*(3-1)+6)+SUMIFS('2026年07月'!$O$8:$O$38,'2026年07月'!$A$8:$A$38,"&gt;="&amp;$AJ$18+7*(3-1),'2026年07月'!$A$8:$A$38,"&lt;="&amp;$AJ$18+7*(3-1)+6))/(SUMIFS($P$8:$P$37,$A$8:$A$37,"&gt;="&amp;$AJ$18+7*(3-1),$A$8:$A$37,"&lt;="&amp;$AJ$18+7*(3-1)+6)+SUMIFS('2026年07月'!$Q$8:$Q$38,'2026年07月'!$A$8:$A$38,"&gt;="&amp;$AJ$18+7*(3-1),'2026年07月'!$A$8:$A$38,"&lt;="&amp;$AJ$18+7*(3-1)+6)),""))</f>
        <v>0.3084577114</v>
      </c>
      <c r="AF22" s="35">
        <f>IF($AC22="","",IFERROR((SUMIFS($H$8:$H$37,$A$8:$A$37,"&gt;="&amp;$AJ$18+7*(3-1),$A$8:$A$37,"&lt;="&amp;$AJ$18+7*(3-1)+6)+SUMIFS('2026年07月'!$I$8:$I$38,'2026年07月'!$A$8:$A$38,"&gt;="&amp;$AJ$18+7*(3-1),'2026年07月'!$A$8:$A$38,"&lt;="&amp;$AJ$18+7*(3-1)+6))/(SUMIFS($N$8:$N$37,$A$8:$A$37,"&gt;="&amp;$AJ$18+7*(3-1),$A$8:$A$37,"&lt;="&amp;$AJ$18+7*(3-1)+6)+SUMIFS('2026年07月'!$O$8:$O$38,'2026年07月'!$A$8:$A$38,"&gt;="&amp;$AJ$18+7*(3-1),'2026年07月'!$A$8:$A$38,"&lt;="&amp;$AJ$18+7*(3-1)+6)),""))</f>
        <v>21649.98387</v>
      </c>
      <c r="AG22" s="43">
        <f>IF($AC22="","",IFERROR((SUMIFS($O$8:$O$37,$A$8:$A$37,"&gt;="&amp;$AJ$18+7*(3-1),$A$8:$A$37,"&lt;="&amp;$AJ$18+7*(3-1)+6)+SUMIFS('2026年07月'!$P$8:$P$38,'2026年07月'!$A$8:$A$38,"&gt;="&amp;$AJ$18+7*(3-1),'2026年07月'!$A$8:$A$38,"&lt;="&amp;$AJ$18+7*(3-1)+6))/(SUMIFS($N$8:$N$37,$A$8:$A$37,"&gt;="&amp;$AJ$18+7*(3-1),$A$8:$A$37,"&lt;="&amp;$AJ$18+7*(3-1)+6)+SUMIFS('2026年07月'!$O$8:$O$38,'2026年07月'!$A$8:$A$38,"&gt;="&amp;$AJ$18+7*(3-1),'2026年07月'!$A$8:$A$38,"&lt;="&amp;$AJ$18+7*(3-1)+6)),""))</f>
        <v>1.193548387</v>
      </c>
      <c r="AH22" s="37">
        <f>IF($AC22="","",IFERROR((SUMIFS($Q$8:$Q$37,$A$8:$A$37,"&gt;="&amp;$AJ$18+7*(3-1),$A$8:$A$37,"&lt;="&amp;$AJ$18+7*(3-1)+6)+SUMIFS('2026年07月'!$R$8:$R$38,'2026年07月'!$A$8:$A$38,"&gt;="&amp;$AJ$18+7*(3-1),'2026年07月'!$A$8:$A$38,"&lt;="&amp;$AJ$18+7*(3-1)+6))/(SUMIFS($P$8:$P$37,$A$8:$A$37,"&gt;="&amp;$AJ$18+7*(3-1),$A$8:$A$37,"&lt;="&amp;$AJ$18+7*(3-1)+6)+SUMIFS('2026年07月'!$Q$8:$Q$38,'2026年07月'!$A$8:$A$38,"&gt;="&amp;$AJ$18+7*(3-1),'2026年07月'!$A$8:$A$38,"&lt;="&amp;$AJ$18+7*(3-1)+6)),""))</f>
        <v>0.3631840796</v>
      </c>
    </row>
    <row r="23" ht="15.75" customHeight="1">
      <c r="A23" s="38">
        <v>46189.0</v>
      </c>
      <c r="B23" s="14" t="str">
        <f t="shared" si="2"/>
        <v>火</v>
      </c>
      <c r="C23" s="29">
        <v>250000.0</v>
      </c>
      <c r="D23" s="15">
        <f t="shared" si="3"/>
        <v>5000000</v>
      </c>
      <c r="E23" s="29">
        <v>96350.0</v>
      </c>
      <c r="F23" s="29">
        <v>23810.0</v>
      </c>
      <c r="G23" s="29">
        <v>10446.0</v>
      </c>
      <c r="H23" s="15">
        <f t="shared" si="4"/>
        <v>130606</v>
      </c>
      <c r="I23" s="15">
        <f t="shared" si="5"/>
        <v>2167245</v>
      </c>
      <c r="J23" s="16">
        <f t="shared" ref="J23:K23" si="30">IF(H23="","",IFERROR(H23/C23,""))</f>
        <v>0.522424</v>
      </c>
      <c r="K23" s="16">
        <f t="shared" si="30"/>
        <v>0.433449</v>
      </c>
      <c r="L23" s="15">
        <f t="shared" si="7"/>
        <v>-2832755</v>
      </c>
      <c r="M23" s="39" t="str">
        <f t="shared" si="8"/>
        <v>▲ 遅れ</v>
      </c>
      <c r="N23" s="31">
        <v>6.0</v>
      </c>
      <c r="O23" s="31">
        <v>7.0</v>
      </c>
      <c r="P23" s="31">
        <v>25.0</v>
      </c>
      <c r="Q23" s="31">
        <v>6.0</v>
      </c>
      <c r="R23" s="31">
        <v>10.0</v>
      </c>
      <c r="S23" s="16">
        <f t="shared" si="9"/>
        <v>0.24</v>
      </c>
      <c r="T23" s="15">
        <f t="shared" si="10"/>
        <v>21767.66667</v>
      </c>
      <c r="U23" s="40">
        <f t="shared" si="11"/>
        <v>1.166666667</v>
      </c>
      <c r="V23" s="16">
        <f t="shared" si="12"/>
        <v>0.24</v>
      </c>
      <c r="W23" s="31"/>
      <c r="X23" s="31">
        <v>8915.0</v>
      </c>
      <c r="Y23" s="29">
        <v>813.0</v>
      </c>
      <c r="Z23" s="33"/>
      <c r="AB23" s="36">
        <v>4.0</v>
      </c>
      <c r="AC23" s="42" t="str">
        <f>IF($AJ$18+7*(4-1)&gt;$A$37,"",TEXT($AJ$18+7*(4-1),"m/d")&amp;"-"&amp;TEXT($AJ$18+7*(4-1)+6,"m/d"))</f>
        <v>6/23-6/29</v>
      </c>
      <c r="AD23" s="35">
        <f>IF($AC23="","",(SUMIFS($H$8:$H$37,$A$8:$A$37,"&gt;="&amp;$AJ$18+7*(4-1),$A$8:$A$37,"&lt;="&amp;$AJ$18+7*(4-1)+6)+SUMIFS('2026年07月'!$I$8:$I$38,'2026年07月'!$A$8:$A$38,"&gt;="&amp;$AJ$18+7*(4-1),'2026年07月'!$A$8:$A$38,"&lt;="&amp;$AJ$18+7*(4-1)+6)))</f>
        <v>1699461</v>
      </c>
      <c r="AE23" s="37">
        <f>IF($AC23="","",IFERROR((SUMIFS($N$8:$N$37,$A$8:$A$37,"&gt;="&amp;$AJ$18+7*(4-1),$A$8:$A$37,"&lt;="&amp;$AJ$18+7*(4-1)+6)+SUMIFS('2026年07月'!$O$8:$O$38,'2026年07月'!$A$8:$A$38,"&gt;="&amp;$AJ$18+7*(4-1),'2026年07月'!$A$8:$A$38,"&lt;="&amp;$AJ$18+7*(4-1)+6))/(SUMIFS($P$8:$P$37,$A$8:$A$37,"&gt;="&amp;$AJ$18+7*(4-1),$A$8:$A$37,"&lt;="&amp;$AJ$18+7*(4-1)+6)+SUMIFS('2026年07月'!$Q$8:$Q$38,'2026年07月'!$A$8:$A$38,"&gt;="&amp;$AJ$18+7*(4-1),'2026年07月'!$A$8:$A$38,"&lt;="&amp;$AJ$18+7*(4-1)+6)),""))</f>
        <v>0.3888888889</v>
      </c>
      <c r="AF23" s="35">
        <f>IF($AC23="","",IFERROR((SUMIFS($H$8:$H$37,$A$8:$A$37,"&gt;="&amp;$AJ$18+7*(4-1),$A$8:$A$37,"&lt;="&amp;$AJ$18+7*(4-1)+6)+SUMIFS('2026年07月'!$I$8:$I$38,'2026年07月'!$A$8:$A$38,"&gt;="&amp;$AJ$18+7*(4-1),'2026年07月'!$A$8:$A$38,"&lt;="&amp;$AJ$18+7*(4-1)+6))/(SUMIFS($N$8:$N$37,$A$8:$A$37,"&gt;="&amp;$AJ$18+7*(4-1),$A$8:$A$37,"&lt;="&amp;$AJ$18+7*(4-1)+6)+SUMIFS('2026年07月'!$O$8:$O$38,'2026年07月'!$A$8:$A$38,"&gt;="&amp;$AJ$18+7*(4-1),'2026年07月'!$A$8:$A$38,"&lt;="&amp;$AJ$18+7*(4-1)+6)),""))</f>
        <v>22070.92208</v>
      </c>
      <c r="AG23" s="43">
        <f>IF($AC23="","",IFERROR((SUMIFS($O$8:$O$37,$A$8:$A$37,"&gt;="&amp;$AJ$18+7*(4-1),$A$8:$A$37,"&lt;="&amp;$AJ$18+7*(4-1)+6)+SUMIFS('2026年07月'!$P$8:$P$38,'2026年07月'!$A$8:$A$38,"&gt;="&amp;$AJ$18+7*(4-1),'2026年07月'!$A$8:$A$38,"&lt;="&amp;$AJ$18+7*(4-1)+6))/(SUMIFS($N$8:$N$37,$A$8:$A$37,"&gt;="&amp;$AJ$18+7*(4-1),$A$8:$A$37,"&lt;="&amp;$AJ$18+7*(4-1)+6)+SUMIFS('2026年07月'!$O$8:$O$38,'2026年07月'!$A$8:$A$38,"&gt;="&amp;$AJ$18+7*(4-1),'2026年07月'!$A$8:$A$38,"&lt;="&amp;$AJ$18+7*(4-1)+6)),""))</f>
        <v>1.142857143</v>
      </c>
      <c r="AH23" s="37">
        <f>IF($AC23="","",IFERROR((SUMIFS($Q$8:$Q$37,$A$8:$A$37,"&gt;="&amp;$AJ$18+7*(4-1),$A$8:$A$37,"&lt;="&amp;$AJ$18+7*(4-1)+6)+SUMIFS('2026年07月'!$R$8:$R$38,'2026年07月'!$A$8:$A$38,"&gt;="&amp;$AJ$18+7*(4-1),'2026年07月'!$A$8:$A$38,"&lt;="&amp;$AJ$18+7*(4-1)+6))/(SUMIFS($P$8:$P$37,$A$8:$A$37,"&gt;="&amp;$AJ$18+7*(4-1),$A$8:$A$37,"&lt;="&amp;$AJ$18+7*(4-1)+6)+SUMIFS('2026年07月'!$Q$8:$Q$38,'2026年07月'!$A$8:$A$38,"&gt;="&amp;$AJ$18+7*(4-1),'2026年07月'!$A$8:$A$38,"&lt;="&amp;$AJ$18+7*(4-1)+6)),""))</f>
        <v>0.4595959596</v>
      </c>
    </row>
    <row r="24" ht="15.75" customHeight="1">
      <c r="A24" s="28">
        <v>46190.0</v>
      </c>
      <c r="B24" s="10" t="str">
        <f t="shared" si="2"/>
        <v>水</v>
      </c>
      <c r="C24" s="29">
        <v>250000.0</v>
      </c>
      <c r="D24" s="11">
        <f t="shared" si="3"/>
        <v>5250000</v>
      </c>
      <c r="E24" s="29">
        <v>85248.0</v>
      </c>
      <c r="F24" s="29">
        <v>63722.0</v>
      </c>
      <c r="G24" s="29">
        <v>9840.0</v>
      </c>
      <c r="H24" s="11">
        <f t="shared" si="4"/>
        <v>158810</v>
      </c>
      <c r="I24" s="11">
        <f t="shared" si="5"/>
        <v>2326055</v>
      </c>
      <c r="J24" s="12">
        <f t="shared" ref="J24:K24" si="31">IF(H24="","",IFERROR(H24/C24,""))</f>
        <v>0.63524</v>
      </c>
      <c r="K24" s="12">
        <f t="shared" si="31"/>
        <v>0.4430580952</v>
      </c>
      <c r="L24" s="11">
        <f t="shared" si="7"/>
        <v>-2923945</v>
      </c>
      <c r="M24" s="30" t="str">
        <f t="shared" si="8"/>
        <v>▲ 遅れ</v>
      </c>
      <c r="N24" s="31">
        <v>7.0</v>
      </c>
      <c r="O24" s="31">
        <v>8.0</v>
      </c>
      <c r="P24" s="31">
        <v>21.0</v>
      </c>
      <c r="Q24" s="31">
        <v>10.0</v>
      </c>
      <c r="R24" s="31">
        <v>19.0</v>
      </c>
      <c r="S24" s="12">
        <f t="shared" si="9"/>
        <v>0.3333333333</v>
      </c>
      <c r="T24" s="11">
        <f t="shared" si="10"/>
        <v>22687.14286</v>
      </c>
      <c r="U24" s="32">
        <f t="shared" si="11"/>
        <v>1.142857143</v>
      </c>
      <c r="V24" s="12">
        <f t="shared" si="12"/>
        <v>0.4761904762</v>
      </c>
      <c r="W24" s="31"/>
      <c r="X24" s="31">
        <v>8913.0</v>
      </c>
      <c r="Y24" s="29">
        <v>0.0</v>
      </c>
      <c r="Z24" s="33"/>
      <c r="AB24" s="36">
        <v>5.0</v>
      </c>
      <c r="AC24" s="42" t="str">
        <f>IF($AJ$18+7*(5-1)&gt;$A$37,"",TEXT($AJ$18+7*(5-1),"m/d")&amp;"-"&amp;TEXT($AJ$18+7*(5-1)+6,"m/d"))</f>
        <v>6/30-7/6</v>
      </c>
      <c r="AD24" s="35">
        <f>IF($AC24="","",(SUMIFS($H$8:$H$37,$A$8:$A$37,"&gt;="&amp;$AJ$18+7*(5-1),$A$8:$A$37,"&lt;="&amp;$AJ$18+7*(5-1)+6)+SUMIFS('2026年07月'!$I$8:$I$38,'2026年07月'!$A$8:$A$38,"&gt;="&amp;$AJ$18+7*(5-1),'2026年07月'!$A$8:$A$38,"&lt;="&amp;$AJ$18+7*(5-1)+6)))</f>
        <v>1277407</v>
      </c>
      <c r="AE24" s="37">
        <f>IF($AC24="","",IFERROR((SUMIFS($N$8:$N$37,$A$8:$A$37,"&gt;="&amp;$AJ$18+7*(5-1),$A$8:$A$37,"&lt;="&amp;$AJ$18+7*(5-1)+6)+SUMIFS('2026年07月'!$O$8:$O$38,'2026年07月'!$A$8:$A$38,"&gt;="&amp;$AJ$18+7*(5-1),'2026年07月'!$A$8:$A$38,"&lt;="&amp;$AJ$18+7*(5-1)+6))/(SUMIFS($P$8:$P$37,$A$8:$A$37,"&gt;="&amp;$AJ$18+7*(5-1),$A$8:$A$37,"&lt;="&amp;$AJ$18+7*(5-1)+6)+SUMIFS('2026年07月'!$Q$8:$Q$38,'2026年07月'!$A$8:$A$38,"&gt;="&amp;$AJ$18+7*(5-1),'2026年07月'!$A$8:$A$38,"&lt;="&amp;$AJ$18+7*(5-1)+6)),""))</f>
        <v>0.2941176471</v>
      </c>
      <c r="AF24" s="35">
        <f>IF($AC24="","",IFERROR((SUMIFS($H$8:$H$37,$A$8:$A$37,"&gt;="&amp;$AJ$18+7*(5-1),$A$8:$A$37,"&lt;="&amp;$AJ$18+7*(5-1)+6)+SUMIFS('2026年07月'!$I$8:$I$38,'2026年07月'!$A$8:$A$38,"&gt;="&amp;$AJ$18+7*(5-1),'2026年07月'!$A$8:$A$38,"&lt;="&amp;$AJ$18+7*(5-1)+6))/(SUMIFS($N$8:$N$37,$A$8:$A$37,"&gt;="&amp;$AJ$18+7*(5-1),$A$8:$A$37,"&lt;="&amp;$AJ$18+7*(5-1)+6)+SUMIFS('2026年07月'!$O$8:$O$38,'2026年07月'!$A$8:$A$38,"&gt;="&amp;$AJ$18+7*(5-1),'2026年07月'!$A$8:$A$38,"&lt;="&amp;$AJ$18+7*(5-1)+6)),""))</f>
        <v>23225.58182</v>
      </c>
      <c r="AG24" s="43">
        <f>IF($AC24="","",IFERROR((SUMIFS($O$8:$O$37,$A$8:$A$37,"&gt;="&amp;$AJ$18+7*(5-1),$A$8:$A$37,"&lt;="&amp;$AJ$18+7*(5-1)+6)+SUMIFS('2026年07月'!$P$8:$P$38,'2026年07月'!$A$8:$A$38,"&gt;="&amp;$AJ$18+7*(5-1),'2026年07月'!$A$8:$A$38,"&lt;="&amp;$AJ$18+7*(5-1)+6))/(SUMIFS($N$8:$N$37,$A$8:$A$37,"&gt;="&amp;$AJ$18+7*(5-1),$A$8:$A$37,"&lt;="&amp;$AJ$18+7*(5-1)+6)+SUMIFS('2026年07月'!$O$8:$O$38,'2026年07月'!$A$8:$A$38,"&gt;="&amp;$AJ$18+7*(5-1),'2026年07月'!$A$8:$A$38,"&lt;="&amp;$AJ$18+7*(5-1)+6)),""))</f>
        <v>1.054545455</v>
      </c>
      <c r="AH24" s="37">
        <f>IF($AC24="","",IFERROR((SUMIFS($Q$8:$Q$37,$A$8:$A$37,"&gt;="&amp;$AJ$18+7*(5-1),$A$8:$A$37,"&lt;="&amp;$AJ$18+7*(5-1)+6)+SUMIFS('2026年07月'!$R$8:$R$38,'2026年07月'!$A$8:$A$38,"&gt;="&amp;$AJ$18+7*(5-1),'2026年07月'!$A$8:$A$38,"&lt;="&amp;$AJ$18+7*(5-1)+6))/(SUMIFS($P$8:$P$37,$A$8:$A$37,"&gt;="&amp;$AJ$18+7*(5-1),$A$8:$A$37,"&lt;="&amp;$AJ$18+7*(5-1)+6)+SUMIFS('2026年07月'!$Q$8:$Q$38,'2026年07月'!$A$8:$A$38,"&gt;="&amp;$AJ$18+7*(5-1),'2026年07月'!$A$8:$A$38,"&lt;="&amp;$AJ$18+7*(5-1)+6)),""))</f>
        <v>0.4171122995</v>
      </c>
    </row>
    <row r="25" ht="15.75" customHeight="1">
      <c r="A25" s="38">
        <v>46191.0</v>
      </c>
      <c r="B25" s="14" t="str">
        <f t="shared" si="2"/>
        <v>木</v>
      </c>
      <c r="C25" s="29">
        <v>250000.0</v>
      </c>
      <c r="D25" s="15">
        <f t="shared" si="3"/>
        <v>5500000</v>
      </c>
      <c r="E25" s="29">
        <v>0.0</v>
      </c>
      <c r="F25" s="29">
        <v>46310.0</v>
      </c>
      <c r="G25" s="29">
        <v>-4310.0</v>
      </c>
      <c r="H25" s="15">
        <f t="shared" si="4"/>
        <v>42000</v>
      </c>
      <c r="I25" s="15">
        <f t="shared" si="5"/>
        <v>2368055</v>
      </c>
      <c r="J25" s="16">
        <f t="shared" ref="J25:K25" si="32">IF(H25="","",IFERROR(H25/C25,""))</f>
        <v>0.168</v>
      </c>
      <c r="K25" s="16">
        <f t="shared" si="32"/>
        <v>0.4305554545</v>
      </c>
      <c r="L25" s="15">
        <f t="shared" si="7"/>
        <v>-3131945</v>
      </c>
      <c r="M25" s="39" t="str">
        <f t="shared" si="8"/>
        <v>▲ 遅れ</v>
      </c>
      <c r="N25" s="31">
        <v>2.0</v>
      </c>
      <c r="O25" s="31">
        <v>2.0</v>
      </c>
      <c r="P25" s="31">
        <v>21.0</v>
      </c>
      <c r="Q25" s="31">
        <v>4.0</v>
      </c>
      <c r="R25" s="31">
        <v>6.0</v>
      </c>
      <c r="S25" s="16">
        <f t="shared" si="9"/>
        <v>0.09523809524</v>
      </c>
      <c r="T25" s="15">
        <f t="shared" si="10"/>
        <v>21000</v>
      </c>
      <c r="U25" s="40">
        <f t="shared" si="11"/>
        <v>1</v>
      </c>
      <c r="V25" s="16">
        <f t="shared" si="12"/>
        <v>0.1904761905</v>
      </c>
      <c r="W25" s="31"/>
      <c r="X25" s="31">
        <v>8907.0</v>
      </c>
      <c r="Y25" s="29">
        <v>0.0</v>
      </c>
      <c r="Z25" s="33"/>
      <c r="AB25" s="36">
        <v>6.0</v>
      </c>
      <c r="AC25" s="42" t="str">
        <f>IF($AJ$18+7*(6-1)&gt;$A$37,"",TEXT($AJ$18+7*(6-1),"m/d")&amp;"-"&amp;TEXT($AJ$18+7*(6-1)+6,"m/d"))</f>
        <v/>
      </c>
      <c r="AD25" s="35" t="str">
        <f>IF($AC25="","",(SUMIFS($H$8:$H$37,$A$8:$A$37,"&gt;="&amp;$AJ$18+7*(6-1),$A$8:$A$37,"&lt;="&amp;$AJ$18+7*(6-1)+6)+SUMIFS('2026年07月'!$I$8:$I$38,'2026年07月'!$A$8:$A$38,"&gt;="&amp;$AJ$18+7*(6-1),'2026年07月'!$A$8:$A$38,"&lt;="&amp;$AJ$18+7*(6-1)+6)))</f>
        <v/>
      </c>
      <c r="AE25" s="37" t="str">
        <f>IF($AC25="","",IFERROR((SUMIFS($N$8:$N$37,$A$8:$A$37,"&gt;="&amp;$AJ$18+7*(6-1),$A$8:$A$37,"&lt;="&amp;$AJ$18+7*(6-1)+6)+SUMIFS('2026年07月'!$O$8:$O$38,'2026年07月'!$A$8:$A$38,"&gt;="&amp;$AJ$18+7*(6-1),'2026年07月'!$A$8:$A$38,"&lt;="&amp;$AJ$18+7*(6-1)+6))/(SUMIFS($P$8:$P$37,$A$8:$A$37,"&gt;="&amp;$AJ$18+7*(6-1),$A$8:$A$37,"&lt;="&amp;$AJ$18+7*(6-1)+6)+SUMIFS('2026年07月'!$Q$8:$Q$38,'2026年07月'!$A$8:$A$38,"&gt;="&amp;$AJ$18+7*(6-1),'2026年07月'!$A$8:$A$38,"&lt;="&amp;$AJ$18+7*(6-1)+6)),""))</f>
        <v/>
      </c>
      <c r="AF25" s="35" t="str">
        <f>IF($AC25="","",IFERROR((SUMIFS($H$8:$H$37,$A$8:$A$37,"&gt;="&amp;$AJ$18+7*(6-1),$A$8:$A$37,"&lt;="&amp;$AJ$18+7*(6-1)+6)+SUMIFS('2026年07月'!$I$8:$I$38,'2026年07月'!$A$8:$A$38,"&gt;="&amp;$AJ$18+7*(6-1),'2026年07月'!$A$8:$A$38,"&lt;="&amp;$AJ$18+7*(6-1)+6))/(SUMIFS($N$8:$N$37,$A$8:$A$37,"&gt;="&amp;$AJ$18+7*(6-1),$A$8:$A$37,"&lt;="&amp;$AJ$18+7*(6-1)+6)+SUMIFS('2026年07月'!$O$8:$O$38,'2026年07月'!$A$8:$A$38,"&gt;="&amp;$AJ$18+7*(6-1),'2026年07月'!$A$8:$A$38,"&lt;="&amp;$AJ$18+7*(6-1)+6)),""))</f>
        <v/>
      </c>
      <c r="AG25" s="43" t="str">
        <f>IF($AC25="","",IFERROR((SUMIFS($O$8:$O$37,$A$8:$A$37,"&gt;="&amp;$AJ$18+7*(6-1),$A$8:$A$37,"&lt;="&amp;$AJ$18+7*(6-1)+6)+SUMIFS('2026年07月'!$P$8:$P$38,'2026年07月'!$A$8:$A$38,"&gt;="&amp;$AJ$18+7*(6-1),'2026年07月'!$A$8:$A$38,"&lt;="&amp;$AJ$18+7*(6-1)+6))/(SUMIFS($N$8:$N$37,$A$8:$A$37,"&gt;="&amp;$AJ$18+7*(6-1),$A$8:$A$37,"&lt;="&amp;$AJ$18+7*(6-1)+6)+SUMIFS('2026年07月'!$O$8:$O$38,'2026年07月'!$A$8:$A$38,"&gt;="&amp;$AJ$18+7*(6-1),'2026年07月'!$A$8:$A$38,"&lt;="&amp;$AJ$18+7*(6-1)+6)),""))</f>
        <v/>
      </c>
      <c r="AH25" s="37" t="str">
        <f>IF($AC25="","",IFERROR((SUMIFS($Q$8:$Q$37,$A$8:$A$37,"&gt;="&amp;$AJ$18+7*(6-1),$A$8:$A$37,"&lt;="&amp;$AJ$18+7*(6-1)+6)+SUMIFS('2026年07月'!$R$8:$R$38,'2026年07月'!$A$8:$A$38,"&gt;="&amp;$AJ$18+7*(6-1),'2026年07月'!$A$8:$A$38,"&lt;="&amp;$AJ$18+7*(6-1)+6))/(SUMIFS($P$8:$P$37,$A$8:$A$37,"&gt;="&amp;$AJ$18+7*(6-1),$A$8:$A$37,"&lt;="&amp;$AJ$18+7*(6-1)+6)+SUMIFS('2026年07月'!$Q$8:$Q$38,'2026年07月'!$A$8:$A$38,"&gt;="&amp;$AJ$18+7*(6-1),'2026年07月'!$A$8:$A$38,"&lt;="&amp;$AJ$18+7*(6-1)+6)),""))</f>
        <v/>
      </c>
    </row>
    <row r="26" ht="15.75" customHeight="1">
      <c r="A26" s="28">
        <v>46192.0</v>
      </c>
      <c r="B26" s="10" t="str">
        <f t="shared" si="2"/>
        <v>金</v>
      </c>
      <c r="C26" s="29">
        <v>250000.0</v>
      </c>
      <c r="D26" s="11">
        <f t="shared" si="3"/>
        <v>5750000</v>
      </c>
      <c r="E26" s="29">
        <v>145720.0</v>
      </c>
      <c r="F26" s="29">
        <v>108610.0</v>
      </c>
      <c r="G26" s="29">
        <v>20012.0</v>
      </c>
      <c r="H26" s="11">
        <f t="shared" si="4"/>
        <v>274342</v>
      </c>
      <c r="I26" s="11">
        <f t="shared" si="5"/>
        <v>2642397</v>
      </c>
      <c r="J26" s="12">
        <f t="shared" ref="J26:K26" si="33">IF(H26="","",IFERROR(H26/C26,""))</f>
        <v>1.097368</v>
      </c>
      <c r="K26" s="12">
        <f t="shared" si="33"/>
        <v>0.4595473043</v>
      </c>
      <c r="L26" s="11">
        <f t="shared" si="7"/>
        <v>-3107603</v>
      </c>
      <c r="M26" s="30" t="str">
        <f t="shared" si="8"/>
        <v>▲ 遅れ</v>
      </c>
      <c r="N26" s="31">
        <v>14.0</v>
      </c>
      <c r="O26" s="31">
        <v>16.0</v>
      </c>
      <c r="P26" s="31">
        <v>29.0</v>
      </c>
      <c r="Q26" s="31">
        <v>11.0</v>
      </c>
      <c r="R26" s="31">
        <v>15.0</v>
      </c>
      <c r="S26" s="12">
        <f t="shared" si="9"/>
        <v>0.4827586207</v>
      </c>
      <c r="T26" s="11">
        <f t="shared" si="10"/>
        <v>19595.85714</v>
      </c>
      <c r="U26" s="32">
        <f t="shared" si="11"/>
        <v>1.142857143</v>
      </c>
      <c r="V26" s="12">
        <f t="shared" si="12"/>
        <v>0.3793103448</v>
      </c>
      <c r="W26" s="31"/>
      <c r="X26" s="31">
        <v>8904.0</v>
      </c>
      <c r="Y26" s="29">
        <v>0.0</v>
      </c>
      <c r="Z26" s="33"/>
      <c r="AB26" s="22" t="s">
        <v>94</v>
      </c>
    </row>
    <row r="27" ht="15.75" customHeight="1">
      <c r="A27" s="38">
        <v>46193.0</v>
      </c>
      <c r="B27" s="14" t="str">
        <f t="shared" si="2"/>
        <v>土</v>
      </c>
      <c r="C27" s="29">
        <v>500000.0</v>
      </c>
      <c r="D27" s="15">
        <f t="shared" si="3"/>
        <v>6250000</v>
      </c>
      <c r="E27" s="29">
        <v>117660.0</v>
      </c>
      <c r="F27" s="29">
        <v>160410.0</v>
      </c>
      <c r="G27" s="29">
        <v>16448.0</v>
      </c>
      <c r="H27" s="15">
        <f t="shared" si="4"/>
        <v>294518</v>
      </c>
      <c r="I27" s="15">
        <f t="shared" si="5"/>
        <v>2936915</v>
      </c>
      <c r="J27" s="16">
        <f t="shared" ref="J27:K27" si="34">IF(H27="","",IFERROR(H27/C27,""))</f>
        <v>0.589036</v>
      </c>
      <c r="K27" s="16">
        <f t="shared" si="34"/>
        <v>0.4699064</v>
      </c>
      <c r="L27" s="15">
        <f t="shared" si="7"/>
        <v>-3313085</v>
      </c>
      <c r="M27" s="39" t="str">
        <f t="shared" si="8"/>
        <v>▲ 遅れ</v>
      </c>
      <c r="N27" s="31">
        <v>15.0</v>
      </c>
      <c r="O27" s="31">
        <v>17.0</v>
      </c>
      <c r="P27" s="31">
        <v>50.0</v>
      </c>
      <c r="Q27" s="31">
        <v>20.0</v>
      </c>
      <c r="R27" s="31">
        <v>33.0</v>
      </c>
      <c r="S27" s="16">
        <f t="shared" si="9"/>
        <v>0.3</v>
      </c>
      <c r="T27" s="15">
        <f t="shared" si="10"/>
        <v>19634.53333</v>
      </c>
      <c r="U27" s="40">
        <f t="shared" si="11"/>
        <v>1.133333333</v>
      </c>
      <c r="V27" s="16">
        <f t="shared" si="12"/>
        <v>0.4</v>
      </c>
      <c r="W27" s="31"/>
      <c r="X27" s="31">
        <v>8897.0</v>
      </c>
      <c r="Y27" s="29">
        <v>0.0</v>
      </c>
      <c r="Z27" s="33"/>
      <c r="AB27" s="22" t="s">
        <v>95</v>
      </c>
    </row>
    <row r="28" ht="15.75" customHeight="1">
      <c r="A28" s="28">
        <v>46194.0</v>
      </c>
      <c r="B28" s="10" t="str">
        <f t="shared" si="2"/>
        <v>日</v>
      </c>
      <c r="C28" s="29">
        <v>500000.0</v>
      </c>
      <c r="D28" s="11">
        <f t="shared" si="3"/>
        <v>6750000</v>
      </c>
      <c r="E28" s="29">
        <v>169110.0</v>
      </c>
      <c r="F28" s="29">
        <v>233340.0</v>
      </c>
      <c r="G28" s="29">
        <v>16071.0</v>
      </c>
      <c r="H28" s="11">
        <f t="shared" si="4"/>
        <v>418521</v>
      </c>
      <c r="I28" s="11">
        <f t="shared" si="5"/>
        <v>3355436</v>
      </c>
      <c r="J28" s="12">
        <f t="shared" ref="J28:K28" si="35">IF(H28="","",IFERROR(H28/C28,""))</f>
        <v>0.837042</v>
      </c>
      <c r="K28" s="12">
        <f t="shared" si="35"/>
        <v>0.4971016296</v>
      </c>
      <c r="L28" s="11">
        <f t="shared" si="7"/>
        <v>-3394564</v>
      </c>
      <c r="M28" s="30" t="str">
        <f t="shared" si="8"/>
        <v>▲ 遅れ</v>
      </c>
      <c r="N28" s="31">
        <v>17.0</v>
      </c>
      <c r="O28" s="31">
        <v>23.0</v>
      </c>
      <c r="P28" s="31">
        <v>42.0</v>
      </c>
      <c r="Q28" s="31">
        <v>20.0</v>
      </c>
      <c r="R28" s="31">
        <v>33.0</v>
      </c>
      <c r="S28" s="12">
        <f t="shared" si="9"/>
        <v>0.4047619048</v>
      </c>
      <c r="T28" s="11">
        <f t="shared" si="10"/>
        <v>24618.88235</v>
      </c>
      <c r="U28" s="32">
        <f t="shared" si="11"/>
        <v>1.352941176</v>
      </c>
      <c r="V28" s="12">
        <f t="shared" si="12"/>
        <v>0.4761904762</v>
      </c>
      <c r="W28" s="31"/>
      <c r="X28" s="31">
        <v>8892.0</v>
      </c>
      <c r="Y28" s="29">
        <v>0.0</v>
      </c>
      <c r="Z28" s="33"/>
      <c r="AB28" s="22" t="s">
        <v>96</v>
      </c>
    </row>
    <row r="29" ht="15.75" customHeight="1">
      <c r="A29" s="38">
        <v>46195.0</v>
      </c>
      <c r="B29" s="14" t="str">
        <f t="shared" si="2"/>
        <v>月</v>
      </c>
      <c r="C29" s="29">
        <v>250000.0</v>
      </c>
      <c r="D29" s="15">
        <f t="shared" si="3"/>
        <v>7000000</v>
      </c>
      <c r="E29" s="29">
        <v>23502.0</v>
      </c>
      <c r="F29" s="29">
        <v>0.0</v>
      </c>
      <c r="G29" s="29"/>
      <c r="H29" s="15">
        <f t="shared" si="4"/>
        <v>23502</v>
      </c>
      <c r="I29" s="15">
        <f t="shared" si="5"/>
        <v>3378938</v>
      </c>
      <c r="J29" s="16">
        <f t="shared" ref="J29:K29" si="36">IF(H29="","",IFERROR(H29/C29,""))</f>
        <v>0.094008</v>
      </c>
      <c r="K29" s="16">
        <f t="shared" si="36"/>
        <v>0.4827054286</v>
      </c>
      <c r="L29" s="15">
        <f t="shared" si="7"/>
        <v>-3621062</v>
      </c>
      <c r="M29" s="39" t="str">
        <f t="shared" si="8"/>
        <v>▲ 遅れ</v>
      </c>
      <c r="N29" s="31">
        <v>1.0</v>
      </c>
      <c r="O29" s="31">
        <v>1.0</v>
      </c>
      <c r="P29" s="31">
        <v>13.0</v>
      </c>
      <c r="Q29" s="31">
        <v>2.0</v>
      </c>
      <c r="R29" s="31">
        <v>4.0</v>
      </c>
      <c r="S29" s="16">
        <f t="shared" si="9"/>
        <v>0.07692307692</v>
      </c>
      <c r="T29" s="15">
        <f t="shared" si="10"/>
        <v>23502</v>
      </c>
      <c r="U29" s="40">
        <f t="shared" si="11"/>
        <v>1</v>
      </c>
      <c r="V29" s="16">
        <f t="shared" si="12"/>
        <v>0.1538461538</v>
      </c>
      <c r="W29" s="31"/>
      <c r="X29" s="31">
        <v>8888.0</v>
      </c>
      <c r="Y29" s="29">
        <v>0.0</v>
      </c>
      <c r="Z29" s="33"/>
    </row>
    <row r="30" ht="15.75" customHeight="1">
      <c r="A30" s="28">
        <v>46196.0</v>
      </c>
      <c r="B30" s="10" t="str">
        <f t="shared" si="2"/>
        <v>火</v>
      </c>
      <c r="C30" s="29">
        <v>250000.0</v>
      </c>
      <c r="D30" s="11">
        <f t="shared" si="3"/>
        <v>7250000</v>
      </c>
      <c r="E30" s="29">
        <v>160040.0</v>
      </c>
      <c r="F30" s="29">
        <v>133832.0</v>
      </c>
      <c r="G30" s="29">
        <v>-6340.0</v>
      </c>
      <c r="H30" s="11">
        <f t="shared" si="4"/>
        <v>287532</v>
      </c>
      <c r="I30" s="11">
        <f t="shared" si="5"/>
        <v>3666470</v>
      </c>
      <c r="J30" s="12">
        <f t="shared" ref="J30:K30" si="37">IF(H30="","",IFERROR(H30/C30,""))</f>
        <v>1.150128</v>
      </c>
      <c r="K30" s="12">
        <f t="shared" si="37"/>
        <v>0.50572</v>
      </c>
      <c r="L30" s="11">
        <f t="shared" si="7"/>
        <v>-3583530</v>
      </c>
      <c r="M30" s="30" t="str">
        <f t="shared" si="8"/>
        <v>▲ 遅れ</v>
      </c>
      <c r="N30" s="31">
        <v>13.0</v>
      </c>
      <c r="O30" s="31">
        <v>15.0</v>
      </c>
      <c r="P30" s="31">
        <v>30.0</v>
      </c>
      <c r="Q30" s="31">
        <v>13.0</v>
      </c>
      <c r="R30" s="31">
        <v>24.0</v>
      </c>
      <c r="S30" s="12">
        <f t="shared" si="9"/>
        <v>0.4333333333</v>
      </c>
      <c r="T30" s="11">
        <f t="shared" si="10"/>
        <v>22117.84615</v>
      </c>
      <c r="U30" s="32">
        <f t="shared" si="11"/>
        <v>1.153846154</v>
      </c>
      <c r="V30" s="12">
        <f t="shared" si="12"/>
        <v>0.4333333333</v>
      </c>
      <c r="W30" s="31"/>
      <c r="X30" s="31">
        <v>8884.0</v>
      </c>
      <c r="Y30" s="29">
        <v>0.0</v>
      </c>
      <c r="Z30" s="33"/>
    </row>
    <row r="31" ht="15.75" customHeight="1">
      <c r="A31" s="38">
        <v>46197.0</v>
      </c>
      <c r="B31" s="14" t="str">
        <f t="shared" si="2"/>
        <v>水</v>
      </c>
      <c r="C31" s="29">
        <v>250000.0</v>
      </c>
      <c r="D31" s="15">
        <f t="shared" si="3"/>
        <v>7500000</v>
      </c>
      <c r="E31" s="29">
        <v>76830.0</v>
      </c>
      <c r="F31" s="29">
        <v>46910.0</v>
      </c>
      <c r="G31" s="29">
        <v>4789.0</v>
      </c>
      <c r="H31" s="15">
        <f t="shared" si="4"/>
        <v>128529</v>
      </c>
      <c r="I31" s="15">
        <f t="shared" si="5"/>
        <v>3794999</v>
      </c>
      <c r="J31" s="16">
        <f t="shared" ref="J31:K31" si="38">IF(H31="","",IFERROR(H31/C31,""))</f>
        <v>0.514116</v>
      </c>
      <c r="K31" s="16">
        <f t="shared" si="38"/>
        <v>0.5059998667</v>
      </c>
      <c r="L31" s="15">
        <f t="shared" si="7"/>
        <v>-3705001</v>
      </c>
      <c r="M31" s="39" t="str">
        <f t="shared" si="8"/>
        <v>▲ 遅れ</v>
      </c>
      <c r="N31" s="31">
        <v>6.0</v>
      </c>
      <c r="O31" s="31">
        <v>6.0</v>
      </c>
      <c r="P31" s="31">
        <v>17.0</v>
      </c>
      <c r="Q31" s="31">
        <v>10.0</v>
      </c>
      <c r="R31" s="31">
        <v>17.0</v>
      </c>
      <c r="S31" s="16">
        <f t="shared" si="9"/>
        <v>0.3529411765</v>
      </c>
      <c r="T31" s="15">
        <f t="shared" si="10"/>
        <v>21421.5</v>
      </c>
      <c r="U31" s="40">
        <f t="shared" si="11"/>
        <v>1</v>
      </c>
      <c r="V31" s="16">
        <f t="shared" si="12"/>
        <v>0.5882352941</v>
      </c>
      <c r="W31" s="31"/>
      <c r="X31" s="31">
        <v>8885.0</v>
      </c>
      <c r="Y31" s="29">
        <v>0.0</v>
      </c>
      <c r="Z31" s="33"/>
    </row>
    <row r="32" ht="15.75" customHeight="1">
      <c r="A32" s="28">
        <v>46198.0</v>
      </c>
      <c r="B32" s="10" t="str">
        <f t="shared" si="2"/>
        <v>木</v>
      </c>
      <c r="C32" s="29">
        <v>250000.0</v>
      </c>
      <c r="D32" s="11">
        <f t="shared" si="3"/>
        <v>7750000</v>
      </c>
      <c r="E32" s="29">
        <v>51810.0</v>
      </c>
      <c r="F32" s="29">
        <v>124060.0</v>
      </c>
      <c r="G32" s="29">
        <v>32442.0</v>
      </c>
      <c r="H32" s="11">
        <f t="shared" si="4"/>
        <v>208312</v>
      </c>
      <c r="I32" s="11">
        <f t="shared" si="5"/>
        <v>4003311</v>
      </c>
      <c r="J32" s="12">
        <f t="shared" ref="J32:K32" si="39">IF(H32="","",IFERROR(H32/C32,""))</f>
        <v>0.833248</v>
      </c>
      <c r="K32" s="12">
        <f t="shared" si="39"/>
        <v>0.5165562581</v>
      </c>
      <c r="L32" s="11">
        <f t="shared" si="7"/>
        <v>-3746689</v>
      </c>
      <c r="M32" s="30" t="str">
        <f t="shared" si="8"/>
        <v>▲ 遅れ</v>
      </c>
      <c r="N32" s="31">
        <v>9.0</v>
      </c>
      <c r="O32" s="31">
        <v>12.0</v>
      </c>
      <c r="P32" s="31">
        <v>21.0</v>
      </c>
      <c r="Q32" s="31">
        <v>11.0</v>
      </c>
      <c r="R32" s="31">
        <v>15.0</v>
      </c>
      <c r="S32" s="12">
        <f t="shared" si="9"/>
        <v>0.4285714286</v>
      </c>
      <c r="T32" s="11">
        <f t="shared" si="10"/>
        <v>23145.77778</v>
      </c>
      <c r="U32" s="32">
        <f t="shared" si="11"/>
        <v>1.333333333</v>
      </c>
      <c r="V32" s="12">
        <f t="shared" si="12"/>
        <v>0.5238095238</v>
      </c>
      <c r="W32" s="31"/>
      <c r="X32" s="31">
        <v>8883.0</v>
      </c>
      <c r="Y32" s="29">
        <v>0.0</v>
      </c>
      <c r="Z32" s="33"/>
    </row>
    <row r="33" ht="15.75" customHeight="1">
      <c r="A33" s="38">
        <v>46199.0</v>
      </c>
      <c r="B33" s="14" t="str">
        <f t="shared" si="2"/>
        <v>金</v>
      </c>
      <c r="C33" s="29">
        <v>250000.0</v>
      </c>
      <c r="D33" s="15">
        <f t="shared" si="3"/>
        <v>8000000</v>
      </c>
      <c r="E33" s="29">
        <v>23810.0</v>
      </c>
      <c r="F33" s="29">
        <v>114450.0</v>
      </c>
      <c r="G33" s="29">
        <v>6292.0</v>
      </c>
      <c r="H33" s="15">
        <f t="shared" si="4"/>
        <v>144552</v>
      </c>
      <c r="I33" s="15">
        <f t="shared" si="5"/>
        <v>4147863</v>
      </c>
      <c r="J33" s="16">
        <f t="shared" ref="J33:K33" si="40">IF(H33="","",IFERROR(H33/C33,""))</f>
        <v>0.578208</v>
      </c>
      <c r="K33" s="16">
        <f t="shared" si="40"/>
        <v>0.518482875</v>
      </c>
      <c r="L33" s="15">
        <f t="shared" si="7"/>
        <v>-3852137</v>
      </c>
      <c r="M33" s="39" t="str">
        <f t="shared" si="8"/>
        <v>▲ 遅れ</v>
      </c>
      <c r="N33" s="31">
        <v>7.0</v>
      </c>
      <c r="O33" s="31">
        <v>7.0</v>
      </c>
      <c r="P33" s="31">
        <v>22.0</v>
      </c>
      <c r="Q33" s="31">
        <v>9.0</v>
      </c>
      <c r="R33" s="31">
        <v>14.0</v>
      </c>
      <c r="S33" s="16">
        <f t="shared" si="9"/>
        <v>0.3181818182</v>
      </c>
      <c r="T33" s="15">
        <f t="shared" si="10"/>
        <v>20650.28571</v>
      </c>
      <c r="U33" s="40">
        <f t="shared" si="11"/>
        <v>1</v>
      </c>
      <c r="V33" s="16">
        <f t="shared" si="12"/>
        <v>0.4090909091</v>
      </c>
      <c r="W33" s="31"/>
      <c r="X33" s="31">
        <v>8878.0</v>
      </c>
      <c r="Y33" s="29">
        <v>0.0</v>
      </c>
      <c r="Z33" s="33"/>
    </row>
    <row r="34" ht="15.75" customHeight="1">
      <c r="A34" s="28">
        <v>46200.0</v>
      </c>
      <c r="B34" s="10" t="str">
        <f t="shared" si="2"/>
        <v>土</v>
      </c>
      <c r="C34" s="29">
        <v>500000.0</v>
      </c>
      <c r="D34" s="11">
        <f t="shared" si="3"/>
        <v>8500000</v>
      </c>
      <c r="E34" s="29">
        <v>277390.0</v>
      </c>
      <c r="F34" s="29">
        <v>162070.0</v>
      </c>
      <c r="G34" s="29">
        <v>-42957.0</v>
      </c>
      <c r="H34" s="11">
        <f t="shared" si="4"/>
        <v>396503</v>
      </c>
      <c r="I34" s="11">
        <f t="shared" si="5"/>
        <v>4544366</v>
      </c>
      <c r="J34" s="12">
        <f t="shared" ref="J34:K34" si="41">IF(H34="","",IFERROR(H34/C34,""))</f>
        <v>0.793006</v>
      </c>
      <c r="K34" s="12">
        <f t="shared" si="41"/>
        <v>0.5346312941</v>
      </c>
      <c r="L34" s="11">
        <f t="shared" si="7"/>
        <v>-3955634</v>
      </c>
      <c r="M34" s="30" t="str">
        <f t="shared" si="8"/>
        <v>▲ 遅れ</v>
      </c>
      <c r="N34" s="31">
        <v>18.0</v>
      </c>
      <c r="O34" s="31">
        <v>18.0</v>
      </c>
      <c r="P34" s="31">
        <v>42.0</v>
      </c>
      <c r="Q34" s="31">
        <v>23.0</v>
      </c>
      <c r="R34" s="31">
        <v>36.0</v>
      </c>
      <c r="S34" s="12">
        <f t="shared" si="9"/>
        <v>0.4285714286</v>
      </c>
      <c r="T34" s="11">
        <f t="shared" si="10"/>
        <v>22027.94444</v>
      </c>
      <c r="U34" s="32">
        <f t="shared" si="11"/>
        <v>1</v>
      </c>
      <c r="V34" s="12">
        <f t="shared" si="12"/>
        <v>0.5476190476</v>
      </c>
      <c r="W34" s="31"/>
      <c r="X34" s="31">
        <v>8876.0</v>
      </c>
      <c r="Y34" s="29">
        <v>0.0</v>
      </c>
      <c r="Z34" s="33"/>
    </row>
    <row r="35" ht="15.75" customHeight="1">
      <c r="A35" s="38">
        <v>46201.0</v>
      </c>
      <c r="B35" s="14" t="str">
        <f t="shared" si="2"/>
        <v>日</v>
      </c>
      <c r="C35" s="29">
        <v>500000.0</v>
      </c>
      <c r="D35" s="15">
        <f t="shared" si="3"/>
        <v>9000000</v>
      </c>
      <c r="E35" s="29">
        <v>84230.0</v>
      </c>
      <c r="F35" s="29">
        <v>315620.0</v>
      </c>
      <c r="G35" s="29">
        <v>23821.0</v>
      </c>
      <c r="H35" s="15">
        <f t="shared" si="4"/>
        <v>423671</v>
      </c>
      <c r="I35" s="15">
        <f t="shared" si="5"/>
        <v>4968037</v>
      </c>
      <c r="J35" s="16">
        <f t="shared" ref="J35:K35" si="42">IF(H35="","",IFERROR(H35/C35,""))</f>
        <v>0.847342</v>
      </c>
      <c r="K35" s="16">
        <f t="shared" si="42"/>
        <v>0.5520041111</v>
      </c>
      <c r="L35" s="15">
        <f t="shared" si="7"/>
        <v>-4031963</v>
      </c>
      <c r="M35" s="39" t="str">
        <f t="shared" si="8"/>
        <v>▲ 遅れ</v>
      </c>
      <c r="N35" s="31">
        <v>20.0</v>
      </c>
      <c r="O35" s="31">
        <v>24.0</v>
      </c>
      <c r="P35" s="31">
        <v>45.0</v>
      </c>
      <c r="Q35" s="31">
        <v>19.0</v>
      </c>
      <c r="R35" s="31">
        <v>32.0</v>
      </c>
      <c r="S35" s="16">
        <f t="shared" si="9"/>
        <v>0.4444444444</v>
      </c>
      <c r="T35" s="15">
        <f t="shared" si="10"/>
        <v>21183.55</v>
      </c>
      <c r="U35" s="40">
        <f t="shared" si="11"/>
        <v>1.2</v>
      </c>
      <c r="V35" s="16">
        <f t="shared" si="12"/>
        <v>0.4222222222</v>
      </c>
      <c r="W35" s="31"/>
      <c r="X35" s="31">
        <v>8869.0</v>
      </c>
      <c r="Y35" s="29">
        <v>0.0</v>
      </c>
      <c r="Z35" s="33"/>
    </row>
    <row r="36" ht="15.75" customHeight="1">
      <c r="A36" s="28">
        <v>46202.0</v>
      </c>
      <c r="B36" s="10" t="str">
        <f t="shared" si="2"/>
        <v>月</v>
      </c>
      <c r="C36" s="29">
        <v>250000.0</v>
      </c>
      <c r="D36" s="11">
        <f t="shared" si="3"/>
        <v>9250000</v>
      </c>
      <c r="E36" s="29">
        <v>23810.0</v>
      </c>
      <c r="F36" s="29">
        <v>98147.0</v>
      </c>
      <c r="G36" s="29">
        <v>-11595.0</v>
      </c>
      <c r="H36" s="11">
        <f t="shared" si="4"/>
        <v>110362</v>
      </c>
      <c r="I36" s="11">
        <f t="shared" si="5"/>
        <v>5078399</v>
      </c>
      <c r="J36" s="12">
        <f t="shared" ref="J36:K36" si="43">IF(H36="","",IFERROR(H36/C36,""))</f>
        <v>0.441448</v>
      </c>
      <c r="K36" s="12">
        <f t="shared" si="43"/>
        <v>0.5490161081</v>
      </c>
      <c r="L36" s="11">
        <f t="shared" si="7"/>
        <v>-4171601</v>
      </c>
      <c r="M36" s="30" t="str">
        <f t="shared" si="8"/>
        <v>▲ 遅れ</v>
      </c>
      <c r="N36" s="31">
        <v>4.0</v>
      </c>
      <c r="O36" s="31">
        <v>6.0</v>
      </c>
      <c r="P36" s="31">
        <v>21.0</v>
      </c>
      <c r="Q36" s="31">
        <v>6.0</v>
      </c>
      <c r="R36" s="31">
        <v>9.0</v>
      </c>
      <c r="S36" s="12">
        <f t="shared" si="9"/>
        <v>0.1904761905</v>
      </c>
      <c r="T36" s="11">
        <f t="shared" si="10"/>
        <v>27590.5</v>
      </c>
      <c r="U36" s="32">
        <f t="shared" si="11"/>
        <v>1.5</v>
      </c>
      <c r="V36" s="12">
        <f t="shared" si="12"/>
        <v>0.2857142857</v>
      </c>
      <c r="W36" s="31"/>
      <c r="X36" s="31">
        <v>8864.0</v>
      </c>
      <c r="Y36" s="29">
        <v>1262.0</v>
      </c>
      <c r="Z36" s="33"/>
    </row>
    <row r="37" ht="15.75" customHeight="1">
      <c r="A37" s="38">
        <v>46203.0</v>
      </c>
      <c r="B37" s="14" t="str">
        <f t="shared" si="2"/>
        <v>火</v>
      </c>
      <c r="C37" s="29">
        <v>250000.0</v>
      </c>
      <c r="D37" s="15">
        <f t="shared" si="3"/>
        <v>9500000</v>
      </c>
      <c r="E37" s="29">
        <v>24310.0</v>
      </c>
      <c r="F37" s="29">
        <v>86830.0</v>
      </c>
      <c r="G37" s="29">
        <v>10867.0</v>
      </c>
      <c r="H37" s="15">
        <f t="shared" si="4"/>
        <v>122007</v>
      </c>
      <c r="I37" s="15">
        <f t="shared" si="5"/>
        <v>5200406</v>
      </c>
      <c r="J37" s="16">
        <f t="shared" ref="J37:K37" si="44">IF(H37="","",IFERROR(H37/C37,""))</f>
        <v>0.488028</v>
      </c>
      <c r="K37" s="16">
        <f t="shared" si="44"/>
        <v>0.5474111579</v>
      </c>
      <c r="L37" s="15">
        <f t="shared" si="7"/>
        <v>-4299594</v>
      </c>
      <c r="M37" s="39" t="str">
        <f t="shared" si="8"/>
        <v>▲ 遅れ</v>
      </c>
      <c r="N37" s="31">
        <v>6.0</v>
      </c>
      <c r="O37" s="31">
        <v>6.0</v>
      </c>
      <c r="P37" s="31">
        <v>19.0</v>
      </c>
      <c r="Q37" s="31">
        <v>10.0</v>
      </c>
      <c r="R37" s="31">
        <v>17.0</v>
      </c>
      <c r="S37" s="16">
        <f t="shared" si="9"/>
        <v>0.3157894737</v>
      </c>
      <c r="T37" s="15">
        <f t="shared" si="10"/>
        <v>20334.5</v>
      </c>
      <c r="U37" s="40">
        <f t="shared" si="11"/>
        <v>1</v>
      </c>
      <c r="V37" s="16">
        <f t="shared" si="12"/>
        <v>0.5263157895</v>
      </c>
      <c r="W37" s="31"/>
      <c r="X37" s="31">
        <v>8863.0</v>
      </c>
      <c r="Y37" s="29">
        <v>0.0</v>
      </c>
      <c r="Z37" s="33"/>
    </row>
    <row r="38" ht="15.75" customHeight="1">
      <c r="A38" s="44" t="s">
        <v>81</v>
      </c>
      <c r="B38" s="18"/>
      <c r="C38" s="19">
        <f>SUM(C8:C37)</f>
        <v>9500000</v>
      </c>
      <c r="D38" s="19">
        <f>C38</f>
        <v>9500000</v>
      </c>
      <c r="E38" s="19">
        <f t="shared" ref="E38:H38" si="45">SUM(E8:E37)</f>
        <v>2247880</v>
      </c>
      <c r="F38" s="19">
        <f t="shared" si="45"/>
        <v>2737571</v>
      </c>
      <c r="G38" s="19">
        <f t="shared" si="45"/>
        <v>214955</v>
      </c>
      <c r="H38" s="19">
        <f t="shared" si="45"/>
        <v>5200406</v>
      </c>
      <c r="I38" s="19">
        <f>H38</f>
        <v>5200406</v>
      </c>
      <c r="J38" s="20">
        <f>IFERROR(H38/C38,"")</f>
        <v>0.5474111579</v>
      </c>
      <c r="K38" s="20">
        <f>IFERROR(H38/C38,"")</f>
        <v>0.5474111579</v>
      </c>
      <c r="L38" s="19">
        <f>H38-C38</f>
        <v>-4299594</v>
      </c>
      <c r="M38" s="45"/>
      <c r="N38" s="21">
        <f t="shared" ref="N38:R38" si="46">SUM(N8:N37)</f>
        <v>240</v>
      </c>
      <c r="O38" s="21">
        <f t="shared" si="46"/>
        <v>271</v>
      </c>
      <c r="P38" s="21">
        <f t="shared" si="46"/>
        <v>834</v>
      </c>
      <c r="Q38" s="21">
        <f t="shared" si="46"/>
        <v>318</v>
      </c>
      <c r="R38" s="21">
        <f t="shared" si="46"/>
        <v>508</v>
      </c>
      <c r="S38" s="20">
        <f t="shared" si="9"/>
        <v>0.2877697842</v>
      </c>
      <c r="T38" s="19">
        <f t="shared" si="10"/>
        <v>21668.35833</v>
      </c>
      <c r="U38" s="46">
        <f t="shared" si="11"/>
        <v>1.129166667</v>
      </c>
      <c r="V38" s="20">
        <f t="shared" si="12"/>
        <v>0.381294964</v>
      </c>
      <c r="W38" s="21">
        <f>SUM(W8:W37)</f>
        <v>0</v>
      </c>
      <c r="X38" s="21">
        <f>IFERROR(LOOKUP(9.99E+307,X8:X37),"")</f>
        <v>8863</v>
      </c>
      <c r="Y38" s="19">
        <f>SUM(Y8:Y37)</f>
        <v>2075</v>
      </c>
      <c r="Z38" s="47" t="s">
        <v>82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Z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L8:L37">
    <cfRule type="expression" dxfId="0" priority="1">
      <formula>AND($H8&lt;&gt;"",$L8&gt;=0)</formula>
    </cfRule>
  </conditionalFormatting>
  <conditionalFormatting sqref="L8:L37">
    <cfRule type="expression" dxfId="1" priority="2">
      <formula>AND($H8&lt;&gt;"",$L8&lt;0)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0.0"/>
    <col customWidth="1" min="8" max="8" width="11.0"/>
    <col customWidth="1" min="9" max="9" width="12.0"/>
    <col customWidth="1" min="10" max="10" width="13.0"/>
    <col customWidth="1" min="11" max="12" width="9.0"/>
    <col customWidth="1" min="13" max="13" width="13.0"/>
    <col customWidth="1" min="14" max="14" width="11.0"/>
    <col customWidth="1" min="15" max="20" width="8.0"/>
    <col customWidth="1" min="21" max="21" width="11.0"/>
    <col customWidth="1" min="22" max="24" width="8.0"/>
    <col customWidth="1" min="25" max="25" width="10.0"/>
    <col customWidth="1" min="26" max="26" width="9.0"/>
    <col customWidth="1" min="27" max="27" width="28.0"/>
    <col customWidth="1" min="28" max="28" width="3.0"/>
    <col customWidth="1" min="29" max="29" width="5.0"/>
    <col customWidth="1" min="30" max="30" width="13.0"/>
    <col customWidth="1" min="31" max="31" width="12.0"/>
    <col customWidth="1" min="32" max="32" width="9.0"/>
    <col customWidth="1" min="33" max="33" width="11.0"/>
    <col customWidth="1" min="34" max="36" width="9.0"/>
    <col customWidth="1" min="37" max="37" width="8.0"/>
  </cols>
  <sheetData>
    <row r="1" ht="27.75" customHeight="1">
      <c r="A1" s="48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98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IF('設定'!$B$11="",SUM(C8:C38),'設定'!$B$11)</f>
        <v>14000000</v>
      </c>
      <c r="B4" s="6"/>
      <c r="C4" s="7">
        <f>SUM(I8:I38)</f>
        <v>5575024</v>
      </c>
      <c r="D4" s="6"/>
      <c r="E4" s="8">
        <f>IFERROR(C4/A4,0)</f>
        <v>0.398216</v>
      </c>
      <c r="F4" s="6"/>
      <c r="G4" s="25">
        <f>COUNTIF(I8:I38,"&gt;0")</f>
        <v>29</v>
      </c>
      <c r="H4" s="6"/>
      <c r="I4" s="7">
        <f>A4-C4</f>
        <v>8424976</v>
      </c>
      <c r="J4" s="6"/>
      <c r="K4" s="7">
        <f>IF((31-G4)&gt;0,(A4-C4)/(31-G4),0)</f>
        <v>4212488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SUM(C8:C38)</f>
        <v>13600000</v>
      </c>
      <c r="B6" s="6"/>
      <c r="C6" s="7">
        <f>IFERROR(C4/G4*31,0)</f>
        <v>5959508.414</v>
      </c>
      <c r="D6" s="6"/>
      <c r="E6" s="8">
        <f>IFERROR(O39/Q39,0)</f>
        <v>0.3039092055</v>
      </c>
      <c r="F6" s="6"/>
      <c r="G6" s="7">
        <f>IFERROR(I39/O39,0)</f>
        <v>23132.87967</v>
      </c>
      <c r="H6" s="6"/>
      <c r="I6" s="26">
        <f>IFERROR(P39/O39,0)</f>
        <v>1.087136929</v>
      </c>
      <c r="J6" s="6"/>
      <c r="K6" s="8">
        <f>IFERROR(R39/Q39,0)</f>
        <v>0.3846153846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99</v>
      </c>
      <c r="H7" s="9" t="s">
        <v>100</v>
      </c>
      <c r="I7" s="9" t="s">
        <v>51</v>
      </c>
      <c r="J7" s="9" t="s">
        <v>19</v>
      </c>
      <c r="K7" s="9" t="s">
        <v>52</v>
      </c>
      <c r="L7" s="9" t="s">
        <v>53</v>
      </c>
      <c r="M7" s="9" t="s">
        <v>54</v>
      </c>
      <c r="N7" s="9" t="s">
        <v>55</v>
      </c>
      <c r="O7" s="9" t="s">
        <v>14</v>
      </c>
      <c r="P7" s="9" t="s">
        <v>56</v>
      </c>
      <c r="Q7" s="9" t="s">
        <v>15</v>
      </c>
      <c r="R7" s="9" t="s">
        <v>57</v>
      </c>
      <c r="S7" s="9" t="s">
        <v>58</v>
      </c>
      <c r="T7" s="9" t="s">
        <v>16</v>
      </c>
      <c r="U7" s="9" t="s">
        <v>17</v>
      </c>
      <c r="V7" s="9" t="s">
        <v>43</v>
      </c>
      <c r="W7" s="9" t="s">
        <v>44</v>
      </c>
      <c r="X7" s="9" t="s">
        <v>59</v>
      </c>
      <c r="Y7" s="9" t="s">
        <v>60</v>
      </c>
      <c r="Z7" s="9" t="s">
        <v>61</v>
      </c>
      <c r="AA7" s="9" t="s">
        <v>62</v>
      </c>
      <c r="AC7" s="27" t="s">
        <v>63</v>
      </c>
      <c r="AD7" s="27" t="s">
        <v>64</v>
      </c>
      <c r="AE7" s="27" t="s">
        <v>65</v>
      </c>
      <c r="AF7" s="27" t="s">
        <v>16</v>
      </c>
      <c r="AG7" s="27" t="s">
        <v>17</v>
      </c>
    </row>
    <row r="8">
      <c r="A8" s="28">
        <v>46204.0</v>
      </c>
      <c r="B8" s="10" t="str">
        <f t="shared" ref="B8:B38" si="2">MID("日月火水木金土",WEEKDAY(A8),1)</f>
        <v>水</v>
      </c>
      <c r="C8" s="29">
        <v>300000.0</v>
      </c>
      <c r="D8" s="11">
        <f t="shared" ref="D8:D38" si="3">SUM($C$8:C8)</f>
        <v>300000</v>
      </c>
      <c r="E8" s="29">
        <v>24310.0</v>
      </c>
      <c r="F8" s="29">
        <v>95630.0</v>
      </c>
      <c r="G8" s="29"/>
      <c r="H8" s="29"/>
      <c r="I8" s="11">
        <f t="shared" ref="I8:I38" si="4">IF(COUNT(E8:H8)=0,"",SUM(E8:H8))</f>
        <v>119940</v>
      </c>
      <c r="J8" s="11">
        <f t="shared" ref="J8:J38" si="5">IF(I8="","",SUM($I$8:I8))</f>
        <v>119940</v>
      </c>
      <c r="K8" s="12">
        <f t="shared" ref="K8:L8" si="1">IF(I8="","",IFERROR(I8/C8,""))</f>
        <v>0.3998</v>
      </c>
      <c r="L8" s="12">
        <f t="shared" si="1"/>
        <v>0.3998</v>
      </c>
      <c r="M8" s="11">
        <f t="shared" ref="M8:M38" si="7">IF(J8="","",IF(D8=0,"",J8-D8))</f>
        <v>-180060</v>
      </c>
      <c r="N8" s="30" t="str">
        <f t="shared" ref="N8:N38" si="8">IF(I8="","—",IF(D8=0,"予算未入力",IF(J8&gt;=D8,"◎ ペース内","▲ 遅れ")))</f>
        <v>▲ 遅れ</v>
      </c>
      <c r="O8" s="31">
        <v>4.0</v>
      </c>
      <c r="P8" s="31">
        <v>4.0</v>
      </c>
      <c r="Q8" s="31">
        <v>23.0</v>
      </c>
      <c r="R8" s="31">
        <v>7.0</v>
      </c>
      <c r="S8" s="31">
        <v>11.0</v>
      </c>
      <c r="T8" s="12">
        <f t="shared" ref="T8:T39" si="9">IFERROR(O8/Q8,"")</f>
        <v>0.1739130435</v>
      </c>
      <c r="U8" s="11">
        <f t="shared" ref="U8:U39" si="10">IFERROR(I8/O8,"")</f>
        <v>29985</v>
      </c>
      <c r="V8" s="32">
        <f t="shared" ref="V8:V39" si="11">IFERROR(P8/O8,"")</f>
        <v>1</v>
      </c>
      <c r="W8" s="12">
        <f t="shared" ref="W8:W39" si="12">IFERROR(R8/Q8,"")</f>
        <v>0.3043478261</v>
      </c>
      <c r="X8" s="31"/>
      <c r="Y8" s="31">
        <v>8865.0</v>
      </c>
      <c r="Z8" s="29">
        <v>0.0</v>
      </c>
      <c r="AA8" s="33"/>
      <c r="AC8" s="34" t="s">
        <v>7</v>
      </c>
      <c r="AD8" s="35">
        <f t="shared" ref="AD8:AD14" si="13">IFERROR(AVERAGEIFS($I$8:$I$38,$B$8:$B$38,AC8,$I$8:$I$38,"&gt;0"),0)</f>
        <v>167774.5</v>
      </c>
      <c r="AE8" s="36">
        <f t="shared" ref="AE8:AE14" si="14">COUNTIFS($B$8:$B$38,AC8,$I$8:$I$38,"&gt;0")</f>
        <v>4</v>
      </c>
      <c r="AF8" s="37">
        <f t="shared" ref="AF8:AF14" si="15">IFERROR(SUMIF($B$8:$B$38,AC8,$O$8:$O$38)/SUMIF($B$8:$B$38,AC8,$Q$8:$Q$38),0)</f>
        <v>0.3085106383</v>
      </c>
      <c r="AG8" s="35">
        <f t="shared" ref="AG8:AG14" si="16">IFERROR(SUMIF($B$8:$B$38,AC8,$I$8:$I$38)/SUMIF($B$8:$B$38,AC8,$O$8:$O$38),0)</f>
        <v>23141.31034</v>
      </c>
    </row>
    <row r="9">
      <c r="A9" s="38">
        <v>46205.0</v>
      </c>
      <c r="B9" s="14" t="str">
        <f t="shared" si="2"/>
        <v>木</v>
      </c>
      <c r="C9" s="29">
        <v>300000.0</v>
      </c>
      <c r="D9" s="15">
        <f t="shared" si="3"/>
        <v>600000</v>
      </c>
      <c r="E9" s="29">
        <v>66320.0</v>
      </c>
      <c r="F9" s="29">
        <v>67030.0</v>
      </c>
      <c r="G9" s="29">
        <v>10000.0</v>
      </c>
      <c r="H9" s="29"/>
      <c r="I9" s="15">
        <f t="shared" si="4"/>
        <v>143350</v>
      </c>
      <c r="J9" s="15">
        <f t="shared" si="5"/>
        <v>263290</v>
      </c>
      <c r="K9" s="16">
        <f t="shared" ref="K9:L9" si="6">IF(I9="","",IFERROR(I9/C9,""))</f>
        <v>0.4778333333</v>
      </c>
      <c r="L9" s="16">
        <f t="shared" si="6"/>
        <v>0.4388166667</v>
      </c>
      <c r="M9" s="15">
        <f t="shared" si="7"/>
        <v>-336710</v>
      </c>
      <c r="N9" s="39" t="str">
        <f t="shared" si="8"/>
        <v>▲ 遅れ</v>
      </c>
      <c r="O9" s="31">
        <v>6.0</v>
      </c>
      <c r="P9" s="31">
        <v>6.0</v>
      </c>
      <c r="Q9" s="31">
        <v>18.0</v>
      </c>
      <c r="R9" s="31">
        <v>11.0</v>
      </c>
      <c r="S9" s="31">
        <v>13.0</v>
      </c>
      <c r="T9" s="16">
        <f t="shared" si="9"/>
        <v>0.3333333333</v>
      </c>
      <c r="U9" s="15">
        <f t="shared" si="10"/>
        <v>23891.66667</v>
      </c>
      <c r="V9" s="40">
        <f t="shared" si="11"/>
        <v>1</v>
      </c>
      <c r="W9" s="16">
        <f t="shared" si="12"/>
        <v>0.6111111111</v>
      </c>
      <c r="X9" s="31"/>
      <c r="Y9" s="31">
        <v>8858.0</v>
      </c>
      <c r="Z9" s="29">
        <v>0.0</v>
      </c>
      <c r="AA9" s="33"/>
      <c r="AC9" s="34" t="s">
        <v>66</v>
      </c>
      <c r="AD9" s="35">
        <f t="shared" si="13"/>
        <v>159862.75</v>
      </c>
      <c r="AE9" s="36">
        <f t="shared" si="14"/>
        <v>4</v>
      </c>
      <c r="AF9" s="37">
        <f t="shared" si="15"/>
        <v>0.3815789474</v>
      </c>
      <c r="AG9" s="35">
        <f t="shared" si="16"/>
        <v>22050.03448</v>
      </c>
    </row>
    <row r="10">
      <c r="A10" s="28">
        <v>46206.0</v>
      </c>
      <c r="B10" s="10" t="str">
        <f t="shared" si="2"/>
        <v>金</v>
      </c>
      <c r="C10" s="29">
        <v>300000.0</v>
      </c>
      <c r="D10" s="11">
        <f t="shared" si="3"/>
        <v>900000</v>
      </c>
      <c r="E10" s="29">
        <v>0.0</v>
      </c>
      <c r="F10" s="29">
        <v>97340.0</v>
      </c>
      <c r="G10" s="29"/>
      <c r="H10" s="29"/>
      <c r="I10" s="11">
        <f t="shared" si="4"/>
        <v>97340</v>
      </c>
      <c r="J10" s="11">
        <f t="shared" si="5"/>
        <v>360630</v>
      </c>
      <c r="K10" s="12">
        <f t="shared" ref="K10:L10" si="17">IF(I10="","",IFERROR(I10/C10,""))</f>
        <v>0.3244666667</v>
      </c>
      <c r="L10" s="12">
        <f t="shared" si="17"/>
        <v>0.4007</v>
      </c>
      <c r="M10" s="11">
        <f t="shared" si="7"/>
        <v>-539370</v>
      </c>
      <c r="N10" s="30" t="str">
        <f t="shared" si="8"/>
        <v>▲ 遅れ</v>
      </c>
      <c r="O10" s="31">
        <v>5.0</v>
      </c>
      <c r="P10" s="31">
        <v>5.0</v>
      </c>
      <c r="Q10" s="31">
        <v>11.0</v>
      </c>
      <c r="R10" s="31">
        <v>4.0</v>
      </c>
      <c r="S10" s="31">
        <v>7.0</v>
      </c>
      <c r="T10" s="12">
        <f t="shared" si="9"/>
        <v>0.4545454545</v>
      </c>
      <c r="U10" s="11">
        <f t="shared" si="10"/>
        <v>19468</v>
      </c>
      <c r="V10" s="32">
        <f t="shared" si="11"/>
        <v>1</v>
      </c>
      <c r="W10" s="12">
        <f t="shared" si="12"/>
        <v>0.3636363636</v>
      </c>
      <c r="X10" s="31"/>
      <c r="Y10" s="31">
        <v>8854.0</v>
      </c>
      <c r="Z10" s="29">
        <v>0.0</v>
      </c>
      <c r="AA10" s="33"/>
      <c r="AC10" s="34" t="s">
        <v>67</v>
      </c>
      <c r="AD10" s="35">
        <f t="shared" si="13"/>
        <v>115760</v>
      </c>
      <c r="AE10" s="36">
        <f t="shared" si="14"/>
        <v>5</v>
      </c>
      <c r="AF10" s="37">
        <f t="shared" si="15"/>
        <v>0.2823529412</v>
      </c>
      <c r="AG10" s="35">
        <f t="shared" si="16"/>
        <v>24116.66667</v>
      </c>
    </row>
    <row r="11">
      <c r="A11" s="38">
        <v>46207.0</v>
      </c>
      <c r="B11" s="14" t="str">
        <f t="shared" si="2"/>
        <v>土</v>
      </c>
      <c r="C11" s="29">
        <v>600000.0</v>
      </c>
      <c r="D11" s="15">
        <f t="shared" si="3"/>
        <v>1500000</v>
      </c>
      <c r="E11" s="29">
        <v>78090.0</v>
      </c>
      <c r="F11" s="29">
        <v>305610.0</v>
      </c>
      <c r="G11" s="29"/>
      <c r="H11" s="29"/>
      <c r="I11" s="15">
        <f t="shared" si="4"/>
        <v>383700</v>
      </c>
      <c r="J11" s="15">
        <f t="shared" si="5"/>
        <v>744330</v>
      </c>
      <c r="K11" s="16">
        <f t="shared" ref="K11:L11" si="18">IF(I11="","",IFERROR(I11/C11,""))</f>
        <v>0.6395</v>
      </c>
      <c r="L11" s="16">
        <f t="shared" si="18"/>
        <v>0.49622</v>
      </c>
      <c r="M11" s="15">
        <f t="shared" si="7"/>
        <v>-755670</v>
      </c>
      <c r="N11" s="39" t="str">
        <f t="shared" si="8"/>
        <v>▲ 遅れ</v>
      </c>
      <c r="O11" s="31">
        <v>16.0</v>
      </c>
      <c r="P11" s="31">
        <v>17.0</v>
      </c>
      <c r="Q11" s="31">
        <v>34.0</v>
      </c>
      <c r="R11" s="31">
        <v>18.0</v>
      </c>
      <c r="S11" s="31">
        <v>27.0</v>
      </c>
      <c r="T11" s="16">
        <f t="shared" si="9"/>
        <v>0.4705882353</v>
      </c>
      <c r="U11" s="15">
        <f t="shared" si="10"/>
        <v>23981.25</v>
      </c>
      <c r="V11" s="40">
        <f t="shared" si="11"/>
        <v>1.0625</v>
      </c>
      <c r="W11" s="16">
        <f t="shared" si="12"/>
        <v>0.5294117647</v>
      </c>
      <c r="X11" s="31"/>
      <c r="Y11" s="31">
        <v>8850.0</v>
      </c>
      <c r="Z11" s="29">
        <v>0.0</v>
      </c>
      <c r="AA11" s="33"/>
      <c r="AC11" s="34" t="s">
        <v>68</v>
      </c>
      <c r="AD11" s="35">
        <f t="shared" si="13"/>
        <v>180234.5</v>
      </c>
      <c r="AE11" s="36">
        <f t="shared" si="14"/>
        <v>4</v>
      </c>
      <c r="AF11" s="37">
        <f t="shared" si="15"/>
        <v>0.3734939759</v>
      </c>
      <c r="AG11" s="35">
        <f t="shared" si="16"/>
        <v>23256.06452</v>
      </c>
    </row>
    <row r="12">
      <c r="A12" s="28">
        <v>46208.0</v>
      </c>
      <c r="B12" s="10" t="str">
        <f t="shared" si="2"/>
        <v>日</v>
      </c>
      <c r="C12" s="29">
        <v>600000.0</v>
      </c>
      <c r="D12" s="11">
        <f t="shared" si="3"/>
        <v>2100000</v>
      </c>
      <c r="E12" s="29">
        <v>89520.0</v>
      </c>
      <c r="F12" s="29">
        <v>221630.0</v>
      </c>
      <c r="G12" s="29"/>
      <c r="H12" s="29"/>
      <c r="I12" s="11">
        <f t="shared" si="4"/>
        <v>311150</v>
      </c>
      <c r="J12" s="11">
        <f t="shared" si="5"/>
        <v>1055480</v>
      </c>
      <c r="K12" s="12">
        <f t="shared" ref="K12:L12" si="19">IF(I12="","",IFERROR(I12/C12,""))</f>
        <v>0.5185833333</v>
      </c>
      <c r="L12" s="12">
        <f t="shared" si="19"/>
        <v>0.5026095238</v>
      </c>
      <c r="M12" s="11">
        <f t="shared" si="7"/>
        <v>-1044520</v>
      </c>
      <c r="N12" s="30" t="str">
        <f t="shared" si="8"/>
        <v>▲ 遅れ</v>
      </c>
      <c r="O12" s="31">
        <v>14.0</v>
      </c>
      <c r="P12" s="31">
        <v>16.0</v>
      </c>
      <c r="Q12" s="31">
        <v>68.0</v>
      </c>
      <c r="R12" s="31">
        <v>24.0</v>
      </c>
      <c r="S12" s="31">
        <v>30.0</v>
      </c>
      <c r="T12" s="12">
        <f t="shared" si="9"/>
        <v>0.2058823529</v>
      </c>
      <c r="U12" s="11">
        <f t="shared" si="10"/>
        <v>22225</v>
      </c>
      <c r="V12" s="32">
        <f t="shared" si="11"/>
        <v>1.142857143</v>
      </c>
      <c r="W12" s="12">
        <f t="shared" si="12"/>
        <v>0.3529411765</v>
      </c>
      <c r="X12" s="31"/>
      <c r="Y12" s="31">
        <v>8850.0</v>
      </c>
      <c r="Z12" s="29">
        <v>0.0</v>
      </c>
      <c r="AA12" s="33"/>
      <c r="AC12" s="34" t="s">
        <v>69</v>
      </c>
      <c r="AD12" s="35">
        <f t="shared" si="13"/>
        <v>115610</v>
      </c>
      <c r="AE12" s="36">
        <f t="shared" si="14"/>
        <v>4</v>
      </c>
      <c r="AF12" s="37">
        <f t="shared" si="15"/>
        <v>0.2816901408</v>
      </c>
      <c r="AG12" s="35">
        <f t="shared" si="16"/>
        <v>23122</v>
      </c>
    </row>
    <row r="13">
      <c r="A13" s="38">
        <v>46209.0</v>
      </c>
      <c r="B13" s="14" t="str">
        <f t="shared" si="2"/>
        <v>月</v>
      </c>
      <c r="C13" s="29">
        <v>300000.0</v>
      </c>
      <c r="D13" s="15">
        <f t="shared" si="3"/>
        <v>2400000</v>
      </c>
      <c r="E13" s="29">
        <v>25900.0</v>
      </c>
      <c r="F13" s="29">
        <v>74020.0</v>
      </c>
      <c r="G13" s="29"/>
      <c r="H13" s="29"/>
      <c r="I13" s="15">
        <f t="shared" si="4"/>
        <v>99920</v>
      </c>
      <c r="J13" s="15">
        <f t="shared" si="5"/>
        <v>1155400</v>
      </c>
      <c r="K13" s="16">
        <f t="shared" ref="K13:L13" si="20">IF(I13="","",IFERROR(I13/C13,""))</f>
        <v>0.3330666667</v>
      </c>
      <c r="L13" s="16">
        <f t="shared" si="20"/>
        <v>0.4814166667</v>
      </c>
      <c r="M13" s="15">
        <f t="shared" si="7"/>
        <v>-1244600</v>
      </c>
      <c r="N13" s="39" t="str">
        <f t="shared" si="8"/>
        <v>▲ 遅れ</v>
      </c>
      <c r="O13" s="31">
        <v>4.0</v>
      </c>
      <c r="P13" s="31">
        <v>4.0</v>
      </c>
      <c r="Q13" s="31">
        <v>14.0</v>
      </c>
      <c r="R13" s="31">
        <v>4.0</v>
      </c>
      <c r="S13" s="31">
        <v>8.0</v>
      </c>
      <c r="T13" s="16">
        <f t="shared" si="9"/>
        <v>0.2857142857</v>
      </c>
      <c r="U13" s="15">
        <f t="shared" si="10"/>
        <v>24980</v>
      </c>
      <c r="V13" s="40">
        <f t="shared" si="11"/>
        <v>1</v>
      </c>
      <c r="W13" s="16">
        <f t="shared" si="12"/>
        <v>0.2857142857</v>
      </c>
      <c r="X13" s="31"/>
      <c r="Y13" s="31">
        <v>8839.0</v>
      </c>
      <c r="Z13" s="29">
        <v>0.0</v>
      </c>
      <c r="AA13" s="33"/>
      <c r="AC13" s="34" t="s">
        <v>70</v>
      </c>
      <c r="AD13" s="35">
        <f t="shared" si="13"/>
        <v>350269.25</v>
      </c>
      <c r="AE13" s="36">
        <f t="shared" si="14"/>
        <v>4</v>
      </c>
      <c r="AF13" s="37">
        <f t="shared" si="15"/>
        <v>0.3765432099</v>
      </c>
      <c r="AG13" s="35">
        <f t="shared" si="16"/>
        <v>22968.47541</v>
      </c>
    </row>
    <row r="14">
      <c r="A14" s="28">
        <v>46210.0</v>
      </c>
      <c r="B14" s="10" t="str">
        <f t="shared" si="2"/>
        <v>火</v>
      </c>
      <c r="C14" s="29">
        <v>300000.0</v>
      </c>
      <c r="D14" s="11">
        <f t="shared" si="3"/>
        <v>2700000</v>
      </c>
      <c r="E14" s="29">
        <v>65280.0</v>
      </c>
      <c r="F14" s="29">
        <v>108440.0</v>
      </c>
      <c r="G14" s="29"/>
      <c r="H14" s="29"/>
      <c r="I14" s="11">
        <f t="shared" si="4"/>
        <v>173720</v>
      </c>
      <c r="J14" s="11">
        <f t="shared" si="5"/>
        <v>1329120</v>
      </c>
      <c r="K14" s="12">
        <f t="shared" ref="K14:L14" si="21">IF(I14="","",IFERROR(I14/C14,""))</f>
        <v>0.5790666667</v>
      </c>
      <c r="L14" s="12">
        <f t="shared" si="21"/>
        <v>0.4922666667</v>
      </c>
      <c r="M14" s="11">
        <f t="shared" si="7"/>
        <v>-1370880</v>
      </c>
      <c r="N14" s="30" t="str">
        <f t="shared" si="8"/>
        <v>▲ 遅れ</v>
      </c>
      <c r="O14" s="31">
        <v>8.0</v>
      </c>
      <c r="P14" s="31">
        <v>8.0</v>
      </c>
      <c r="Q14" s="31">
        <v>14.0</v>
      </c>
      <c r="R14" s="31">
        <v>8.0</v>
      </c>
      <c r="S14" s="31">
        <v>15.0</v>
      </c>
      <c r="T14" s="12">
        <f t="shared" si="9"/>
        <v>0.5714285714</v>
      </c>
      <c r="U14" s="11">
        <f t="shared" si="10"/>
        <v>21715</v>
      </c>
      <c r="V14" s="32">
        <f t="shared" si="11"/>
        <v>1</v>
      </c>
      <c r="W14" s="12">
        <f t="shared" si="12"/>
        <v>0.5714285714</v>
      </c>
      <c r="X14" s="31"/>
      <c r="Y14" s="31">
        <v>8841.0</v>
      </c>
      <c r="Z14" s="29">
        <v>0.0</v>
      </c>
      <c r="AA14" s="33"/>
      <c r="AC14" s="34" t="s">
        <v>71</v>
      </c>
      <c r="AD14" s="35">
        <f t="shared" si="13"/>
        <v>275305</v>
      </c>
      <c r="AE14" s="36">
        <f t="shared" si="14"/>
        <v>4</v>
      </c>
      <c r="AF14" s="37">
        <f t="shared" si="15"/>
        <v>0.2117117117</v>
      </c>
      <c r="AG14" s="35">
        <f t="shared" si="16"/>
        <v>23430.21277</v>
      </c>
    </row>
    <row r="15">
      <c r="A15" s="38">
        <v>46211.0</v>
      </c>
      <c r="B15" s="14" t="str">
        <f t="shared" si="2"/>
        <v>水</v>
      </c>
      <c r="C15" s="29">
        <v>300000.0</v>
      </c>
      <c r="D15" s="15">
        <f t="shared" si="3"/>
        <v>3000000</v>
      </c>
      <c r="E15" s="29">
        <v>47620.0</v>
      </c>
      <c r="F15" s="29">
        <v>50320.0</v>
      </c>
      <c r="G15" s="29"/>
      <c r="H15" s="29"/>
      <c r="I15" s="15">
        <f t="shared" si="4"/>
        <v>97940</v>
      </c>
      <c r="J15" s="15">
        <f t="shared" si="5"/>
        <v>1427060</v>
      </c>
      <c r="K15" s="16">
        <f t="shared" ref="K15:L15" si="22">IF(I15="","",IFERROR(I15/C15,""))</f>
        <v>0.3264666667</v>
      </c>
      <c r="L15" s="16">
        <f t="shared" si="22"/>
        <v>0.4756866667</v>
      </c>
      <c r="M15" s="15">
        <f t="shared" si="7"/>
        <v>-1572940</v>
      </c>
      <c r="N15" s="39" t="str">
        <f t="shared" si="8"/>
        <v>▲ 遅れ</v>
      </c>
      <c r="O15" s="31">
        <v>4.0</v>
      </c>
      <c r="P15" s="31">
        <v>4.0</v>
      </c>
      <c r="Q15" s="31">
        <v>12.0</v>
      </c>
      <c r="R15" s="31">
        <v>5.0</v>
      </c>
      <c r="S15" s="31">
        <v>13.0</v>
      </c>
      <c r="T15" s="16">
        <f t="shared" si="9"/>
        <v>0.3333333333</v>
      </c>
      <c r="U15" s="15">
        <f t="shared" si="10"/>
        <v>24485</v>
      </c>
      <c r="V15" s="40">
        <f t="shared" si="11"/>
        <v>1</v>
      </c>
      <c r="W15" s="16">
        <f t="shared" si="12"/>
        <v>0.4166666667</v>
      </c>
      <c r="X15" s="31"/>
      <c r="Y15" s="31">
        <v>8844.0</v>
      </c>
      <c r="Z15" s="29">
        <v>0.0</v>
      </c>
      <c r="AA15" s="33"/>
    </row>
    <row r="16">
      <c r="A16" s="28">
        <v>46212.0</v>
      </c>
      <c r="B16" s="10" t="str">
        <f t="shared" si="2"/>
        <v>木</v>
      </c>
      <c r="C16" s="29">
        <v>300000.0</v>
      </c>
      <c r="D16" s="11">
        <f t="shared" si="3"/>
        <v>3300000</v>
      </c>
      <c r="E16" s="29">
        <v>68620.0</v>
      </c>
      <c r="F16" s="29">
        <v>62230.0</v>
      </c>
      <c r="G16" s="29">
        <v>3000.0</v>
      </c>
      <c r="H16" s="29"/>
      <c r="I16" s="11">
        <f t="shared" si="4"/>
        <v>133850</v>
      </c>
      <c r="J16" s="11">
        <f t="shared" si="5"/>
        <v>1560910</v>
      </c>
      <c r="K16" s="12">
        <f t="shared" ref="K16:L16" si="23">IF(I16="","",IFERROR(I16/C16,""))</f>
        <v>0.4461666667</v>
      </c>
      <c r="L16" s="12">
        <f t="shared" si="23"/>
        <v>0.4730030303</v>
      </c>
      <c r="M16" s="11">
        <f t="shared" si="7"/>
        <v>-1739090</v>
      </c>
      <c r="N16" s="30" t="str">
        <f t="shared" si="8"/>
        <v>▲ 遅れ</v>
      </c>
      <c r="O16" s="31">
        <v>6.0</v>
      </c>
      <c r="P16" s="31">
        <v>7.0</v>
      </c>
      <c r="Q16" s="31">
        <v>21.0</v>
      </c>
      <c r="R16" s="31">
        <v>10.0</v>
      </c>
      <c r="S16" s="31">
        <v>13.0</v>
      </c>
      <c r="T16" s="12">
        <f t="shared" si="9"/>
        <v>0.2857142857</v>
      </c>
      <c r="U16" s="11">
        <f t="shared" si="10"/>
        <v>22308.33333</v>
      </c>
      <c r="V16" s="32">
        <f t="shared" si="11"/>
        <v>1.166666667</v>
      </c>
      <c r="W16" s="12">
        <f t="shared" si="12"/>
        <v>0.4761904762</v>
      </c>
      <c r="X16" s="31"/>
      <c r="Y16" s="31">
        <v>8842.0</v>
      </c>
      <c r="Z16" s="29">
        <v>0.0</v>
      </c>
      <c r="AA16" s="33"/>
      <c r="AC16" s="22" t="s">
        <v>72</v>
      </c>
    </row>
    <row r="17">
      <c r="A17" s="38">
        <v>46213.0</v>
      </c>
      <c r="B17" s="14" t="str">
        <f t="shared" si="2"/>
        <v>金</v>
      </c>
      <c r="C17" s="29">
        <v>300000.0</v>
      </c>
      <c r="D17" s="15">
        <f t="shared" si="3"/>
        <v>3600000</v>
      </c>
      <c r="E17" s="29">
        <v>50320.0</v>
      </c>
      <c r="F17" s="29">
        <v>54830.0</v>
      </c>
      <c r="G17" s="29"/>
      <c r="H17" s="29"/>
      <c r="I17" s="15">
        <f t="shared" si="4"/>
        <v>105150</v>
      </c>
      <c r="J17" s="15">
        <f t="shared" si="5"/>
        <v>1666060</v>
      </c>
      <c r="K17" s="16">
        <f t="shared" ref="K17:L17" si="24">IF(I17="","",IFERROR(I17/C17,""))</f>
        <v>0.3505</v>
      </c>
      <c r="L17" s="16">
        <f t="shared" si="24"/>
        <v>0.4627944444</v>
      </c>
      <c r="M17" s="15">
        <f t="shared" si="7"/>
        <v>-1933940</v>
      </c>
      <c r="N17" s="39" t="str">
        <f t="shared" si="8"/>
        <v>▲ 遅れ</v>
      </c>
      <c r="O17" s="31">
        <v>5.0</v>
      </c>
      <c r="P17" s="31">
        <v>5.0</v>
      </c>
      <c r="Q17" s="31">
        <v>24.0</v>
      </c>
      <c r="R17" s="31">
        <v>7.0</v>
      </c>
      <c r="S17" s="31">
        <v>11.0</v>
      </c>
      <c r="T17" s="16">
        <f t="shared" si="9"/>
        <v>0.2083333333</v>
      </c>
      <c r="U17" s="15">
        <f t="shared" si="10"/>
        <v>21030</v>
      </c>
      <c r="V17" s="40">
        <f t="shared" si="11"/>
        <v>1</v>
      </c>
      <c r="W17" s="16">
        <f t="shared" si="12"/>
        <v>0.2916666667</v>
      </c>
      <c r="X17" s="31"/>
      <c r="Y17" s="31">
        <v>8837.0</v>
      </c>
      <c r="Z17" s="29">
        <v>0.0</v>
      </c>
      <c r="AA17" s="33"/>
    </row>
    <row r="18">
      <c r="A18" s="28">
        <v>46214.0</v>
      </c>
      <c r="B18" s="10" t="str">
        <f t="shared" si="2"/>
        <v>土</v>
      </c>
      <c r="C18" s="29">
        <v>600000.0</v>
      </c>
      <c r="D18" s="11">
        <f t="shared" si="3"/>
        <v>4200000</v>
      </c>
      <c r="E18" s="29">
        <v>209750.0</v>
      </c>
      <c r="F18" s="29">
        <v>213270.0</v>
      </c>
      <c r="G18" s="29"/>
      <c r="H18" s="29"/>
      <c r="I18" s="11">
        <f t="shared" si="4"/>
        <v>423020</v>
      </c>
      <c r="J18" s="11">
        <f t="shared" si="5"/>
        <v>2089080</v>
      </c>
      <c r="K18" s="12">
        <f t="shared" ref="K18:L18" si="25">IF(I18="","",IFERROR(I18/C18,""))</f>
        <v>0.7050333333</v>
      </c>
      <c r="L18" s="12">
        <f t="shared" si="25"/>
        <v>0.4974</v>
      </c>
      <c r="M18" s="11">
        <f t="shared" si="7"/>
        <v>-2110920</v>
      </c>
      <c r="N18" s="30" t="str">
        <f t="shared" si="8"/>
        <v>▲ 遅れ</v>
      </c>
      <c r="O18" s="31">
        <v>19.0</v>
      </c>
      <c r="P18" s="31">
        <v>21.0</v>
      </c>
      <c r="Q18" s="31">
        <v>45.0</v>
      </c>
      <c r="R18" s="31">
        <v>14.0</v>
      </c>
      <c r="S18" s="31">
        <v>18.0</v>
      </c>
      <c r="T18" s="12">
        <f t="shared" si="9"/>
        <v>0.4222222222</v>
      </c>
      <c r="U18" s="11">
        <f t="shared" si="10"/>
        <v>22264.21053</v>
      </c>
      <c r="V18" s="32">
        <f t="shared" si="11"/>
        <v>1.105263158</v>
      </c>
      <c r="W18" s="12">
        <f t="shared" si="12"/>
        <v>0.3111111111</v>
      </c>
      <c r="X18" s="31">
        <v>0.0</v>
      </c>
      <c r="Y18" s="31">
        <v>8840.0</v>
      </c>
      <c r="Z18" s="29">
        <v>0.0</v>
      </c>
      <c r="AA18" s="33"/>
      <c r="AC18" s="23" t="s">
        <v>73</v>
      </c>
      <c r="AJ18" s="22" t="s">
        <v>101</v>
      </c>
      <c r="AK18" s="41">
        <f>$A$8+MOD(2-WEEKDAY($A$8,2)+7,7)</f>
        <v>46210</v>
      </c>
    </row>
    <row r="19">
      <c r="A19" s="38">
        <v>46215.0</v>
      </c>
      <c r="B19" s="14" t="str">
        <f t="shared" si="2"/>
        <v>日</v>
      </c>
      <c r="C19" s="29">
        <v>600000.0</v>
      </c>
      <c r="D19" s="15">
        <f t="shared" si="3"/>
        <v>4800000</v>
      </c>
      <c r="E19" s="29">
        <v>140470.0</v>
      </c>
      <c r="F19" s="29">
        <v>142550.0</v>
      </c>
      <c r="G19" s="29">
        <v>20000.0</v>
      </c>
      <c r="H19" s="29"/>
      <c r="I19" s="15">
        <f t="shared" si="4"/>
        <v>303020</v>
      </c>
      <c r="J19" s="15">
        <f t="shared" si="5"/>
        <v>2392100</v>
      </c>
      <c r="K19" s="16">
        <f t="shared" ref="K19:L19" si="26">IF(I19="","",IFERROR(I19/C19,""))</f>
        <v>0.5050333333</v>
      </c>
      <c r="L19" s="16">
        <f t="shared" si="26"/>
        <v>0.4983541667</v>
      </c>
      <c r="M19" s="15">
        <f t="shared" si="7"/>
        <v>-2407900</v>
      </c>
      <c r="N19" s="39" t="str">
        <f t="shared" si="8"/>
        <v>▲ 遅れ</v>
      </c>
      <c r="O19" s="31">
        <v>12.0</v>
      </c>
      <c r="P19" s="31">
        <v>13.0</v>
      </c>
      <c r="Q19" s="31">
        <v>59.0</v>
      </c>
      <c r="R19" s="31">
        <v>21.0</v>
      </c>
      <c r="S19" s="31">
        <v>28.0</v>
      </c>
      <c r="T19" s="16">
        <f t="shared" si="9"/>
        <v>0.2033898305</v>
      </c>
      <c r="U19" s="15">
        <f t="shared" si="10"/>
        <v>25251.66667</v>
      </c>
      <c r="V19" s="40">
        <f t="shared" si="11"/>
        <v>1.083333333</v>
      </c>
      <c r="W19" s="16">
        <f t="shared" si="12"/>
        <v>0.3559322034</v>
      </c>
      <c r="X19" s="31">
        <v>0.0</v>
      </c>
      <c r="Y19" s="31">
        <v>8837.0</v>
      </c>
      <c r="Z19" s="29">
        <v>0.0</v>
      </c>
      <c r="AA19" s="33"/>
      <c r="AC19" s="27" t="s">
        <v>75</v>
      </c>
      <c r="AD19" s="27" t="s">
        <v>76</v>
      </c>
      <c r="AE19" s="27" t="s">
        <v>77</v>
      </c>
      <c r="AF19" s="27" t="s">
        <v>16</v>
      </c>
      <c r="AG19" s="27" t="s">
        <v>17</v>
      </c>
      <c r="AH19" s="27" t="s">
        <v>43</v>
      </c>
      <c r="AI19" s="27" t="s">
        <v>44</v>
      </c>
    </row>
    <row r="20">
      <c r="A20" s="28">
        <v>46216.0</v>
      </c>
      <c r="B20" s="10" t="str">
        <f t="shared" si="2"/>
        <v>月</v>
      </c>
      <c r="C20" s="29">
        <v>300000.0</v>
      </c>
      <c r="D20" s="11">
        <f t="shared" si="3"/>
        <v>5100000</v>
      </c>
      <c r="E20" s="29">
        <v>24310.0</v>
      </c>
      <c r="F20" s="29">
        <v>45420.0</v>
      </c>
      <c r="G20" s="29"/>
      <c r="H20" s="29"/>
      <c r="I20" s="11">
        <f t="shared" si="4"/>
        <v>69730</v>
      </c>
      <c r="J20" s="11">
        <f t="shared" si="5"/>
        <v>2461830</v>
      </c>
      <c r="K20" s="12">
        <f t="shared" ref="K20:L20" si="27">IF(I20="","",IFERROR(I20/C20,""))</f>
        <v>0.2324333333</v>
      </c>
      <c r="L20" s="12">
        <f t="shared" si="27"/>
        <v>0.4827117647</v>
      </c>
      <c r="M20" s="11">
        <f t="shared" si="7"/>
        <v>-2638170</v>
      </c>
      <c r="N20" s="30" t="str">
        <f t="shared" si="8"/>
        <v>▲ 遅れ</v>
      </c>
      <c r="O20" s="31">
        <v>3.0</v>
      </c>
      <c r="P20" s="31">
        <v>3.0</v>
      </c>
      <c r="Q20" s="31">
        <v>21.0</v>
      </c>
      <c r="R20" s="31">
        <v>6.0</v>
      </c>
      <c r="S20" s="31">
        <v>7.0</v>
      </c>
      <c r="T20" s="12">
        <f t="shared" si="9"/>
        <v>0.1428571429</v>
      </c>
      <c r="U20" s="11">
        <f t="shared" si="10"/>
        <v>23243.33333</v>
      </c>
      <c r="V20" s="32">
        <f t="shared" si="11"/>
        <v>1</v>
      </c>
      <c r="W20" s="12">
        <f t="shared" si="12"/>
        <v>0.2857142857</v>
      </c>
      <c r="X20" s="31">
        <v>0.0</v>
      </c>
      <c r="Y20" s="31">
        <v>8833.0</v>
      </c>
      <c r="Z20" s="29">
        <v>0.0</v>
      </c>
      <c r="AA20" s="33"/>
      <c r="AC20" s="36">
        <v>1.0</v>
      </c>
      <c r="AD20" s="42" t="str">
        <f>IF($AK$18+7*(1-1)&gt;$A$38,"",TEXT($AK$18+7*(1-1),"m/d")&amp;"-"&amp;TEXT($AK$18+7*(1-1)+6,"m/d"))</f>
        <v>7/7-7/13</v>
      </c>
      <c r="AE20" s="35">
        <f>IF($AD20="","",(SUMIFS($I$8:$I$38,$A$8:$A$38,"&gt;="&amp;$AK$18+7*(1-1),$A$8:$A$38,"&lt;="&amp;$AK$18+7*(1-1)+6)+SUMIFS('2026年08月'!$I$8:$I$38,'2026年08月'!$A$8:$A$38,"&gt;="&amp;$AK$18+7*(1-1),'2026年08月'!$A$8:$A$38,"&lt;="&amp;$AK$18+7*(1-1)+6)))</f>
        <v>1306430</v>
      </c>
      <c r="AF20" s="37">
        <f>IF($AD20="","",IFERROR((SUMIFS($O$8:$O$38,$A$8:$A$38,"&gt;="&amp;$AK$18+7*(1-1),$A$8:$A$38,"&lt;="&amp;$AK$18+7*(1-1)+6)+SUMIFS('2026年08月'!$O$8:$O$38,'2026年08月'!$A$8:$A$38,"&gt;="&amp;$AK$18+7*(1-1),'2026年08月'!$A$8:$A$38,"&lt;="&amp;$AK$18+7*(1-1)+6))/(SUMIFS($Q$8:$Q$38,$A$8:$A$38,"&gt;="&amp;$AK$18+7*(1-1),$A$8:$A$38,"&lt;="&amp;$AK$18+7*(1-1)+6)+SUMIFS('2026年08月'!$Q$8:$Q$38,'2026年08月'!$A$8:$A$38,"&gt;="&amp;$AK$18+7*(1-1),'2026年08月'!$A$8:$A$38,"&lt;="&amp;$AK$18+7*(1-1)+6)),""))</f>
        <v>0.2908163265</v>
      </c>
      <c r="AG20" s="35">
        <f>IF($AD20="","",IFERROR((SUMIFS($I$8:$I$38,$A$8:$A$38,"&gt;="&amp;$AK$18+7*(1-1),$A$8:$A$38,"&lt;="&amp;$AK$18+7*(1-1)+6)+SUMIFS('2026年08月'!$I$8:$I$38,'2026年08月'!$A$8:$A$38,"&gt;="&amp;$AK$18+7*(1-1),'2026年08月'!$A$8:$A$38,"&lt;="&amp;$AK$18+7*(1-1)+6))/(SUMIFS($O$8:$O$38,$A$8:$A$38,"&gt;="&amp;$AK$18+7*(1-1),$A$8:$A$38,"&lt;="&amp;$AK$18+7*(1-1)+6)+SUMIFS('2026年08月'!$O$8:$O$38,'2026年08月'!$A$8:$A$38,"&gt;="&amp;$AK$18+7*(1-1),'2026年08月'!$A$8:$A$38,"&lt;="&amp;$AK$18+7*(1-1)+6)),""))</f>
        <v>22919.82456</v>
      </c>
      <c r="AH20" s="43">
        <f>IF($AD20="","",IFERROR((SUMIFS($P$8:$P$38,$A$8:$A$38,"&gt;="&amp;$AK$18+7*(1-1),$A$8:$A$38,"&lt;="&amp;$AK$18+7*(1-1)+6)+SUMIFS('2026年08月'!$P$8:$P$38,'2026年08月'!$A$8:$A$38,"&gt;="&amp;$AK$18+7*(1-1),'2026年08月'!$A$8:$A$38,"&lt;="&amp;$AK$18+7*(1-1)+6))/(SUMIFS($O$8:$O$38,$A$8:$A$38,"&gt;="&amp;$AK$18+7*(1-1),$A$8:$A$38,"&lt;="&amp;$AK$18+7*(1-1)+6)+SUMIFS('2026年08月'!$O$8:$O$38,'2026年08月'!$A$8:$A$38,"&gt;="&amp;$AK$18+7*(1-1),'2026年08月'!$A$8:$A$38,"&lt;="&amp;$AK$18+7*(1-1)+6)),""))</f>
        <v>1.070175439</v>
      </c>
      <c r="AI20" s="37">
        <f>IF($AD20="","",IFERROR((SUMIFS($R$8:$R$38,$A$8:$A$38,"&gt;="&amp;$AK$18+7*(1-1),$A$8:$A$38,"&lt;="&amp;$AK$18+7*(1-1)+6)+SUMIFS('2026年08月'!$R$8:$R$38,'2026年08月'!$A$8:$A$38,"&gt;="&amp;$AK$18+7*(1-1),'2026年08月'!$A$8:$A$38,"&lt;="&amp;$AK$18+7*(1-1)+6))/(SUMIFS($Q$8:$Q$38,$A$8:$A$38,"&gt;="&amp;$AK$18+7*(1-1),$A$8:$A$38,"&lt;="&amp;$AK$18+7*(1-1)+6)+SUMIFS('2026年08月'!$Q$8:$Q$38,'2026年08月'!$A$8:$A$38,"&gt;="&amp;$AK$18+7*(1-1),'2026年08月'!$A$8:$A$38,"&lt;="&amp;$AK$18+7*(1-1)+6)),""))</f>
        <v>0.362244898</v>
      </c>
    </row>
    <row r="21" ht="15.75" customHeight="1">
      <c r="A21" s="38">
        <v>46217.0</v>
      </c>
      <c r="B21" s="14" t="str">
        <f t="shared" si="2"/>
        <v>火</v>
      </c>
      <c r="C21" s="29">
        <v>300000.0</v>
      </c>
      <c r="D21" s="15">
        <f t="shared" si="3"/>
        <v>5400000</v>
      </c>
      <c r="E21" s="29">
        <v>92880.0</v>
      </c>
      <c r="F21" s="29">
        <v>69730.0</v>
      </c>
      <c r="G21" s="29"/>
      <c r="H21" s="29"/>
      <c r="I21" s="15">
        <f t="shared" si="4"/>
        <v>162610</v>
      </c>
      <c r="J21" s="15">
        <f t="shared" si="5"/>
        <v>2624440</v>
      </c>
      <c r="K21" s="16">
        <f t="shared" ref="K21:L21" si="28">IF(I21="","",IFERROR(I21/C21,""))</f>
        <v>0.5420333333</v>
      </c>
      <c r="L21" s="16">
        <f t="shared" si="28"/>
        <v>0.4860074074</v>
      </c>
      <c r="M21" s="15">
        <f t="shared" si="7"/>
        <v>-2775560</v>
      </c>
      <c r="N21" s="39" t="str">
        <f t="shared" si="8"/>
        <v>▲ 遅れ</v>
      </c>
      <c r="O21" s="31">
        <v>8.0</v>
      </c>
      <c r="P21" s="31">
        <v>9.0</v>
      </c>
      <c r="Q21" s="31">
        <v>18.0</v>
      </c>
      <c r="R21" s="31">
        <v>6.0</v>
      </c>
      <c r="S21" s="31">
        <v>10.0</v>
      </c>
      <c r="T21" s="16">
        <f t="shared" si="9"/>
        <v>0.4444444444</v>
      </c>
      <c r="U21" s="15">
        <f t="shared" si="10"/>
        <v>20326.25</v>
      </c>
      <c r="V21" s="40">
        <f t="shared" si="11"/>
        <v>1.125</v>
      </c>
      <c r="W21" s="16">
        <f t="shared" si="12"/>
        <v>0.3333333333</v>
      </c>
      <c r="X21" s="31">
        <v>0.0</v>
      </c>
      <c r="Y21" s="31">
        <v>8827.0</v>
      </c>
      <c r="Z21" s="29">
        <v>0.0</v>
      </c>
      <c r="AA21" s="33"/>
      <c r="AC21" s="36">
        <v>2.0</v>
      </c>
      <c r="AD21" s="42" t="str">
        <f>IF($AK$18+7*(2-1)&gt;$A$38,"",TEXT($AK$18+7*(2-1),"m/d")&amp;"-"&amp;TEXT($AK$18+7*(2-1)+6,"m/d"))</f>
        <v>7/14-7/20</v>
      </c>
      <c r="AE21" s="35">
        <f>IF($AD21="","",(SUMIFS($I$8:$I$38,$A$8:$A$38,"&gt;="&amp;$AK$18+7*(2-1),$A$8:$A$38,"&lt;="&amp;$AK$18+7*(2-1)+6)+SUMIFS('2026年08月'!$I$8:$I$38,'2026年08月'!$A$8:$A$38,"&gt;="&amp;$AK$18+7*(2-1),'2026年08月'!$A$8:$A$38,"&lt;="&amp;$AK$18+7*(2-1)+6)))</f>
        <v>1758734</v>
      </c>
      <c r="AF21" s="37">
        <f>IF($AD21="","",IFERROR((SUMIFS($O$8:$O$38,$A$8:$A$38,"&gt;="&amp;$AK$18+7*(2-1),$A$8:$A$38,"&lt;="&amp;$AK$18+7*(2-1)+6)+SUMIFS('2026年08月'!$O$8:$O$38,'2026年08月'!$A$8:$A$38,"&gt;="&amp;$AK$18+7*(2-1),'2026年08月'!$A$8:$A$38,"&lt;="&amp;$AK$18+7*(2-1)+6))/(SUMIFS($Q$8:$Q$38,$A$8:$A$38,"&gt;="&amp;$AK$18+7*(2-1),$A$8:$A$38,"&lt;="&amp;$AK$18+7*(2-1)+6)+SUMIFS('2026年08月'!$Q$8:$Q$38,'2026年08月'!$A$8:$A$38,"&gt;="&amp;$AK$18+7*(2-1),'2026年08月'!$A$8:$A$38,"&lt;="&amp;$AK$18+7*(2-1)+6)),""))</f>
        <v>0.3657407407</v>
      </c>
      <c r="AG21" s="35">
        <f>IF($AD21="","",IFERROR((SUMIFS($I$8:$I$38,$A$8:$A$38,"&gt;="&amp;$AK$18+7*(2-1),$A$8:$A$38,"&lt;="&amp;$AK$18+7*(2-1)+6)+SUMIFS('2026年08月'!$I$8:$I$38,'2026年08月'!$A$8:$A$38,"&gt;="&amp;$AK$18+7*(2-1),'2026年08月'!$A$8:$A$38,"&lt;="&amp;$AK$18+7*(2-1)+6))/(SUMIFS($O$8:$O$38,$A$8:$A$38,"&gt;="&amp;$AK$18+7*(2-1),$A$8:$A$38,"&lt;="&amp;$AK$18+7*(2-1)+6)+SUMIFS('2026年08月'!$O$8:$O$38,'2026年08月'!$A$8:$A$38,"&gt;="&amp;$AK$18+7*(2-1),'2026年08月'!$A$8:$A$38,"&lt;="&amp;$AK$18+7*(2-1)+6)),""))</f>
        <v>22262.4557</v>
      </c>
      <c r="AH21" s="43">
        <f>IF($AD21="","",IFERROR((SUMIFS($P$8:$P$38,$A$8:$A$38,"&gt;="&amp;$AK$18+7*(2-1),$A$8:$A$38,"&lt;="&amp;$AK$18+7*(2-1)+6)+SUMIFS('2026年08月'!$P$8:$P$38,'2026年08月'!$A$8:$A$38,"&gt;="&amp;$AK$18+7*(2-1),'2026年08月'!$A$8:$A$38,"&lt;="&amp;$AK$18+7*(2-1)+6))/(SUMIFS($O$8:$O$38,$A$8:$A$38,"&gt;="&amp;$AK$18+7*(2-1),$A$8:$A$38,"&lt;="&amp;$AK$18+7*(2-1)+6)+SUMIFS('2026年08月'!$O$8:$O$38,'2026年08月'!$A$8:$A$38,"&gt;="&amp;$AK$18+7*(2-1),'2026年08月'!$A$8:$A$38,"&lt;="&amp;$AK$18+7*(2-1)+6)),""))</f>
        <v>1.088607595</v>
      </c>
      <c r="AI21" s="37">
        <f>IF($AD21="","",IFERROR((SUMIFS($R$8:$R$38,$A$8:$A$38,"&gt;="&amp;$AK$18+7*(2-1),$A$8:$A$38,"&lt;="&amp;$AK$18+7*(2-1)+6)+SUMIFS('2026年08月'!$R$8:$R$38,'2026年08月'!$A$8:$A$38,"&gt;="&amp;$AK$18+7*(2-1),'2026年08月'!$A$8:$A$38,"&lt;="&amp;$AK$18+7*(2-1)+6))/(SUMIFS($Q$8:$Q$38,$A$8:$A$38,"&gt;="&amp;$AK$18+7*(2-1),$A$8:$A$38,"&lt;="&amp;$AK$18+7*(2-1)+6)+SUMIFS('2026年08月'!$Q$8:$Q$38,'2026年08月'!$A$8:$A$38,"&gt;="&amp;$AK$18+7*(2-1),'2026年08月'!$A$8:$A$38,"&lt;="&amp;$AK$18+7*(2-1)+6)),""))</f>
        <v>0.4305555556</v>
      </c>
    </row>
    <row r="22" ht="15.75" customHeight="1">
      <c r="A22" s="28">
        <v>46218.0</v>
      </c>
      <c r="B22" s="10" t="str">
        <f t="shared" si="2"/>
        <v>水</v>
      </c>
      <c r="C22" s="29">
        <v>300000.0</v>
      </c>
      <c r="D22" s="11">
        <f t="shared" si="3"/>
        <v>5700000</v>
      </c>
      <c r="E22" s="29">
        <v>70010.0</v>
      </c>
      <c r="F22" s="29">
        <v>87440.0</v>
      </c>
      <c r="G22" s="29"/>
      <c r="H22" s="29"/>
      <c r="I22" s="11">
        <f t="shared" si="4"/>
        <v>157450</v>
      </c>
      <c r="J22" s="11">
        <f t="shared" si="5"/>
        <v>2781890</v>
      </c>
      <c r="K22" s="12">
        <f t="shared" ref="K22:L22" si="29">IF(I22="","",IFERROR(I22/C22,""))</f>
        <v>0.5248333333</v>
      </c>
      <c r="L22" s="12">
        <f t="shared" si="29"/>
        <v>0.4880508772</v>
      </c>
      <c r="M22" s="11">
        <f t="shared" si="7"/>
        <v>-2918110</v>
      </c>
      <c r="N22" s="30" t="str">
        <f t="shared" si="8"/>
        <v>▲ 遅れ</v>
      </c>
      <c r="O22" s="31">
        <v>7.0</v>
      </c>
      <c r="P22" s="31">
        <v>8.0</v>
      </c>
      <c r="Q22" s="31">
        <v>20.0</v>
      </c>
      <c r="R22" s="31">
        <v>8.0</v>
      </c>
      <c r="S22" s="31">
        <v>12.0</v>
      </c>
      <c r="T22" s="12">
        <f t="shared" si="9"/>
        <v>0.35</v>
      </c>
      <c r="U22" s="11">
        <f t="shared" si="10"/>
        <v>22492.85714</v>
      </c>
      <c r="V22" s="32">
        <f t="shared" si="11"/>
        <v>1.142857143</v>
      </c>
      <c r="W22" s="12">
        <f t="shared" si="12"/>
        <v>0.4</v>
      </c>
      <c r="X22" s="31"/>
      <c r="Y22" s="31">
        <v>8826.0</v>
      </c>
      <c r="Z22" s="29">
        <v>0.0</v>
      </c>
      <c r="AA22" s="33"/>
      <c r="AC22" s="36">
        <v>3.0</v>
      </c>
      <c r="AD22" s="42" t="str">
        <f>IF($AK$18+7*(3-1)&gt;$A$38,"",TEXT($AK$18+7*(3-1),"m/d")&amp;"-"&amp;TEXT($AK$18+7*(3-1)+6,"m/d"))</f>
        <v>7/21-7/27</v>
      </c>
      <c r="AE22" s="35">
        <f>IF($AD22="","",(SUMIFS($I$8:$I$38,$A$8:$A$38,"&gt;="&amp;$AK$18+7*(3-1),$A$8:$A$38,"&lt;="&amp;$AK$18+7*(3-1)+6)+SUMIFS('2026年08月'!$I$8:$I$38,'2026年08月'!$A$8:$A$38,"&gt;="&amp;$AK$18+7*(3-1),'2026年08月'!$A$8:$A$38,"&lt;="&amp;$AK$18+7*(3-1)+6)))</f>
        <v>1106070</v>
      </c>
      <c r="AF22" s="37">
        <f>IF($AD22="","",IFERROR((SUMIFS($O$8:$O$38,$A$8:$A$38,"&gt;="&amp;$AK$18+7*(3-1),$A$8:$A$38,"&lt;="&amp;$AK$18+7*(3-1)+6)+SUMIFS('2026年08月'!$O$8:$O$38,'2026年08月'!$A$8:$A$38,"&gt;="&amp;$AK$18+7*(3-1),'2026年08月'!$A$8:$A$38,"&lt;="&amp;$AK$18+7*(3-1)+6))/(SUMIFS($Q$8:$Q$38,$A$8:$A$38,"&gt;="&amp;$AK$18+7*(3-1),$A$8:$A$38,"&lt;="&amp;$AK$18+7*(3-1)+6)+SUMIFS('2026年08月'!$Q$8:$Q$38,'2026年08月'!$A$8:$A$38,"&gt;="&amp;$AK$18+7*(3-1),'2026年08月'!$A$8:$A$38,"&lt;="&amp;$AK$18+7*(3-1)+6)),""))</f>
        <v>0.2601156069</v>
      </c>
      <c r="AG22" s="35">
        <f>IF($AD22="","",IFERROR((SUMIFS($I$8:$I$38,$A$8:$A$38,"&gt;="&amp;$AK$18+7*(3-1),$A$8:$A$38,"&lt;="&amp;$AK$18+7*(3-1)+6)+SUMIFS('2026年08月'!$I$8:$I$38,'2026年08月'!$A$8:$A$38,"&gt;="&amp;$AK$18+7*(3-1),'2026年08月'!$A$8:$A$38,"&lt;="&amp;$AK$18+7*(3-1)+6))/(SUMIFS($O$8:$O$38,$A$8:$A$38,"&gt;="&amp;$AK$18+7*(3-1),$A$8:$A$38,"&lt;="&amp;$AK$18+7*(3-1)+6)+SUMIFS('2026年08月'!$O$8:$O$38,'2026年08月'!$A$8:$A$38,"&gt;="&amp;$AK$18+7*(3-1),'2026年08月'!$A$8:$A$38,"&lt;="&amp;$AK$18+7*(3-1)+6)),""))</f>
        <v>24579.33333</v>
      </c>
      <c r="AH22" s="43">
        <f>IF($AD22="","",IFERROR((SUMIFS($P$8:$P$38,$A$8:$A$38,"&gt;="&amp;$AK$18+7*(3-1),$A$8:$A$38,"&lt;="&amp;$AK$18+7*(3-1)+6)+SUMIFS('2026年08月'!$P$8:$P$38,'2026年08月'!$A$8:$A$38,"&gt;="&amp;$AK$18+7*(3-1),'2026年08月'!$A$8:$A$38,"&lt;="&amp;$AK$18+7*(3-1)+6))/(SUMIFS($O$8:$O$38,$A$8:$A$38,"&gt;="&amp;$AK$18+7*(3-1),$A$8:$A$38,"&lt;="&amp;$AK$18+7*(3-1)+6)+SUMIFS('2026年08月'!$O$8:$O$38,'2026年08月'!$A$8:$A$38,"&gt;="&amp;$AK$18+7*(3-1),'2026年08月'!$A$8:$A$38,"&lt;="&amp;$AK$18+7*(3-1)+6)),""))</f>
        <v>1.155555556</v>
      </c>
      <c r="AI22" s="37">
        <f>IF($AD22="","",IFERROR((SUMIFS($R$8:$R$38,$A$8:$A$38,"&gt;="&amp;$AK$18+7*(3-1),$A$8:$A$38,"&lt;="&amp;$AK$18+7*(3-1)+6)+SUMIFS('2026年08月'!$R$8:$R$38,'2026年08月'!$A$8:$A$38,"&gt;="&amp;$AK$18+7*(3-1),'2026年08月'!$A$8:$A$38,"&lt;="&amp;$AK$18+7*(3-1)+6))/(SUMIFS($Q$8:$Q$38,$A$8:$A$38,"&gt;="&amp;$AK$18+7*(3-1),$A$8:$A$38,"&lt;="&amp;$AK$18+7*(3-1)+6)+SUMIFS('2026年08月'!$Q$8:$Q$38,'2026年08月'!$A$8:$A$38,"&gt;="&amp;$AK$18+7*(3-1),'2026年08月'!$A$8:$A$38,"&lt;="&amp;$AK$18+7*(3-1)+6)),""))</f>
        <v>0.3352601156</v>
      </c>
    </row>
    <row r="23" ht="15.75" customHeight="1">
      <c r="A23" s="38">
        <v>46219.0</v>
      </c>
      <c r="B23" s="14" t="str">
        <f t="shared" si="2"/>
        <v>木</v>
      </c>
      <c r="C23" s="29">
        <v>300000.0</v>
      </c>
      <c r="D23" s="15">
        <f t="shared" si="3"/>
        <v>6000000</v>
      </c>
      <c r="E23" s="29">
        <v>90240.0</v>
      </c>
      <c r="F23" s="29">
        <v>142140.0</v>
      </c>
      <c r="G23" s="29"/>
      <c r="H23" s="29"/>
      <c r="I23" s="15">
        <f t="shared" si="4"/>
        <v>232380</v>
      </c>
      <c r="J23" s="15">
        <f t="shared" si="5"/>
        <v>3014270</v>
      </c>
      <c r="K23" s="16">
        <f t="shared" ref="K23:L23" si="30">IF(I23="","",IFERROR(I23/C23,""))</f>
        <v>0.7746</v>
      </c>
      <c r="L23" s="16">
        <f t="shared" si="30"/>
        <v>0.5023783333</v>
      </c>
      <c r="M23" s="15">
        <f t="shared" si="7"/>
        <v>-2985730</v>
      </c>
      <c r="N23" s="39" t="str">
        <f t="shared" si="8"/>
        <v>▲ 遅れ</v>
      </c>
      <c r="O23" s="31">
        <v>11.0</v>
      </c>
      <c r="P23" s="31">
        <v>11.0</v>
      </c>
      <c r="Q23" s="31">
        <v>20.0</v>
      </c>
      <c r="R23" s="31">
        <v>11.0</v>
      </c>
      <c r="S23" s="31">
        <v>11.0</v>
      </c>
      <c r="T23" s="16">
        <f t="shared" si="9"/>
        <v>0.55</v>
      </c>
      <c r="U23" s="15">
        <f t="shared" si="10"/>
        <v>21125.45455</v>
      </c>
      <c r="V23" s="40">
        <f t="shared" si="11"/>
        <v>1</v>
      </c>
      <c r="W23" s="16">
        <f t="shared" si="12"/>
        <v>0.55</v>
      </c>
      <c r="X23" s="31">
        <v>0.0</v>
      </c>
      <c r="Y23" s="31">
        <v>8822.0</v>
      </c>
      <c r="Z23" s="29">
        <v>0.0</v>
      </c>
      <c r="AA23" s="33"/>
      <c r="AC23" s="36">
        <v>4.0</v>
      </c>
      <c r="AD23" s="42" t="str">
        <f>IF($AK$18+7*(4-1)&gt;$A$38,"",TEXT($AK$18+7*(4-1),"m/d")&amp;"-"&amp;TEXT($AK$18+7*(4-1)+6,"m/d"))</f>
        <v>7/28-8/3</v>
      </c>
      <c r="AE23" s="35">
        <f>IF($AD23="","",(SUMIFS($I$8:$I$38,$A$8:$A$38,"&gt;="&amp;$AK$18+7*(4-1),$A$8:$A$38,"&lt;="&amp;$AK$18+7*(4-1)+6)+SUMIFS('2026年08月'!$I$8:$I$38,'2026年08月'!$A$8:$A$38,"&gt;="&amp;$AK$18+7*(4-1),'2026年08月'!$A$8:$A$38,"&lt;="&amp;$AK$18+7*(4-1)+6)))</f>
        <v>723289</v>
      </c>
      <c r="AF23" s="37">
        <f>IF($AD23="","",IFERROR((SUMIFS($O$8:$O$38,$A$8:$A$38,"&gt;="&amp;$AK$18+7*(4-1),$A$8:$A$38,"&lt;="&amp;$AK$18+7*(4-1)+6)+SUMIFS('2026年08月'!$O$8:$O$38,'2026年08月'!$A$8:$A$38,"&gt;="&amp;$AK$18+7*(4-1),'2026年08月'!$A$8:$A$38,"&lt;="&amp;$AK$18+7*(4-1)+6))/(SUMIFS($Q$8:$Q$38,$A$8:$A$38,"&gt;="&amp;$AK$18+7*(4-1),$A$8:$A$38,"&lt;="&amp;$AK$18+7*(4-1)+6)+SUMIFS('2026年08月'!$Q$8:$Q$38,'2026年08月'!$A$8:$A$38,"&gt;="&amp;$AK$18+7*(4-1),'2026年08月'!$A$8:$A$38,"&lt;="&amp;$AK$18+7*(4-1)+6)),""))</f>
        <v>0.2461538462</v>
      </c>
      <c r="AG23" s="35">
        <f>IF($AD23="","",IFERROR((SUMIFS($I$8:$I$38,$A$8:$A$38,"&gt;="&amp;$AK$18+7*(4-1),$A$8:$A$38,"&lt;="&amp;$AK$18+7*(4-1)+6)+SUMIFS('2026年08月'!$I$8:$I$38,'2026年08月'!$A$8:$A$38,"&gt;="&amp;$AK$18+7*(4-1),'2026年08月'!$A$8:$A$38,"&lt;="&amp;$AK$18+7*(4-1)+6))/(SUMIFS($O$8:$O$38,$A$8:$A$38,"&gt;="&amp;$AK$18+7*(4-1),$A$8:$A$38,"&lt;="&amp;$AK$18+7*(4-1)+6)+SUMIFS('2026年08月'!$O$8:$O$38,'2026年08月'!$A$8:$A$38,"&gt;="&amp;$AK$18+7*(4-1),'2026年08月'!$A$8:$A$38,"&lt;="&amp;$AK$18+7*(4-1)+6)),""))</f>
        <v>22602.78125</v>
      </c>
      <c r="AH23" s="43">
        <f>IF($AD23="","",IFERROR((SUMIFS($P$8:$P$38,$A$8:$A$38,"&gt;="&amp;$AK$18+7*(4-1),$A$8:$A$38,"&lt;="&amp;$AK$18+7*(4-1)+6)+SUMIFS('2026年08月'!$P$8:$P$38,'2026年08月'!$A$8:$A$38,"&gt;="&amp;$AK$18+7*(4-1),'2026年08月'!$A$8:$A$38,"&lt;="&amp;$AK$18+7*(4-1)+6))/(SUMIFS($O$8:$O$38,$A$8:$A$38,"&gt;="&amp;$AK$18+7*(4-1),$A$8:$A$38,"&lt;="&amp;$AK$18+7*(4-1)+6)+SUMIFS('2026年08月'!$O$8:$O$38,'2026年08月'!$A$8:$A$38,"&gt;="&amp;$AK$18+7*(4-1),'2026年08月'!$A$8:$A$38,"&lt;="&amp;$AK$18+7*(4-1)+6)),""))</f>
        <v>1.03125</v>
      </c>
      <c r="AI23" s="37">
        <f>IF($AD23="","",IFERROR((SUMIFS($R$8:$R$38,$A$8:$A$38,"&gt;="&amp;$AK$18+7*(4-1),$A$8:$A$38,"&lt;="&amp;$AK$18+7*(4-1)+6)+SUMIFS('2026年08月'!$R$8:$R$38,'2026年08月'!$A$8:$A$38,"&gt;="&amp;$AK$18+7*(4-1),'2026年08月'!$A$8:$A$38,"&lt;="&amp;$AK$18+7*(4-1)+6))/(SUMIFS($Q$8:$Q$38,$A$8:$A$38,"&gt;="&amp;$AK$18+7*(4-1),$A$8:$A$38,"&lt;="&amp;$AK$18+7*(4-1)+6)+SUMIFS('2026年08月'!$Q$8:$Q$38,'2026年08月'!$A$8:$A$38,"&gt;="&amp;$AK$18+7*(4-1),'2026年08月'!$A$8:$A$38,"&lt;="&amp;$AK$18+7*(4-1)+6)),""))</f>
        <v>0.3538461538</v>
      </c>
    </row>
    <row r="24" ht="15.75" customHeight="1">
      <c r="A24" s="28">
        <v>46220.0</v>
      </c>
      <c r="B24" s="10" t="str">
        <f t="shared" si="2"/>
        <v>金</v>
      </c>
      <c r="C24" s="29">
        <v>300000.0</v>
      </c>
      <c r="D24" s="11">
        <f t="shared" si="3"/>
        <v>6300000</v>
      </c>
      <c r="E24" s="29">
        <v>75120.0</v>
      </c>
      <c r="F24" s="29">
        <v>140610.0</v>
      </c>
      <c r="G24" s="29"/>
      <c r="H24" s="29"/>
      <c r="I24" s="11">
        <f t="shared" si="4"/>
        <v>215730</v>
      </c>
      <c r="J24" s="11">
        <f t="shared" si="5"/>
        <v>3230000</v>
      </c>
      <c r="K24" s="12">
        <f t="shared" ref="K24:L24" si="31">IF(I24="","",IFERROR(I24/C24,""))</f>
        <v>0.7191</v>
      </c>
      <c r="L24" s="12">
        <f t="shared" si="31"/>
        <v>0.5126984127</v>
      </c>
      <c r="M24" s="11">
        <f t="shared" si="7"/>
        <v>-3070000</v>
      </c>
      <c r="N24" s="30" t="str">
        <f t="shared" si="8"/>
        <v>▲ 遅れ</v>
      </c>
      <c r="O24" s="31">
        <v>8.0</v>
      </c>
      <c r="P24" s="31">
        <v>10.0</v>
      </c>
      <c r="Q24" s="31">
        <v>18.0</v>
      </c>
      <c r="R24" s="31">
        <v>10.0</v>
      </c>
      <c r="S24" s="31">
        <v>14.0</v>
      </c>
      <c r="T24" s="12">
        <f t="shared" si="9"/>
        <v>0.4444444444</v>
      </c>
      <c r="U24" s="11">
        <f t="shared" si="10"/>
        <v>26966.25</v>
      </c>
      <c r="V24" s="32">
        <f t="shared" si="11"/>
        <v>1.25</v>
      </c>
      <c r="W24" s="12">
        <f t="shared" si="12"/>
        <v>0.5555555556</v>
      </c>
      <c r="X24" s="31">
        <v>0.0</v>
      </c>
      <c r="Y24" s="31">
        <v>8817.0</v>
      </c>
      <c r="Z24" s="29">
        <v>0.0</v>
      </c>
      <c r="AA24" s="33"/>
      <c r="AC24" s="36">
        <v>5.0</v>
      </c>
      <c r="AD24" s="42" t="str">
        <f>IF($AK$18+7*(5-1)&gt;$A$38,"",TEXT($AK$18+7*(5-1),"m/d")&amp;"-"&amp;TEXT($AK$18+7*(5-1)+6,"m/d"))</f>
        <v/>
      </c>
      <c r="AE24" s="35" t="str">
        <f>IF($AD24="","",(SUMIFS($I$8:$I$38,$A$8:$A$38,"&gt;="&amp;$AK$18+7*(5-1),$A$8:$A$38,"&lt;="&amp;$AK$18+7*(5-1)+6)+SUMIFS('2026年08月'!$I$8:$I$38,'2026年08月'!$A$8:$A$38,"&gt;="&amp;$AK$18+7*(5-1),'2026年08月'!$A$8:$A$38,"&lt;="&amp;$AK$18+7*(5-1)+6)))</f>
        <v/>
      </c>
      <c r="AF24" s="37" t="str">
        <f>IF($AD24="","",IFERROR((SUMIFS($O$8:$O$38,$A$8:$A$38,"&gt;="&amp;$AK$18+7*(5-1),$A$8:$A$38,"&lt;="&amp;$AK$18+7*(5-1)+6)+SUMIFS('2026年08月'!$O$8:$O$38,'2026年08月'!$A$8:$A$38,"&gt;="&amp;$AK$18+7*(5-1),'2026年08月'!$A$8:$A$38,"&lt;="&amp;$AK$18+7*(5-1)+6))/(SUMIFS($Q$8:$Q$38,$A$8:$A$38,"&gt;="&amp;$AK$18+7*(5-1),$A$8:$A$38,"&lt;="&amp;$AK$18+7*(5-1)+6)+SUMIFS('2026年08月'!$Q$8:$Q$38,'2026年08月'!$A$8:$A$38,"&gt;="&amp;$AK$18+7*(5-1),'2026年08月'!$A$8:$A$38,"&lt;="&amp;$AK$18+7*(5-1)+6)),""))</f>
        <v/>
      </c>
      <c r="AG24" s="35" t="str">
        <f>IF($AD24="","",IFERROR((SUMIFS($I$8:$I$38,$A$8:$A$38,"&gt;="&amp;$AK$18+7*(5-1),$A$8:$A$38,"&lt;="&amp;$AK$18+7*(5-1)+6)+SUMIFS('2026年08月'!$I$8:$I$38,'2026年08月'!$A$8:$A$38,"&gt;="&amp;$AK$18+7*(5-1),'2026年08月'!$A$8:$A$38,"&lt;="&amp;$AK$18+7*(5-1)+6))/(SUMIFS($O$8:$O$38,$A$8:$A$38,"&gt;="&amp;$AK$18+7*(5-1),$A$8:$A$38,"&lt;="&amp;$AK$18+7*(5-1)+6)+SUMIFS('2026年08月'!$O$8:$O$38,'2026年08月'!$A$8:$A$38,"&gt;="&amp;$AK$18+7*(5-1),'2026年08月'!$A$8:$A$38,"&lt;="&amp;$AK$18+7*(5-1)+6)),""))</f>
        <v/>
      </c>
      <c r="AH24" s="43" t="str">
        <f>IF($AD24="","",IFERROR((SUMIFS($P$8:$P$38,$A$8:$A$38,"&gt;="&amp;$AK$18+7*(5-1),$A$8:$A$38,"&lt;="&amp;$AK$18+7*(5-1)+6)+SUMIFS('2026年08月'!$P$8:$P$38,'2026年08月'!$A$8:$A$38,"&gt;="&amp;$AK$18+7*(5-1),'2026年08月'!$A$8:$A$38,"&lt;="&amp;$AK$18+7*(5-1)+6))/(SUMIFS($O$8:$O$38,$A$8:$A$38,"&gt;="&amp;$AK$18+7*(5-1),$A$8:$A$38,"&lt;="&amp;$AK$18+7*(5-1)+6)+SUMIFS('2026年08月'!$O$8:$O$38,'2026年08月'!$A$8:$A$38,"&gt;="&amp;$AK$18+7*(5-1),'2026年08月'!$A$8:$A$38,"&lt;="&amp;$AK$18+7*(5-1)+6)),""))</f>
        <v/>
      </c>
      <c r="AI24" s="37" t="str">
        <f>IF($AD24="","",IFERROR((SUMIFS($R$8:$R$38,$A$8:$A$38,"&gt;="&amp;$AK$18+7*(5-1),$A$8:$A$38,"&lt;="&amp;$AK$18+7*(5-1)+6)+SUMIFS('2026年08月'!$R$8:$R$38,'2026年08月'!$A$8:$A$38,"&gt;="&amp;$AK$18+7*(5-1),'2026年08月'!$A$8:$A$38,"&lt;="&amp;$AK$18+7*(5-1)+6))/(SUMIFS($Q$8:$Q$38,$A$8:$A$38,"&gt;="&amp;$AK$18+7*(5-1),$A$8:$A$38,"&lt;="&amp;$AK$18+7*(5-1)+6)+SUMIFS('2026年08月'!$Q$8:$Q$38,'2026年08月'!$A$8:$A$38,"&gt;="&amp;$AK$18+7*(5-1),'2026年08月'!$A$8:$A$38,"&lt;="&amp;$AK$18+7*(5-1)+6)),""))</f>
        <v/>
      </c>
    </row>
    <row r="25" ht="15.75" customHeight="1">
      <c r="A25" s="38">
        <v>46221.0</v>
      </c>
      <c r="B25" s="14" t="str">
        <f t="shared" si="2"/>
        <v>土</v>
      </c>
      <c r="C25" s="29">
        <v>800000.0</v>
      </c>
      <c r="D25" s="15">
        <f t="shared" si="3"/>
        <v>7100000</v>
      </c>
      <c r="E25" s="29">
        <v>72540.0</v>
      </c>
      <c r="F25" s="29">
        <v>234527.0</v>
      </c>
      <c r="G25" s="29"/>
      <c r="H25" s="29"/>
      <c r="I25" s="15">
        <f t="shared" si="4"/>
        <v>307067</v>
      </c>
      <c r="J25" s="15">
        <f t="shared" si="5"/>
        <v>3537067</v>
      </c>
      <c r="K25" s="16">
        <f t="shared" ref="K25:L25" si="32">IF(I25="","",IFERROR(I25/C25,""))</f>
        <v>0.38383375</v>
      </c>
      <c r="L25" s="16">
        <f t="shared" si="32"/>
        <v>0.4981784507</v>
      </c>
      <c r="M25" s="15">
        <f t="shared" si="7"/>
        <v>-3562933</v>
      </c>
      <c r="N25" s="39" t="str">
        <f t="shared" si="8"/>
        <v>▲ 遅れ</v>
      </c>
      <c r="O25" s="31">
        <v>14.0</v>
      </c>
      <c r="P25" s="31">
        <v>16.0</v>
      </c>
      <c r="Q25" s="31">
        <v>40.0</v>
      </c>
      <c r="R25" s="31">
        <v>20.0</v>
      </c>
      <c r="S25" s="31">
        <v>21.0</v>
      </c>
      <c r="T25" s="16">
        <f t="shared" si="9"/>
        <v>0.35</v>
      </c>
      <c r="U25" s="15">
        <f t="shared" si="10"/>
        <v>21933.35714</v>
      </c>
      <c r="V25" s="40">
        <f t="shared" si="11"/>
        <v>1.142857143</v>
      </c>
      <c r="W25" s="16">
        <f t="shared" si="12"/>
        <v>0.5</v>
      </c>
      <c r="X25" s="31"/>
      <c r="Y25" s="31">
        <v>8815.0</v>
      </c>
      <c r="Z25" s="29">
        <v>0.0</v>
      </c>
      <c r="AA25" s="33"/>
      <c r="AC25" s="36">
        <v>6.0</v>
      </c>
      <c r="AD25" s="42" t="str">
        <f>IF($AK$18+7*(6-1)&gt;$A$38,"",TEXT($AK$18+7*(6-1),"m/d")&amp;"-"&amp;TEXT($AK$18+7*(6-1)+6,"m/d"))</f>
        <v/>
      </c>
      <c r="AE25" s="35" t="str">
        <f>IF($AD25="","",(SUMIFS($I$8:$I$38,$A$8:$A$38,"&gt;="&amp;$AK$18+7*(6-1),$A$8:$A$38,"&lt;="&amp;$AK$18+7*(6-1)+6)+SUMIFS('2026年08月'!$I$8:$I$38,'2026年08月'!$A$8:$A$38,"&gt;="&amp;$AK$18+7*(6-1),'2026年08月'!$A$8:$A$38,"&lt;="&amp;$AK$18+7*(6-1)+6)))</f>
        <v/>
      </c>
      <c r="AF25" s="37" t="str">
        <f>IF($AD25="","",IFERROR((SUMIFS($O$8:$O$38,$A$8:$A$38,"&gt;="&amp;$AK$18+7*(6-1),$A$8:$A$38,"&lt;="&amp;$AK$18+7*(6-1)+6)+SUMIFS('2026年08月'!$O$8:$O$38,'2026年08月'!$A$8:$A$38,"&gt;="&amp;$AK$18+7*(6-1),'2026年08月'!$A$8:$A$38,"&lt;="&amp;$AK$18+7*(6-1)+6))/(SUMIFS($Q$8:$Q$38,$A$8:$A$38,"&gt;="&amp;$AK$18+7*(6-1),$A$8:$A$38,"&lt;="&amp;$AK$18+7*(6-1)+6)+SUMIFS('2026年08月'!$Q$8:$Q$38,'2026年08月'!$A$8:$A$38,"&gt;="&amp;$AK$18+7*(6-1),'2026年08月'!$A$8:$A$38,"&lt;="&amp;$AK$18+7*(6-1)+6)),""))</f>
        <v/>
      </c>
      <c r="AG25" s="35" t="str">
        <f>IF($AD25="","",IFERROR((SUMIFS($I$8:$I$38,$A$8:$A$38,"&gt;="&amp;$AK$18+7*(6-1),$A$8:$A$38,"&lt;="&amp;$AK$18+7*(6-1)+6)+SUMIFS('2026年08月'!$I$8:$I$38,'2026年08月'!$A$8:$A$38,"&gt;="&amp;$AK$18+7*(6-1),'2026年08月'!$A$8:$A$38,"&lt;="&amp;$AK$18+7*(6-1)+6))/(SUMIFS($O$8:$O$38,$A$8:$A$38,"&gt;="&amp;$AK$18+7*(6-1),$A$8:$A$38,"&lt;="&amp;$AK$18+7*(6-1)+6)+SUMIFS('2026年08月'!$O$8:$O$38,'2026年08月'!$A$8:$A$38,"&gt;="&amp;$AK$18+7*(6-1),'2026年08月'!$A$8:$A$38,"&lt;="&amp;$AK$18+7*(6-1)+6)),""))</f>
        <v/>
      </c>
      <c r="AH25" s="43" t="str">
        <f>IF($AD25="","",IFERROR((SUMIFS($P$8:$P$38,$A$8:$A$38,"&gt;="&amp;$AK$18+7*(6-1),$A$8:$A$38,"&lt;="&amp;$AK$18+7*(6-1)+6)+SUMIFS('2026年08月'!$P$8:$P$38,'2026年08月'!$A$8:$A$38,"&gt;="&amp;$AK$18+7*(6-1),'2026年08月'!$A$8:$A$38,"&lt;="&amp;$AK$18+7*(6-1)+6))/(SUMIFS($O$8:$O$38,$A$8:$A$38,"&gt;="&amp;$AK$18+7*(6-1),$A$8:$A$38,"&lt;="&amp;$AK$18+7*(6-1)+6)+SUMIFS('2026年08月'!$O$8:$O$38,'2026年08月'!$A$8:$A$38,"&gt;="&amp;$AK$18+7*(6-1),'2026年08月'!$A$8:$A$38,"&lt;="&amp;$AK$18+7*(6-1)+6)),""))</f>
        <v/>
      </c>
      <c r="AI25" s="37" t="str">
        <f>IF($AD25="","",IFERROR((SUMIFS($R$8:$R$38,$A$8:$A$38,"&gt;="&amp;$AK$18+7*(6-1),$A$8:$A$38,"&lt;="&amp;$AK$18+7*(6-1)+6)+SUMIFS('2026年08月'!$R$8:$R$38,'2026年08月'!$A$8:$A$38,"&gt;="&amp;$AK$18+7*(6-1),'2026年08月'!$A$8:$A$38,"&lt;="&amp;$AK$18+7*(6-1)+6))/(SUMIFS($Q$8:$Q$38,$A$8:$A$38,"&gt;="&amp;$AK$18+7*(6-1),$A$8:$A$38,"&lt;="&amp;$AK$18+7*(6-1)+6)+SUMIFS('2026年08月'!$Q$8:$Q$38,'2026年08月'!$A$8:$A$38,"&gt;="&amp;$AK$18+7*(6-1),'2026年08月'!$A$8:$A$38,"&lt;="&amp;$AK$18+7*(6-1)+6)),""))</f>
        <v/>
      </c>
    </row>
    <row r="26" ht="15.75" customHeight="1">
      <c r="A26" s="28">
        <v>46222.0</v>
      </c>
      <c r="B26" s="10" t="str">
        <f t="shared" si="2"/>
        <v>日</v>
      </c>
      <c r="C26" s="29">
        <v>800000.0</v>
      </c>
      <c r="D26" s="11">
        <f t="shared" si="3"/>
        <v>7900000</v>
      </c>
      <c r="E26" s="29">
        <v>113610.0</v>
      </c>
      <c r="F26" s="29">
        <v>162170.0</v>
      </c>
      <c r="G26" s="29"/>
      <c r="H26" s="29"/>
      <c r="I26" s="11">
        <f t="shared" si="4"/>
        <v>275780</v>
      </c>
      <c r="J26" s="11">
        <f t="shared" si="5"/>
        <v>3812847</v>
      </c>
      <c r="K26" s="12">
        <f t="shared" ref="K26:L26" si="33">IF(I26="","",IFERROR(I26/C26,""))</f>
        <v>0.344725</v>
      </c>
      <c r="L26" s="12">
        <f t="shared" si="33"/>
        <v>0.4826388608</v>
      </c>
      <c r="M26" s="11">
        <f t="shared" si="7"/>
        <v>-4087153</v>
      </c>
      <c r="N26" s="30" t="str">
        <f t="shared" si="8"/>
        <v>▲ 遅れ</v>
      </c>
      <c r="O26" s="31">
        <v>13.0</v>
      </c>
      <c r="P26" s="31">
        <v>13.0</v>
      </c>
      <c r="Q26" s="31">
        <v>52.0</v>
      </c>
      <c r="R26" s="31">
        <v>21.0</v>
      </c>
      <c r="S26" s="31">
        <v>30.0</v>
      </c>
      <c r="T26" s="12">
        <f t="shared" si="9"/>
        <v>0.25</v>
      </c>
      <c r="U26" s="11">
        <f t="shared" si="10"/>
        <v>21213.84615</v>
      </c>
      <c r="V26" s="32">
        <f t="shared" si="11"/>
        <v>1</v>
      </c>
      <c r="W26" s="12">
        <f t="shared" si="12"/>
        <v>0.4038461538</v>
      </c>
      <c r="X26" s="31"/>
      <c r="Y26" s="31">
        <v>8812.0</v>
      </c>
      <c r="Z26" s="29">
        <v>0.0</v>
      </c>
      <c r="AA26" s="33"/>
      <c r="AC26" s="22" t="s">
        <v>102</v>
      </c>
    </row>
    <row r="27" ht="15.75" customHeight="1">
      <c r="A27" s="38">
        <v>46223.0</v>
      </c>
      <c r="B27" s="14" t="str">
        <f t="shared" si="2"/>
        <v>月</v>
      </c>
      <c r="C27" s="29">
        <v>400000.0</v>
      </c>
      <c r="D27" s="15">
        <f t="shared" si="3"/>
        <v>8300000</v>
      </c>
      <c r="E27" s="29">
        <v>106240.0</v>
      </c>
      <c r="F27" s="29">
        <v>301477.0</v>
      </c>
      <c r="G27" s="29"/>
      <c r="H27" s="29"/>
      <c r="I27" s="15">
        <f t="shared" si="4"/>
        <v>407717</v>
      </c>
      <c r="J27" s="15">
        <f t="shared" si="5"/>
        <v>4220564</v>
      </c>
      <c r="K27" s="16">
        <f t="shared" ref="K27:L27" si="34">IF(I27="","",IFERROR(I27/C27,""))</f>
        <v>1.0192925</v>
      </c>
      <c r="L27" s="16">
        <f t="shared" si="34"/>
        <v>0.5085016867</v>
      </c>
      <c r="M27" s="15">
        <f t="shared" si="7"/>
        <v>-4079436</v>
      </c>
      <c r="N27" s="39" t="str">
        <f t="shared" si="8"/>
        <v>▲ 遅れ</v>
      </c>
      <c r="O27" s="31">
        <v>18.0</v>
      </c>
      <c r="P27" s="31">
        <v>19.0</v>
      </c>
      <c r="Q27" s="31">
        <v>48.0</v>
      </c>
      <c r="R27" s="31">
        <v>17.0</v>
      </c>
      <c r="S27" s="31">
        <v>34.0</v>
      </c>
      <c r="T27" s="16">
        <f t="shared" si="9"/>
        <v>0.375</v>
      </c>
      <c r="U27" s="15">
        <f t="shared" si="10"/>
        <v>22650.94444</v>
      </c>
      <c r="V27" s="40">
        <f t="shared" si="11"/>
        <v>1.055555556</v>
      </c>
      <c r="W27" s="16">
        <f t="shared" si="12"/>
        <v>0.3541666667</v>
      </c>
      <c r="X27" s="31"/>
      <c r="Y27" s="31">
        <v>8815.0</v>
      </c>
      <c r="Z27" s="29">
        <v>0.0</v>
      </c>
      <c r="AA27" s="33"/>
      <c r="AC27" s="22" t="s">
        <v>103</v>
      </c>
    </row>
    <row r="28" ht="15.75" customHeight="1">
      <c r="A28" s="28">
        <v>46224.0</v>
      </c>
      <c r="B28" s="10" t="str">
        <f t="shared" si="2"/>
        <v>火</v>
      </c>
      <c r="C28" s="29">
        <v>400000.0</v>
      </c>
      <c r="D28" s="11">
        <f t="shared" si="3"/>
        <v>8700000</v>
      </c>
      <c r="E28" s="29">
        <v>25531.0</v>
      </c>
      <c r="F28" s="29">
        <v>162550.0</v>
      </c>
      <c r="G28" s="29"/>
      <c r="H28" s="29"/>
      <c r="I28" s="11">
        <f t="shared" si="4"/>
        <v>188081</v>
      </c>
      <c r="J28" s="11">
        <f t="shared" si="5"/>
        <v>4408645</v>
      </c>
      <c r="K28" s="12">
        <f t="shared" ref="K28:L28" si="35">IF(I28="","",IFERROR(I28/C28,""))</f>
        <v>0.4702025</v>
      </c>
      <c r="L28" s="12">
        <f t="shared" si="35"/>
        <v>0.5067408046</v>
      </c>
      <c r="M28" s="11">
        <f t="shared" si="7"/>
        <v>-4291355</v>
      </c>
      <c r="N28" s="30" t="str">
        <f t="shared" si="8"/>
        <v>▲ 遅れ</v>
      </c>
      <c r="O28" s="31">
        <v>8.0</v>
      </c>
      <c r="P28" s="31">
        <v>9.0</v>
      </c>
      <c r="Q28" s="31">
        <v>26.0</v>
      </c>
      <c r="R28" s="31">
        <v>11.0</v>
      </c>
      <c r="S28" s="31">
        <v>16.0</v>
      </c>
      <c r="T28" s="12">
        <f t="shared" si="9"/>
        <v>0.3076923077</v>
      </c>
      <c r="U28" s="11">
        <f t="shared" si="10"/>
        <v>23510.125</v>
      </c>
      <c r="V28" s="32">
        <f t="shared" si="11"/>
        <v>1.125</v>
      </c>
      <c r="W28" s="12">
        <f t="shared" si="12"/>
        <v>0.4230769231</v>
      </c>
      <c r="X28" s="31">
        <v>0.0</v>
      </c>
      <c r="Y28" s="31">
        <v>8810.0</v>
      </c>
      <c r="Z28" s="29">
        <v>0.0</v>
      </c>
      <c r="AA28" s="33"/>
      <c r="AC28" s="22" t="s">
        <v>104</v>
      </c>
    </row>
    <row r="29" ht="15.75" customHeight="1">
      <c r="A29" s="38">
        <v>46225.0</v>
      </c>
      <c r="B29" s="14" t="str">
        <f t="shared" si="2"/>
        <v>水</v>
      </c>
      <c r="C29" s="29">
        <v>400000.0</v>
      </c>
      <c r="D29" s="15">
        <f t="shared" si="3"/>
        <v>9100000</v>
      </c>
      <c r="E29" s="29">
        <v>21610.0</v>
      </c>
      <c r="F29" s="29">
        <v>48510.0</v>
      </c>
      <c r="G29" s="29"/>
      <c r="H29" s="29"/>
      <c r="I29" s="15">
        <f t="shared" si="4"/>
        <v>70120</v>
      </c>
      <c r="J29" s="15">
        <f t="shared" si="5"/>
        <v>4478765</v>
      </c>
      <c r="K29" s="16">
        <f t="shared" ref="K29:L29" si="36">IF(I29="","",IFERROR(I29/C29,""))</f>
        <v>0.1753</v>
      </c>
      <c r="L29" s="16">
        <f t="shared" si="36"/>
        <v>0.492171978</v>
      </c>
      <c r="M29" s="15">
        <f t="shared" si="7"/>
        <v>-4621235</v>
      </c>
      <c r="N29" s="39" t="str">
        <f t="shared" si="8"/>
        <v>▲ 遅れ</v>
      </c>
      <c r="O29" s="31">
        <v>3.0</v>
      </c>
      <c r="P29" s="31">
        <v>3.0</v>
      </c>
      <c r="Q29" s="31">
        <v>8.0</v>
      </c>
      <c r="R29" s="31">
        <v>2.0</v>
      </c>
      <c r="S29" s="31">
        <v>2.0</v>
      </c>
      <c r="T29" s="16">
        <f t="shared" si="9"/>
        <v>0.375</v>
      </c>
      <c r="U29" s="15">
        <f t="shared" si="10"/>
        <v>23373.33333</v>
      </c>
      <c r="V29" s="40">
        <f t="shared" si="11"/>
        <v>1</v>
      </c>
      <c r="W29" s="16">
        <f t="shared" si="12"/>
        <v>0.25</v>
      </c>
      <c r="X29" s="31">
        <v>0.0</v>
      </c>
      <c r="Y29" s="31">
        <v>8811.0</v>
      </c>
      <c r="Z29" s="29">
        <v>0.0</v>
      </c>
      <c r="AA29" s="33"/>
    </row>
    <row r="30" ht="15.75" customHeight="1">
      <c r="A30" s="28">
        <v>46226.0</v>
      </c>
      <c r="B30" s="10" t="str">
        <f t="shared" si="2"/>
        <v>木</v>
      </c>
      <c r="C30" s="29">
        <v>400000.0</v>
      </c>
      <c r="D30" s="11">
        <f t="shared" si="3"/>
        <v>9500000</v>
      </c>
      <c r="E30" s="29">
        <v>90818.0</v>
      </c>
      <c r="F30" s="29">
        <v>120540.0</v>
      </c>
      <c r="G30" s="29"/>
      <c r="H30" s="29"/>
      <c r="I30" s="11">
        <f t="shared" si="4"/>
        <v>211358</v>
      </c>
      <c r="J30" s="11">
        <f t="shared" si="5"/>
        <v>4690123</v>
      </c>
      <c r="K30" s="12">
        <f t="shared" ref="K30:L30" si="37">IF(I30="","",IFERROR(I30/C30,""))</f>
        <v>0.528395</v>
      </c>
      <c r="L30" s="12">
        <f t="shared" si="37"/>
        <v>0.4936971579</v>
      </c>
      <c r="M30" s="11">
        <f t="shared" si="7"/>
        <v>-4809877</v>
      </c>
      <c r="N30" s="30" t="str">
        <f t="shared" si="8"/>
        <v>▲ 遅れ</v>
      </c>
      <c r="O30" s="31">
        <v>8.0</v>
      </c>
      <c r="P30" s="31">
        <v>9.0</v>
      </c>
      <c r="Q30" s="31">
        <v>24.0</v>
      </c>
      <c r="R30" s="31">
        <v>11.0</v>
      </c>
      <c r="S30" s="31">
        <v>18.0</v>
      </c>
      <c r="T30" s="12">
        <f t="shared" si="9"/>
        <v>0.3333333333</v>
      </c>
      <c r="U30" s="11">
        <f t="shared" si="10"/>
        <v>26419.75</v>
      </c>
      <c r="V30" s="32">
        <f t="shared" si="11"/>
        <v>1.125</v>
      </c>
      <c r="W30" s="12">
        <f t="shared" si="12"/>
        <v>0.4583333333</v>
      </c>
      <c r="X30" s="31">
        <v>0.0</v>
      </c>
      <c r="Y30" s="31">
        <v>8808.0</v>
      </c>
      <c r="Z30" s="29">
        <v>0.0</v>
      </c>
      <c r="AA30" s="33"/>
    </row>
    <row r="31" ht="15.75" customHeight="1">
      <c r="A31" s="38">
        <v>46227.0</v>
      </c>
      <c r="B31" s="14" t="str">
        <f t="shared" si="2"/>
        <v>金</v>
      </c>
      <c r="C31" s="29">
        <v>450000.0</v>
      </c>
      <c r="D31" s="15">
        <f t="shared" si="3"/>
        <v>9950000</v>
      </c>
      <c r="E31" s="29">
        <v>24310.0</v>
      </c>
      <c r="F31" s="29">
        <v>19910.0</v>
      </c>
      <c r="G31" s="29"/>
      <c r="H31" s="29"/>
      <c r="I31" s="15">
        <f t="shared" si="4"/>
        <v>44220</v>
      </c>
      <c r="J31" s="15">
        <f t="shared" si="5"/>
        <v>4734343</v>
      </c>
      <c r="K31" s="16">
        <f t="shared" ref="K31:L31" si="38">IF(I31="","",IFERROR(I31/C31,""))</f>
        <v>0.09826666667</v>
      </c>
      <c r="L31" s="16">
        <f t="shared" si="38"/>
        <v>0.4758133668</v>
      </c>
      <c r="M31" s="15">
        <f t="shared" si="7"/>
        <v>-5215657</v>
      </c>
      <c r="N31" s="39" t="str">
        <f t="shared" si="8"/>
        <v>▲ 遅れ</v>
      </c>
      <c r="O31" s="31">
        <v>2.0</v>
      </c>
      <c r="P31" s="31">
        <v>2.0</v>
      </c>
      <c r="Q31" s="31">
        <v>18.0</v>
      </c>
      <c r="R31" s="31">
        <v>2.0</v>
      </c>
      <c r="S31" s="31">
        <v>3.0</v>
      </c>
      <c r="T31" s="16">
        <f t="shared" si="9"/>
        <v>0.1111111111</v>
      </c>
      <c r="U31" s="15">
        <f t="shared" si="10"/>
        <v>22110</v>
      </c>
      <c r="V31" s="40">
        <f t="shared" si="11"/>
        <v>1</v>
      </c>
      <c r="W31" s="16">
        <f t="shared" si="12"/>
        <v>0.1111111111</v>
      </c>
      <c r="X31" s="31">
        <v>0.0</v>
      </c>
      <c r="Y31" s="31">
        <v>8800.0</v>
      </c>
      <c r="Z31" s="29">
        <v>1050.0</v>
      </c>
      <c r="AA31" s="33"/>
    </row>
    <row r="32" ht="15.75" customHeight="1">
      <c r="A32" s="28">
        <v>46228.0</v>
      </c>
      <c r="B32" s="10" t="str">
        <f t="shared" si="2"/>
        <v>土</v>
      </c>
      <c r="C32" s="29">
        <v>700000.0</v>
      </c>
      <c r="D32" s="11">
        <f t="shared" si="3"/>
        <v>10650000</v>
      </c>
      <c r="E32" s="29">
        <v>96570.0</v>
      </c>
      <c r="F32" s="29">
        <v>190720.0</v>
      </c>
      <c r="G32" s="29"/>
      <c r="H32" s="29"/>
      <c r="I32" s="11">
        <f t="shared" si="4"/>
        <v>287290</v>
      </c>
      <c r="J32" s="11">
        <f t="shared" si="5"/>
        <v>5021633</v>
      </c>
      <c r="K32" s="12">
        <f t="shared" ref="K32:L32" si="39">IF(I32="","",IFERROR(I32/C32,""))</f>
        <v>0.4104142857</v>
      </c>
      <c r="L32" s="12">
        <f t="shared" si="39"/>
        <v>0.4715148357</v>
      </c>
      <c r="M32" s="11">
        <f t="shared" si="7"/>
        <v>-5628367</v>
      </c>
      <c r="N32" s="30" t="str">
        <f t="shared" si="8"/>
        <v>▲ 遅れ</v>
      </c>
      <c r="O32" s="31">
        <v>12.0</v>
      </c>
      <c r="P32" s="31">
        <v>16.0</v>
      </c>
      <c r="Q32" s="31">
        <v>43.0</v>
      </c>
      <c r="R32" s="31">
        <v>15.0</v>
      </c>
      <c r="S32" s="31">
        <v>25.0</v>
      </c>
      <c r="T32" s="12">
        <f t="shared" si="9"/>
        <v>0.2790697674</v>
      </c>
      <c r="U32" s="11">
        <f t="shared" si="10"/>
        <v>23940.83333</v>
      </c>
      <c r="V32" s="32">
        <f t="shared" si="11"/>
        <v>1.333333333</v>
      </c>
      <c r="W32" s="12">
        <f t="shared" si="12"/>
        <v>0.3488372093</v>
      </c>
      <c r="X32" s="31"/>
      <c r="Y32" s="31">
        <v>8796.0</v>
      </c>
      <c r="Z32" s="29">
        <v>0.0</v>
      </c>
      <c r="AA32" s="33"/>
    </row>
    <row r="33" ht="15.75" customHeight="1">
      <c r="A33" s="38">
        <v>46229.0</v>
      </c>
      <c r="B33" s="14" t="str">
        <f t="shared" si="2"/>
        <v>日</v>
      </c>
      <c r="C33" s="29">
        <v>700000.0</v>
      </c>
      <c r="D33" s="15">
        <f t="shared" si="3"/>
        <v>11350000</v>
      </c>
      <c r="E33" s="29">
        <v>26010.0</v>
      </c>
      <c r="F33" s="29">
        <v>185260.0</v>
      </c>
      <c r="G33" s="29"/>
      <c r="H33" s="29"/>
      <c r="I33" s="15">
        <f t="shared" si="4"/>
        <v>211270</v>
      </c>
      <c r="J33" s="15">
        <f t="shared" si="5"/>
        <v>5232903</v>
      </c>
      <c r="K33" s="16">
        <f t="shared" ref="K33:L33" si="40">IF(I33="","",IFERROR(I33/C33,""))</f>
        <v>0.3018142857</v>
      </c>
      <c r="L33" s="16">
        <f t="shared" si="40"/>
        <v>0.4610487225</v>
      </c>
      <c r="M33" s="15">
        <f t="shared" si="7"/>
        <v>-6117097</v>
      </c>
      <c r="N33" s="39" t="str">
        <f t="shared" si="8"/>
        <v>▲ 遅れ</v>
      </c>
      <c r="O33" s="31">
        <v>8.0</v>
      </c>
      <c r="P33" s="31">
        <v>9.0</v>
      </c>
      <c r="Q33" s="31">
        <v>43.0</v>
      </c>
      <c r="R33" s="31">
        <v>11.0</v>
      </c>
      <c r="S33" s="31">
        <v>19.0</v>
      </c>
      <c r="T33" s="16">
        <f t="shared" si="9"/>
        <v>0.1860465116</v>
      </c>
      <c r="U33" s="15">
        <f t="shared" si="10"/>
        <v>26408.75</v>
      </c>
      <c r="V33" s="40">
        <f t="shared" si="11"/>
        <v>1.125</v>
      </c>
      <c r="W33" s="16">
        <f t="shared" si="12"/>
        <v>0.2558139535</v>
      </c>
      <c r="X33" s="31">
        <v>0.0</v>
      </c>
      <c r="Y33" s="31">
        <v>8792.0</v>
      </c>
      <c r="Z33" s="29">
        <v>0.0</v>
      </c>
      <c r="AA33" s="33"/>
    </row>
    <row r="34" ht="15.75" customHeight="1">
      <c r="A34" s="28">
        <v>46230.0</v>
      </c>
      <c r="B34" s="10" t="str">
        <f t="shared" si="2"/>
        <v>月</v>
      </c>
      <c r="C34" s="29">
        <v>450000.0</v>
      </c>
      <c r="D34" s="11">
        <f t="shared" si="3"/>
        <v>11800000</v>
      </c>
      <c r="E34" s="29">
        <v>22110.0</v>
      </c>
      <c r="F34" s="29">
        <v>71621.0</v>
      </c>
      <c r="G34" s="29"/>
      <c r="H34" s="29"/>
      <c r="I34" s="11">
        <f t="shared" si="4"/>
        <v>93731</v>
      </c>
      <c r="J34" s="11">
        <f t="shared" si="5"/>
        <v>5326634</v>
      </c>
      <c r="K34" s="12">
        <f t="shared" ref="K34:L34" si="41">IF(I34="","",IFERROR(I34/C34,""))</f>
        <v>0.2082911111</v>
      </c>
      <c r="L34" s="12">
        <f t="shared" si="41"/>
        <v>0.451409661</v>
      </c>
      <c r="M34" s="11">
        <f t="shared" si="7"/>
        <v>-6473366</v>
      </c>
      <c r="N34" s="30" t="str">
        <f t="shared" si="8"/>
        <v>▲ 遅れ</v>
      </c>
      <c r="O34" s="31">
        <v>4.0</v>
      </c>
      <c r="P34" s="31">
        <v>4.0</v>
      </c>
      <c r="Q34" s="31">
        <v>11.0</v>
      </c>
      <c r="R34" s="31">
        <v>6.0</v>
      </c>
      <c r="S34" s="31">
        <v>11.0</v>
      </c>
      <c r="T34" s="12">
        <f t="shared" si="9"/>
        <v>0.3636363636</v>
      </c>
      <c r="U34" s="11">
        <f t="shared" si="10"/>
        <v>23432.75</v>
      </c>
      <c r="V34" s="32">
        <f t="shared" si="11"/>
        <v>1</v>
      </c>
      <c r="W34" s="12">
        <f t="shared" si="12"/>
        <v>0.5454545455</v>
      </c>
      <c r="X34" s="31"/>
      <c r="Y34" s="31">
        <v>8784.0</v>
      </c>
      <c r="Z34" s="29">
        <v>0.0</v>
      </c>
      <c r="AA34" s="33"/>
    </row>
    <row r="35" ht="15.75" customHeight="1">
      <c r="A35" s="38">
        <v>46231.0</v>
      </c>
      <c r="B35" s="14" t="str">
        <f t="shared" si="2"/>
        <v>火</v>
      </c>
      <c r="C35" s="29">
        <v>450000.0</v>
      </c>
      <c r="D35" s="15">
        <f t="shared" si="3"/>
        <v>12250000</v>
      </c>
      <c r="E35" s="29">
        <v>89030.0</v>
      </c>
      <c r="F35" s="29">
        <v>26010.0</v>
      </c>
      <c r="G35" s="29"/>
      <c r="H35" s="29"/>
      <c r="I35" s="15">
        <f t="shared" si="4"/>
        <v>115040</v>
      </c>
      <c r="J35" s="15">
        <f t="shared" si="5"/>
        <v>5441674</v>
      </c>
      <c r="K35" s="16">
        <f t="shared" ref="K35:L35" si="42">IF(I35="","",IFERROR(I35/C35,""))</f>
        <v>0.2556444444</v>
      </c>
      <c r="L35" s="16">
        <f t="shared" si="42"/>
        <v>0.4442182857</v>
      </c>
      <c r="M35" s="15">
        <f t="shared" si="7"/>
        <v>-6808326</v>
      </c>
      <c r="N35" s="39" t="str">
        <f t="shared" si="8"/>
        <v>▲ 遅れ</v>
      </c>
      <c r="O35" s="31">
        <v>5.0</v>
      </c>
      <c r="P35" s="31">
        <v>5.0</v>
      </c>
      <c r="Q35" s="31">
        <v>18.0</v>
      </c>
      <c r="R35" s="31">
        <v>5.0</v>
      </c>
      <c r="S35" s="31">
        <v>8.0</v>
      </c>
      <c r="T35" s="16">
        <f t="shared" si="9"/>
        <v>0.2777777778</v>
      </c>
      <c r="U35" s="15">
        <f t="shared" si="10"/>
        <v>23008</v>
      </c>
      <c r="V35" s="40">
        <f t="shared" si="11"/>
        <v>1</v>
      </c>
      <c r="W35" s="16">
        <f t="shared" si="12"/>
        <v>0.2777777778</v>
      </c>
      <c r="X35" s="31"/>
      <c r="Y35" s="31">
        <v>8775.0</v>
      </c>
      <c r="Z35" s="29">
        <v>0.0</v>
      </c>
      <c r="AA35" s="33"/>
    </row>
    <row r="36" ht="15.75" customHeight="1">
      <c r="A36" s="28">
        <v>46232.0</v>
      </c>
      <c r="B36" s="10" t="str">
        <f t="shared" si="2"/>
        <v>水</v>
      </c>
      <c r="C36" s="29">
        <v>450000.0</v>
      </c>
      <c r="D36" s="11">
        <f t="shared" si="3"/>
        <v>12700000</v>
      </c>
      <c r="E36" s="29">
        <v>52020.0</v>
      </c>
      <c r="F36" s="29">
        <v>81330.0</v>
      </c>
      <c r="G36" s="29"/>
      <c r="H36" s="29"/>
      <c r="I36" s="11">
        <f t="shared" si="4"/>
        <v>133350</v>
      </c>
      <c r="J36" s="11">
        <f t="shared" si="5"/>
        <v>5575024</v>
      </c>
      <c r="K36" s="12">
        <f t="shared" ref="K36:L36" si="43">IF(I36="","",IFERROR(I36/C36,""))</f>
        <v>0.2963333333</v>
      </c>
      <c r="L36" s="12">
        <f t="shared" si="43"/>
        <v>0.4389782677</v>
      </c>
      <c r="M36" s="11">
        <f t="shared" si="7"/>
        <v>-7124976</v>
      </c>
      <c r="N36" s="30" t="str">
        <f t="shared" si="8"/>
        <v>▲ 遅れ</v>
      </c>
      <c r="O36" s="31">
        <v>6.0</v>
      </c>
      <c r="P36" s="31">
        <v>6.0</v>
      </c>
      <c r="Q36" s="31">
        <v>22.0</v>
      </c>
      <c r="R36" s="31">
        <v>10.0</v>
      </c>
      <c r="S36" s="31">
        <v>13.0</v>
      </c>
      <c r="T36" s="12">
        <f t="shared" si="9"/>
        <v>0.2727272727</v>
      </c>
      <c r="U36" s="11">
        <f t="shared" si="10"/>
        <v>22225</v>
      </c>
      <c r="V36" s="32">
        <f t="shared" si="11"/>
        <v>1</v>
      </c>
      <c r="W36" s="12">
        <f t="shared" si="12"/>
        <v>0.4545454545</v>
      </c>
      <c r="X36" s="31"/>
      <c r="Y36" s="31">
        <v>8772.0</v>
      </c>
      <c r="Z36" s="29">
        <v>0.0</v>
      </c>
      <c r="AA36" s="33"/>
    </row>
    <row r="37" ht="15.75" customHeight="1">
      <c r="A37" s="38">
        <v>46233.0</v>
      </c>
      <c r="B37" s="14" t="str">
        <f t="shared" si="2"/>
        <v>木</v>
      </c>
      <c r="C37" s="29">
        <v>450000.0</v>
      </c>
      <c r="D37" s="15">
        <f t="shared" si="3"/>
        <v>13150000</v>
      </c>
      <c r="E37" s="29"/>
      <c r="F37" s="29"/>
      <c r="G37" s="29"/>
      <c r="H37" s="29"/>
      <c r="I37" s="15" t="str">
        <f t="shared" si="4"/>
        <v/>
      </c>
      <c r="J37" s="15" t="str">
        <f t="shared" si="5"/>
        <v/>
      </c>
      <c r="K37" s="16" t="str">
        <f t="shared" ref="K37:L37" si="44">IF(I37="","",IFERROR(I37/C37,""))</f>
        <v/>
      </c>
      <c r="L37" s="16" t="str">
        <f t="shared" si="44"/>
        <v/>
      </c>
      <c r="M37" s="15" t="str">
        <f t="shared" si="7"/>
        <v/>
      </c>
      <c r="N37" s="39" t="str">
        <f t="shared" si="8"/>
        <v>—</v>
      </c>
      <c r="O37" s="31"/>
      <c r="P37" s="31"/>
      <c r="Q37" s="31"/>
      <c r="R37" s="31"/>
      <c r="S37" s="31"/>
      <c r="T37" s="16" t="str">
        <f t="shared" si="9"/>
        <v/>
      </c>
      <c r="U37" s="15" t="str">
        <f t="shared" si="10"/>
        <v/>
      </c>
      <c r="V37" s="40" t="str">
        <f t="shared" si="11"/>
        <v/>
      </c>
      <c r="W37" s="16" t="str">
        <f t="shared" si="12"/>
        <v/>
      </c>
      <c r="X37" s="31"/>
      <c r="Y37" s="31"/>
      <c r="Z37" s="29">
        <v>0.0</v>
      </c>
      <c r="AA37" s="33"/>
    </row>
    <row r="38" ht="15.75" customHeight="1">
      <c r="A38" s="28">
        <v>46234.0</v>
      </c>
      <c r="B38" s="10" t="str">
        <f t="shared" si="2"/>
        <v>金</v>
      </c>
      <c r="C38" s="29">
        <v>450000.0</v>
      </c>
      <c r="D38" s="11">
        <f t="shared" si="3"/>
        <v>13600000</v>
      </c>
      <c r="E38" s="29"/>
      <c r="F38" s="29"/>
      <c r="G38" s="29"/>
      <c r="H38" s="29"/>
      <c r="I38" s="11" t="str">
        <f t="shared" si="4"/>
        <v/>
      </c>
      <c r="J38" s="11" t="str">
        <f t="shared" si="5"/>
        <v/>
      </c>
      <c r="K38" s="12" t="str">
        <f t="shared" ref="K38:L38" si="45">IF(I38="","",IFERROR(I38/C38,""))</f>
        <v/>
      </c>
      <c r="L38" s="12" t="str">
        <f t="shared" si="45"/>
        <v/>
      </c>
      <c r="M38" s="11" t="str">
        <f t="shared" si="7"/>
        <v/>
      </c>
      <c r="N38" s="30" t="str">
        <f t="shared" si="8"/>
        <v>—</v>
      </c>
      <c r="O38" s="31"/>
      <c r="P38" s="31"/>
      <c r="Q38" s="31"/>
      <c r="R38" s="31"/>
      <c r="S38" s="31"/>
      <c r="T38" s="12" t="str">
        <f t="shared" si="9"/>
        <v/>
      </c>
      <c r="U38" s="11" t="str">
        <f t="shared" si="10"/>
        <v/>
      </c>
      <c r="V38" s="32" t="str">
        <f t="shared" si="11"/>
        <v/>
      </c>
      <c r="W38" s="12" t="str">
        <f t="shared" si="12"/>
        <v/>
      </c>
      <c r="X38" s="31"/>
      <c r="Y38" s="31"/>
      <c r="Z38" s="29">
        <v>0.0</v>
      </c>
      <c r="AA38" s="33"/>
    </row>
    <row r="39" ht="15.75" customHeight="1">
      <c r="A39" s="44" t="s">
        <v>81</v>
      </c>
      <c r="B39" s="18"/>
      <c r="C39" s="19">
        <f>SUM(C8:C38)</f>
        <v>13600000</v>
      </c>
      <c r="D39" s="19">
        <f>C39</f>
        <v>13600000</v>
      </c>
      <c r="E39" s="19">
        <f t="shared" ref="E39:I39" si="46">SUM(E8:E38)</f>
        <v>1959159</v>
      </c>
      <c r="F39" s="19">
        <f t="shared" si="46"/>
        <v>3582865</v>
      </c>
      <c r="G39" s="19">
        <f t="shared" si="46"/>
        <v>33000</v>
      </c>
      <c r="H39" s="19">
        <f t="shared" si="46"/>
        <v>0</v>
      </c>
      <c r="I39" s="19">
        <f t="shared" si="46"/>
        <v>5575024</v>
      </c>
      <c r="J39" s="19">
        <f>I39</f>
        <v>5575024</v>
      </c>
      <c r="K39" s="20">
        <f>IFERROR(I39/C39,"")</f>
        <v>0.4099282353</v>
      </c>
      <c r="L39" s="20">
        <f>IFERROR(I39/C39,"")</f>
        <v>0.4099282353</v>
      </c>
      <c r="M39" s="19">
        <f>I39-C39</f>
        <v>-8024976</v>
      </c>
      <c r="N39" s="45"/>
      <c r="O39" s="21">
        <f t="shared" ref="O39:S39" si="47">SUM(O8:O38)</f>
        <v>241</v>
      </c>
      <c r="P39" s="21">
        <f t="shared" si="47"/>
        <v>262</v>
      </c>
      <c r="Q39" s="21">
        <f t="shared" si="47"/>
        <v>793</v>
      </c>
      <c r="R39" s="21">
        <f t="shared" si="47"/>
        <v>305</v>
      </c>
      <c r="S39" s="21">
        <f t="shared" si="47"/>
        <v>448</v>
      </c>
      <c r="T39" s="20">
        <f t="shared" si="9"/>
        <v>0.3039092055</v>
      </c>
      <c r="U39" s="19">
        <f t="shared" si="10"/>
        <v>23132.87967</v>
      </c>
      <c r="V39" s="46">
        <f t="shared" si="11"/>
        <v>1.087136929</v>
      </c>
      <c r="W39" s="20">
        <f t="shared" si="12"/>
        <v>0.3846153846</v>
      </c>
      <c r="X39" s="21">
        <f>SUM(X8:X38)</f>
        <v>0</v>
      </c>
      <c r="Y39" s="21">
        <f>IFERROR(LOOKUP(9.99E+307,Y8:Y38),"")</f>
        <v>8772</v>
      </c>
      <c r="Z39" s="19">
        <f>SUM(Z8:Z38)</f>
        <v>1050</v>
      </c>
      <c r="AA39" s="47" t="s">
        <v>82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A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M8:M38">
    <cfRule type="expression" dxfId="0" priority="1">
      <formula>AND($I8&lt;&gt;"",$M8&gt;=0)</formula>
    </cfRule>
  </conditionalFormatting>
  <conditionalFormatting sqref="M8:M38">
    <cfRule type="expression" dxfId="1" priority="2">
      <formula>AND($I8&lt;&gt;"",$M8&lt;0)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0.0"/>
    <col customWidth="1" min="8" max="8" width="11.0"/>
    <col customWidth="1" min="9" max="9" width="12.0"/>
    <col customWidth="1" min="10" max="10" width="13.0"/>
    <col customWidth="1" min="11" max="12" width="9.0"/>
    <col customWidth="1" min="13" max="13" width="13.0"/>
    <col customWidth="1" min="14" max="14" width="11.0"/>
    <col customWidth="1" min="15" max="20" width="8.0"/>
    <col customWidth="1" min="21" max="21" width="11.0"/>
    <col customWidth="1" min="22" max="24" width="8.0"/>
    <col customWidth="1" min="25" max="25" width="10.0"/>
    <col customWidth="1" min="26" max="26" width="9.0"/>
    <col customWidth="1" min="27" max="27" width="28.0"/>
    <col customWidth="1" min="28" max="28" width="3.0"/>
    <col customWidth="1" min="29" max="29" width="5.0"/>
    <col customWidth="1" min="30" max="30" width="13.0"/>
    <col customWidth="1" min="31" max="31" width="12.0"/>
    <col customWidth="1" min="32" max="32" width="9.0"/>
    <col customWidth="1" min="33" max="33" width="11.0"/>
    <col customWidth="1" min="34" max="36" width="9.0"/>
    <col customWidth="1" min="37" max="37" width="8.0"/>
  </cols>
  <sheetData>
    <row r="1" ht="27.75" customHeight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106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IF('設定'!$B$12="",SUM(C8:C38),'設定'!$B$12)</f>
        <v>17400000</v>
      </c>
      <c r="B4" s="6"/>
      <c r="C4" s="7">
        <f>SUM(I8:I38)</f>
        <v>4585980</v>
      </c>
      <c r="D4" s="6"/>
      <c r="E4" s="8">
        <f>IFERROR(C4/A4,0)</f>
        <v>0.263562069</v>
      </c>
      <c r="F4" s="6"/>
      <c r="G4" s="25">
        <f>COUNTIF(I8:I38,"&gt;0")</f>
        <v>31</v>
      </c>
      <c r="H4" s="6"/>
      <c r="I4" s="7">
        <f>A4-C4</f>
        <v>12814020</v>
      </c>
      <c r="J4" s="6"/>
      <c r="K4" s="7">
        <f>IF((31-G4)&gt;0,(A4-C4)/(31-G4),0)</f>
        <v>0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SUM(C8:C38)</f>
        <v>17400000</v>
      </c>
      <c r="B6" s="6"/>
      <c r="C6" s="7">
        <f>IFERROR(C4/G4*31,0)</f>
        <v>4585980</v>
      </c>
      <c r="D6" s="6"/>
      <c r="E6" s="8">
        <f>IFERROR(O39/Q39,0)</f>
        <v>0.2632911392</v>
      </c>
      <c r="F6" s="6"/>
      <c r="G6" s="7">
        <f>IFERROR(I39/O39,0)</f>
        <v>22047.98077</v>
      </c>
      <c r="H6" s="6"/>
      <c r="I6" s="26">
        <f>IFERROR(P39/O39,0)</f>
        <v>1.0625</v>
      </c>
      <c r="J6" s="6"/>
      <c r="K6" s="8">
        <f>IFERROR(R39/Q39,0)</f>
        <v>0.3721518987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99</v>
      </c>
      <c r="H7" s="9" t="s">
        <v>107</v>
      </c>
      <c r="I7" s="9" t="s">
        <v>51</v>
      </c>
      <c r="J7" s="9" t="s">
        <v>19</v>
      </c>
      <c r="K7" s="9" t="s">
        <v>52</v>
      </c>
      <c r="L7" s="9" t="s">
        <v>53</v>
      </c>
      <c r="M7" s="9" t="s">
        <v>54</v>
      </c>
      <c r="N7" s="9" t="s">
        <v>55</v>
      </c>
      <c r="O7" s="9" t="s">
        <v>14</v>
      </c>
      <c r="P7" s="9" t="s">
        <v>56</v>
      </c>
      <c r="Q7" s="9" t="s">
        <v>15</v>
      </c>
      <c r="R7" s="9" t="s">
        <v>57</v>
      </c>
      <c r="S7" s="9" t="s">
        <v>58</v>
      </c>
      <c r="T7" s="9" t="s">
        <v>16</v>
      </c>
      <c r="U7" s="9" t="s">
        <v>17</v>
      </c>
      <c r="V7" s="9" t="s">
        <v>43</v>
      </c>
      <c r="W7" s="9" t="s">
        <v>44</v>
      </c>
      <c r="X7" s="9" t="s">
        <v>59</v>
      </c>
      <c r="Y7" s="9" t="s">
        <v>60</v>
      </c>
      <c r="Z7" s="9" t="s">
        <v>61</v>
      </c>
      <c r="AA7" s="9" t="s">
        <v>62</v>
      </c>
      <c r="AC7" s="27" t="s">
        <v>63</v>
      </c>
      <c r="AD7" s="27" t="s">
        <v>64</v>
      </c>
      <c r="AE7" s="27" t="s">
        <v>65</v>
      </c>
      <c r="AF7" s="27" t="s">
        <v>16</v>
      </c>
      <c r="AG7" s="27" t="s">
        <v>17</v>
      </c>
    </row>
    <row r="8">
      <c r="A8" s="28">
        <v>46235.0</v>
      </c>
      <c r="B8" s="10" t="str">
        <f t="shared" ref="B8:B38" si="2">MID("日月火水木金土",WEEKDAY(A8),1)</f>
        <v>土</v>
      </c>
      <c r="C8" s="49">
        <v>660000.0</v>
      </c>
      <c r="D8" s="11">
        <f t="shared" ref="D8:D38" si="3">SUM($C$8:C8)</f>
        <v>660000</v>
      </c>
      <c r="E8" s="49">
        <v>23810.0</v>
      </c>
      <c r="F8" s="49">
        <v>175910.0</v>
      </c>
      <c r="G8" s="29"/>
      <c r="H8" s="29"/>
      <c r="I8" s="11">
        <f t="shared" ref="I8:I38" si="4">IF(COUNT(E8:H8)=0,"",SUM(E8:H8))</f>
        <v>199720</v>
      </c>
      <c r="J8" s="11">
        <f t="shared" ref="J8:J38" si="5">IF(I8="","",SUM($I$8:I8))</f>
        <v>199720</v>
      </c>
      <c r="K8" s="12">
        <f t="shared" ref="K8:L8" si="1">IF(I8="","",IFERROR(I8/C8,""))</f>
        <v>0.3026060606</v>
      </c>
      <c r="L8" s="12">
        <f t="shared" si="1"/>
        <v>0.3026060606</v>
      </c>
      <c r="M8" s="11">
        <f t="shared" ref="M8:M38" si="7">IF(J8="","",IF(D8=0,"",J8-D8))</f>
        <v>-460280</v>
      </c>
      <c r="N8" s="30" t="str">
        <f t="shared" ref="N8:N38" si="8">IF(I8="","—",IF(D8=0,"予算未入力",IF(J8&gt;=D8,"◎ ペース内","▲ 遅れ")))</f>
        <v>▲ 遅れ</v>
      </c>
      <c r="O8" s="50">
        <v>9.0</v>
      </c>
      <c r="P8" s="50">
        <v>9.0</v>
      </c>
      <c r="Q8" s="50">
        <v>36.0</v>
      </c>
      <c r="R8" s="50">
        <v>17.0</v>
      </c>
      <c r="S8" s="50">
        <v>29.0</v>
      </c>
      <c r="T8" s="12">
        <f t="shared" ref="T8:T39" si="9">IFERROR(O8/Q8,"")</f>
        <v>0.25</v>
      </c>
      <c r="U8" s="11">
        <f t="shared" ref="U8:U39" si="10">IFERROR(I8/O8,"")</f>
        <v>22191.11111</v>
      </c>
      <c r="V8" s="32">
        <f t="shared" ref="V8:V39" si="11">IFERROR(P8/O8,"")</f>
        <v>1</v>
      </c>
      <c r="W8" s="12">
        <f t="shared" ref="W8:W39" si="12">IFERROR(R8/Q8,"")</f>
        <v>0.4722222222</v>
      </c>
      <c r="X8" s="31"/>
      <c r="Y8" s="50">
        <v>8774.0</v>
      </c>
      <c r="Z8" s="29"/>
      <c r="AA8" s="33"/>
      <c r="AC8" s="34" t="s">
        <v>7</v>
      </c>
      <c r="AD8" s="35">
        <f t="shared" ref="AD8:AD14" si="13">IFERROR(AVERAGEIFS($I$8:$I$38,$B$8:$B$38,AC8,$I$8:$I$38,"&gt;0"),0)</f>
        <v>104575</v>
      </c>
      <c r="AE8" s="36">
        <f t="shared" ref="AE8:AE14" si="14">COUNTIFS($B$8:$B$38,AC8,$I$8:$I$38,"&gt;0")</f>
        <v>5</v>
      </c>
      <c r="AF8" s="37">
        <f t="shared" ref="AF8:AF14" si="15">IFERROR(SUMIF($B$8:$B$38,AC8,$O$8:$O$38)/SUMIF($B$8:$B$38,AC8,$Q$8:$Q$38),0)</f>
        <v>0.2474226804</v>
      </c>
      <c r="AG8" s="35">
        <f t="shared" ref="AG8:AG14" si="16">IFERROR(SUMIF($B$8:$B$38,AC8,$I$8:$I$38)/SUMIF($B$8:$B$38,AC8,$O$8:$O$38),0)</f>
        <v>21786.45833</v>
      </c>
    </row>
    <row r="9">
      <c r="A9" s="38">
        <v>46236.0</v>
      </c>
      <c r="B9" s="14" t="str">
        <f t="shared" si="2"/>
        <v>日</v>
      </c>
      <c r="C9" s="49">
        <v>660000.0</v>
      </c>
      <c r="D9" s="15">
        <f t="shared" si="3"/>
        <v>1320000</v>
      </c>
      <c r="E9" s="29"/>
      <c r="F9" s="49">
        <v>167450.0</v>
      </c>
      <c r="G9" s="29"/>
      <c r="H9" s="29"/>
      <c r="I9" s="15">
        <f t="shared" si="4"/>
        <v>167450</v>
      </c>
      <c r="J9" s="15">
        <f t="shared" si="5"/>
        <v>367170</v>
      </c>
      <c r="K9" s="16">
        <f t="shared" ref="K9:L9" si="6">IF(I9="","",IFERROR(I9/C9,""))</f>
        <v>0.2537121212</v>
      </c>
      <c r="L9" s="16">
        <f t="shared" si="6"/>
        <v>0.2781590909</v>
      </c>
      <c r="M9" s="15">
        <f t="shared" si="7"/>
        <v>-952830</v>
      </c>
      <c r="N9" s="39" t="str">
        <f t="shared" si="8"/>
        <v>▲ 遅れ</v>
      </c>
      <c r="O9" s="50">
        <v>7.0</v>
      </c>
      <c r="P9" s="50">
        <v>8.0</v>
      </c>
      <c r="Q9" s="50">
        <v>36.0</v>
      </c>
      <c r="R9" s="50">
        <v>9.0</v>
      </c>
      <c r="S9" s="50">
        <v>16.0</v>
      </c>
      <c r="T9" s="16">
        <f t="shared" si="9"/>
        <v>0.1944444444</v>
      </c>
      <c r="U9" s="15">
        <f t="shared" si="10"/>
        <v>23921.42857</v>
      </c>
      <c r="V9" s="40">
        <f t="shared" si="11"/>
        <v>1.142857143</v>
      </c>
      <c r="W9" s="16">
        <f t="shared" si="12"/>
        <v>0.25</v>
      </c>
      <c r="X9" s="31"/>
      <c r="Y9" s="50">
        <v>8773.0</v>
      </c>
      <c r="Z9" s="29"/>
      <c r="AA9" s="33"/>
      <c r="AC9" s="34" t="s">
        <v>66</v>
      </c>
      <c r="AD9" s="35">
        <f t="shared" si="13"/>
        <v>110211.75</v>
      </c>
      <c r="AE9" s="36">
        <f t="shared" si="14"/>
        <v>4</v>
      </c>
      <c r="AF9" s="37">
        <f t="shared" si="15"/>
        <v>0.19</v>
      </c>
      <c r="AG9" s="35">
        <f t="shared" si="16"/>
        <v>23202.47368</v>
      </c>
    </row>
    <row r="10">
      <c r="A10" s="28">
        <v>46237.0</v>
      </c>
      <c r="B10" s="10" t="str">
        <f t="shared" si="2"/>
        <v>月</v>
      </c>
      <c r="C10" s="49">
        <v>440000.0</v>
      </c>
      <c r="D10" s="11">
        <f t="shared" si="3"/>
        <v>1760000</v>
      </c>
      <c r="E10" s="49">
        <v>43720.0</v>
      </c>
      <c r="F10" s="49">
        <v>64009.0</v>
      </c>
      <c r="G10" s="29"/>
      <c r="H10" s="29"/>
      <c r="I10" s="11">
        <f t="shared" si="4"/>
        <v>107729</v>
      </c>
      <c r="J10" s="11">
        <f t="shared" si="5"/>
        <v>474899</v>
      </c>
      <c r="K10" s="12">
        <f t="shared" ref="K10:L10" si="17">IF(I10="","",IFERROR(I10/C10,""))</f>
        <v>0.2448386364</v>
      </c>
      <c r="L10" s="12">
        <f t="shared" si="17"/>
        <v>0.2698289773</v>
      </c>
      <c r="M10" s="11">
        <f t="shared" si="7"/>
        <v>-1285101</v>
      </c>
      <c r="N10" s="30" t="str">
        <f t="shared" si="8"/>
        <v>▲ 遅れ</v>
      </c>
      <c r="O10" s="50">
        <v>5.0</v>
      </c>
      <c r="P10" s="50">
        <v>5.0</v>
      </c>
      <c r="Q10" s="50">
        <v>18.0</v>
      </c>
      <c r="R10" s="50">
        <v>5.0</v>
      </c>
      <c r="S10" s="50">
        <v>7.0</v>
      </c>
      <c r="T10" s="12">
        <f t="shared" si="9"/>
        <v>0.2777777778</v>
      </c>
      <c r="U10" s="11">
        <f t="shared" si="10"/>
        <v>21545.8</v>
      </c>
      <c r="V10" s="32">
        <f t="shared" si="11"/>
        <v>1</v>
      </c>
      <c r="W10" s="12">
        <f t="shared" si="12"/>
        <v>0.2777777778</v>
      </c>
      <c r="X10" s="31"/>
      <c r="Y10" s="50">
        <v>8770.0</v>
      </c>
      <c r="Z10" s="29"/>
      <c r="AA10" s="33"/>
      <c r="AC10" s="34" t="s">
        <v>67</v>
      </c>
      <c r="AD10" s="35">
        <f t="shared" si="13"/>
        <v>138166.25</v>
      </c>
      <c r="AE10" s="36">
        <f t="shared" si="14"/>
        <v>4</v>
      </c>
      <c r="AF10" s="37">
        <f t="shared" si="15"/>
        <v>0.2903225806</v>
      </c>
      <c r="AG10" s="35">
        <f t="shared" si="16"/>
        <v>20469.07407</v>
      </c>
    </row>
    <row r="11">
      <c r="A11" s="38">
        <v>46238.0</v>
      </c>
      <c r="B11" s="14" t="str">
        <f t="shared" si="2"/>
        <v>火</v>
      </c>
      <c r="C11" s="49">
        <v>440000.0</v>
      </c>
      <c r="D11" s="15">
        <f t="shared" si="3"/>
        <v>2200000</v>
      </c>
      <c r="E11" s="49">
        <v>0.0</v>
      </c>
      <c r="F11" s="49">
        <v>30110.0</v>
      </c>
      <c r="G11" s="49">
        <v>13000.0</v>
      </c>
      <c r="H11" s="29"/>
      <c r="I11" s="15">
        <f t="shared" si="4"/>
        <v>43110</v>
      </c>
      <c r="J11" s="15">
        <f t="shared" si="5"/>
        <v>518009</v>
      </c>
      <c r="K11" s="16">
        <f t="shared" ref="K11:L11" si="18">IF(I11="","",IFERROR(I11/C11,""))</f>
        <v>0.09797727273</v>
      </c>
      <c r="L11" s="16">
        <f t="shared" si="18"/>
        <v>0.2354586364</v>
      </c>
      <c r="M11" s="15">
        <f t="shared" si="7"/>
        <v>-1681991</v>
      </c>
      <c r="N11" s="39" t="str">
        <f t="shared" si="8"/>
        <v>▲ 遅れ</v>
      </c>
      <c r="O11" s="50">
        <v>2.0</v>
      </c>
      <c r="P11" s="50">
        <v>2.0</v>
      </c>
      <c r="Q11" s="50">
        <v>15.0</v>
      </c>
      <c r="R11" s="50">
        <v>4.0</v>
      </c>
      <c r="S11" s="50">
        <v>4.0</v>
      </c>
      <c r="T11" s="16">
        <f t="shared" si="9"/>
        <v>0.1333333333</v>
      </c>
      <c r="U11" s="15">
        <f t="shared" si="10"/>
        <v>21555</v>
      </c>
      <c r="V11" s="40">
        <f t="shared" si="11"/>
        <v>1</v>
      </c>
      <c r="W11" s="16">
        <f t="shared" si="12"/>
        <v>0.2666666667</v>
      </c>
      <c r="X11" s="31"/>
      <c r="Y11" s="31"/>
      <c r="Z11" s="29"/>
      <c r="AA11" s="33"/>
      <c r="AC11" s="34" t="s">
        <v>68</v>
      </c>
      <c r="AD11" s="35">
        <f t="shared" si="13"/>
        <v>134706.25</v>
      </c>
      <c r="AE11" s="36">
        <f t="shared" si="14"/>
        <v>4</v>
      </c>
      <c r="AF11" s="37">
        <f t="shared" si="15"/>
        <v>0.25</v>
      </c>
      <c r="AG11" s="35">
        <f t="shared" si="16"/>
        <v>22451.04167</v>
      </c>
    </row>
    <row r="12">
      <c r="A12" s="28">
        <v>46239.0</v>
      </c>
      <c r="B12" s="10" t="str">
        <f t="shared" si="2"/>
        <v>水</v>
      </c>
      <c r="C12" s="49">
        <v>440000.0</v>
      </c>
      <c r="D12" s="11">
        <f t="shared" si="3"/>
        <v>2640000</v>
      </c>
      <c r="E12" s="49">
        <v>59549.0</v>
      </c>
      <c r="F12" s="49">
        <v>39798.0</v>
      </c>
      <c r="G12" s="29"/>
      <c r="H12" s="29"/>
      <c r="I12" s="11">
        <f t="shared" si="4"/>
        <v>99347</v>
      </c>
      <c r="J12" s="11">
        <f t="shared" si="5"/>
        <v>617356</v>
      </c>
      <c r="K12" s="12">
        <f t="shared" ref="K12:L12" si="19">IF(I12="","",IFERROR(I12/C12,""))</f>
        <v>0.2257886364</v>
      </c>
      <c r="L12" s="12">
        <f t="shared" si="19"/>
        <v>0.2338469697</v>
      </c>
      <c r="M12" s="11">
        <f t="shared" si="7"/>
        <v>-2022644</v>
      </c>
      <c r="N12" s="30" t="str">
        <f t="shared" si="8"/>
        <v>▲ 遅れ</v>
      </c>
      <c r="O12" s="50">
        <v>6.0</v>
      </c>
      <c r="P12" s="50">
        <v>6.0</v>
      </c>
      <c r="Q12" s="50">
        <v>17.0</v>
      </c>
      <c r="R12" s="50">
        <v>4.0</v>
      </c>
      <c r="S12" s="50">
        <v>6.0</v>
      </c>
      <c r="T12" s="12">
        <f t="shared" si="9"/>
        <v>0.3529411765</v>
      </c>
      <c r="U12" s="11">
        <f t="shared" si="10"/>
        <v>16557.83333</v>
      </c>
      <c r="V12" s="32">
        <f t="shared" si="11"/>
        <v>1</v>
      </c>
      <c r="W12" s="12">
        <f t="shared" si="12"/>
        <v>0.2352941176</v>
      </c>
      <c r="X12" s="31"/>
      <c r="Y12" s="51">
        <v>8770.0</v>
      </c>
      <c r="Z12" s="29"/>
      <c r="AA12" s="33"/>
      <c r="AC12" s="34" t="s">
        <v>69</v>
      </c>
      <c r="AD12" s="35">
        <f t="shared" si="13"/>
        <v>132400.25</v>
      </c>
      <c r="AE12" s="36">
        <f t="shared" si="14"/>
        <v>4</v>
      </c>
      <c r="AF12" s="37">
        <f t="shared" si="15"/>
        <v>0.2674418605</v>
      </c>
      <c r="AG12" s="35">
        <f t="shared" si="16"/>
        <v>23026.13043</v>
      </c>
    </row>
    <row r="13">
      <c r="A13" s="38">
        <v>46240.0</v>
      </c>
      <c r="B13" s="14" t="str">
        <f t="shared" si="2"/>
        <v>木</v>
      </c>
      <c r="C13" s="49">
        <v>440000.0</v>
      </c>
      <c r="D13" s="15">
        <f t="shared" si="3"/>
        <v>3080000</v>
      </c>
      <c r="E13" s="49">
        <v>0.0</v>
      </c>
      <c r="F13" s="49">
        <v>70230.0</v>
      </c>
      <c r="G13" s="29"/>
      <c r="H13" s="29"/>
      <c r="I13" s="15">
        <f t="shared" si="4"/>
        <v>70230</v>
      </c>
      <c r="J13" s="15">
        <f t="shared" si="5"/>
        <v>687586</v>
      </c>
      <c r="K13" s="16">
        <f t="shared" ref="K13:L13" si="20">IF(I13="","",IFERROR(I13/C13,""))</f>
        <v>0.1596136364</v>
      </c>
      <c r="L13" s="16">
        <f t="shared" si="20"/>
        <v>0.2232422078</v>
      </c>
      <c r="M13" s="15">
        <f t="shared" si="7"/>
        <v>-2392414</v>
      </c>
      <c r="N13" s="39" t="str">
        <f t="shared" si="8"/>
        <v>▲ 遅れ</v>
      </c>
      <c r="O13" s="50">
        <v>3.0</v>
      </c>
      <c r="P13" s="50">
        <v>3.0</v>
      </c>
      <c r="Q13" s="50">
        <v>17.0</v>
      </c>
      <c r="R13" s="50">
        <v>4.0</v>
      </c>
      <c r="S13" s="50">
        <v>4.0</v>
      </c>
      <c r="T13" s="16">
        <f t="shared" si="9"/>
        <v>0.1764705882</v>
      </c>
      <c r="U13" s="15">
        <f t="shared" si="10"/>
        <v>23410</v>
      </c>
      <c r="V13" s="40">
        <f t="shared" si="11"/>
        <v>1</v>
      </c>
      <c r="W13" s="16">
        <f t="shared" si="12"/>
        <v>0.2352941176</v>
      </c>
      <c r="X13" s="31"/>
      <c r="Y13" s="50">
        <v>8767.0</v>
      </c>
      <c r="Z13" s="29"/>
      <c r="AA13" s="33"/>
      <c r="AC13" s="34" t="s">
        <v>70</v>
      </c>
      <c r="AD13" s="35">
        <f t="shared" si="13"/>
        <v>199168.2</v>
      </c>
      <c r="AE13" s="36">
        <f t="shared" si="14"/>
        <v>5</v>
      </c>
      <c r="AF13" s="37">
        <f t="shared" si="15"/>
        <v>0.2901234568</v>
      </c>
      <c r="AG13" s="35">
        <f t="shared" si="16"/>
        <v>21188.10638</v>
      </c>
    </row>
    <row r="14">
      <c r="A14" s="28">
        <v>46241.0</v>
      </c>
      <c r="B14" s="10" t="str">
        <f t="shared" si="2"/>
        <v>金</v>
      </c>
      <c r="C14" s="49">
        <v>440000.0</v>
      </c>
      <c r="D14" s="11">
        <f t="shared" si="3"/>
        <v>3520000</v>
      </c>
      <c r="E14" s="49">
        <v>36828.0</v>
      </c>
      <c r="F14" s="49">
        <v>22110.0</v>
      </c>
      <c r="G14" s="29"/>
      <c r="H14" s="29"/>
      <c r="I14" s="11">
        <f t="shared" si="4"/>
        <v>58938</v>
      </c>
      <c r="J14" s="11">
        <f t="shared" si="5"/>
        <v>746524</v>
      </c>
      <c r="K14" s="12">
        <f t="shared" ref="K14:L14" si="21">IF(I14="","",IFERROR(I14/C14,""))</f>
        <v>0.13395</v>
      </c>
      <c r="L14" s="12">
        <f t="shared" si="21"/>
        <v>0.2120806818</v>
      </c>
      <c r="M14" s="11">
        <f t="shared" si="7"/>
        <v>-2773476</v>
      </c>
      <c r="N14" s="30" t="str">
        <f t="shared" si="8"/>
        <v>▲ 遅れ</v>
      </c>
      <c r="O14" s="50">
        <v>3.0</v>
      </c>
      <c r="P14" s="50">
        <v>3.0</v>
      </c>
      <c r="Q14" s="50">
        <v>17.0</v>
      </c>
      <c r="R14" s="50">
        <v>5.0</v>
      </c>
      <c r="S14" s="50">
        <v>6.0</v>
      </c>
      <c r="T14" s="12">
        <f t="shared" si="9"/>
        <v>0.1764705882</v>
      </c>
      <c r="U14" s="11">
        <f t="shared" si="10"/>
        <v>19646</v>
      </c>
      <c r="V14" s="32">
        <f t="shared" si="11"/>
        <v>1</v>
      </c>
      <c r="W14" s="12">
        <f t="shared" si="12"/>
        <v>0.2941176471</v>
      </c>
      <c r="X14" s="31"/>
      <c r="Y14" s="50">
        <v>8767.0</v>
      </c>
      <c r="Z14" s="29"/>
      <c r="AA14" s="33"/>
      <c r="AC14" s="34" t="s">
        <v>71</v>
      </c>
      <c r="AD14" s="35">
        <f t="shared" si="13"/>
        <v>201065.2</v>
      </c>
      <c r="AE14" s="36">
        <f t="shared" si="14"/>
        <v>5</v>
      </c>
      <c r="AF14" s="37">
        <f t="shared" si="15"/>
        <v>0.2820512821</v>
      </c>
      <c r="AG14" s="35">
        <f t="shared" si="16"/>
        <v>22848.31818</v>
      </c>
    </row>
    <row r="15">
      <c r="A15" s="38">
        <v>46242.0</v>
      </c>
      <c r="B15" s="14" t="str">
        <f t="shared" si="2"/>
        <v>土</v>
      </c>
      <c r="C15" s="49">
        <v>660000.0</v>
      </c>
      <c r="D15" s="15">
        <f t="shared" si="3"/>
        <v>4180000</v>
      </c>
      <c r="E15" s="49">
        <v>41509.0</v>
      </c>
      <c r="F15" s="49">
        <v>139200.0</v>
      </c>
      <c r="G15" s="29"/>
      <c r="H15" s="29"/>
      <c r="I15" s="15">
        <f t="shared" si="4"/>
        <v>180709</v>
      </c>
      <c r="J15" s="15">
        <f t="shared" si="5"/>
        <v>927233</v>
      </c>
      <c r="K15" s="16">
        <f t="shared" ref="K15:L15" si="22">IF(I15="","",IFERROR(I15/C15,""))</f>
        <v>0.2738015152</v>
      </c>
      <c r="L15" s="16">
        <f t="shared" si="22"/>
        <v>0.2218260766</v>
      </c>
      <c r="M15" s="15">
        <f t="shared" si="7"/>
        <v>-3252767</v>
      </c>
      <c r="N15" s="39" t="str">
        <f t="shared" si="8"/>
        <v>▲ 遅れ</v>
      </c>
      <c r="O15" s="50">
        <v>10.0</v>
      </c>
      <c r="P15" s="50">
        <v>10.0</v>
      </c>
      <c r="Q15" s="50">
        <v>35.0</v>
      </c>
      <c r="R15" s="50">
        <v>10.0</v>
      </c>
      <c r="S15" s="50">
        <v>15.0</v>
      </c>
      <c r="T15" s="16">
        <f t="shared" si="9"/>
        <v>0.2857142857</v>
      </c>
      <c r="U15" s="15">
        <f t="shared" si="10"/>
        <v>18070.9</v>
      </c>
      <c r="V15" s="40">
        <f t="shared" si="11"/>
        <v>1</v>
      </c>
      <c r="W15" s="16">
        <f t="shared" si="12"/>
        <v>0.2857142857</v>
      </c>
      <c r="X15" s="31"/>
      <c r="Y15" s="50">
        <v>8763.0</v>
      </c>
      <c r="Z15" s="29"/>
      <c r="AA15" s="33"/>
    </row>
    <row r="16">
      <c r="A16" s="28">
        <v>46243.0</v>
      </c>
      <c r="B16" s="10" t="str">
        <f t="shared" si="2"/>
        <v>日</v>
      </c>
      <c r="C16" s="49">
        <v>660000.0</v>
      </c>
      <c r="D16" s="11">
        <f t="shared" si="3"/>
        <v>4840000</v>
      </c>
      <c r="E16" s="49">
        <v>53020.0</v>
      </c>
      <c r="F16" s="49">
        <v>109269.0</v>
      </c>
      <c r="G16" s="29"/>
      <c r="H16" s="29"/>
      <c r="I16" s="11">
        <f t="shared" si="4"/>
        <v>162289</v>
      </c>
      <c r="J16" s="11">
        <f t="shared" si="5"/>
        <v>1089522</v>
      </c>
      <c r="K16" s="12">
        <f t="shared" ref="K16:L16" si="23">IF(I16="","",IFERROR(I16/C16,""))</f>
        <v>0.2458924242</v>
      </c>
      <c r="L16" s="12">
        <f t="shared" si="23"/>
        <v>0.2251078512</v>
      </c>
      <c r="M16" s="11">
        <f t="shared" si="7"/>
        <v>-3750478</v>
      </c>
      <c r="N16" s="30" t="str">
        <f t="shared" si="8"/>
        <v>▲ 遅れ</v>
      </c>
      <c r="O16" s="50">
        <v>6.0</v>
      </c>
      <c r="P16" s="50">
        <v>6.0</v>
      </c>
      <c r="Q16" s="50">
        <v>25.0</v>
      </c>
      <c r="R16" s="50">
        <v>12.0</v>
      </c>
      <c r="S16" s="50">
        <v>20.0</v>
      </c>
      <c r="T16" s="12">
        <f t="shared" si="9"/>
        <v>0.24</v>
      </c>
      <c r="U16" s="11">
        <f t="shared" si="10"/>
        <v>27048.16667</v>
      </c>
      <c r="V16" s="32">
        <f t="shared" si="11"/>
        <v>1</v>
      </c>
      <c r="W16" s="12">
        <f t="shared" si="12"/>
        <v>0.48</v>
      </c>
      <c r="X16" s="31"/>
      <c r="Y16" s="50">
        <v>8760.0</v>
      </c>
      <c r="Z16" s="29"/>
      <c r="AA16" s="33"/>
      <c r="AC16" s="22" t="s">
        <v>72</v>
      </c>
    </row>
    <row r="17">
      <c r="A17" s="38">
        <v>46244.0</v>
      </c>
      <c r="B17" s="14" t="str">
        <f t="shared" si="2"/>
        <v>月</v>
      </c>
      <c r="C17" s="49">
        <v>440000.0</v>
      </c>
      <c r="D17" s="15">
        <f t="shared" si="3"/>
        <v>5280000</v>
      </c>
      <c r="E17" s="49">
        <v>17210.0</v>
      </c>
      <c r="F17" s="49">
        <v>128669.0</v>
      </c>
      <c r="G17" s="29"/>
      <c r="H17" s="29"/>
      <c r="I17" s="15">
        <f t="shared" si="4"/>
        <v>145879</v>
      </c>
      <c r="J17" s="15">
        <f t="shared" si="5"/>
        <v>1235401</v>
      </c>
      <c r="K17" s="16">
        <f t="shared" ref="K17:L17" si="24">IF(I17="","",IFERROR(I17/C17,""))</f>
        <v>0.3315431818</v>
      </c>
      <c r="L17" s="16">
        <f t="shared" si="24"/>
        <v>0.2339774621</v>
      </c>
      <c r="M17" s="15">
        <f t="shared" si="7"/>
        <v>-4044599</v>
      </c>
      <c r="N17" s="39" t="str">
        <f t="shared" si="8"/>
        <v>▲ 遅れ</v>
      </c>
      <c r="O17" s="50">
        <v>7.0</v>
      </c>
      <c r="P17" s="50">
        <v>8.0</v>
      </c>
      <c r="Q17" s="50">
        <v>25.0</v>
      </c>
      <c r="R17" s="50">
        <v>9.0</v>
      </c>
      <c r="S17" s="50">
        <v>18.0</v>
      </c>
      <c r="T17" s="16">
        <f t="shared" si="9"/>
        <v>0.28</v>
      </c>
      <c r="U17" s="15">
        <f t="shared" si="10"/>
        <v>20839.85714</v>
      </c>
      <c r="V17" s="40">
        <f t="shared" si="11"/>
        <v>1.142857143</v>
      </c>
      <c r="W17" s="16">
        <f t="shared" si="12"/>
        <v>0.36</v>
      </c>
      <c r="X17" s="31"/>
      <c r="Y17" s="50">
        <v>8757.0</v>
      </c>
      <c r="Z17" s="29"/>
      <c r="AA17" s="33"/>
    </row>
    <row r="18">
      <c r="A18" s="28">
        <v>46245.0</v>
      </c>
      <c r="B18" s="10" t="str">
        <f t="shared" si="2"/>
        <v>火</v>
      </c>
      <c r="C18" s="49">
        <v>660000.0</v>
      </c>
      <c r="D18" s="11">
        <f t="shared" si="3"/>
        <v>5940000</v>
      </c>
      <c r="E18" s="49">
        <v>94040.0</v>
      </c>
      <c r="F18" s="49">
        <v>166569.0</v>
      </c>
      <c r="G18" s="29"/>
      <c r="H18" s="29"/>
      <c r="I18" s="11">
        <f t="shared" si="4"/>
        <v>260609</v>
      </c>
      <c r="J18" s="11">
        <f t="shared" si="5"/>
        <v>1496010</v>
      </c>
      <c r="K18" s="12">
        <f t="shared" ref="K18:L18" si="25">IF(I18="","",IFERROR(I18/C18,""))</f>
        <v>0.3948621212</v>
      </c>
      <c r="L18" s="12">
        <f t="shared" si="25"/>
        <v>0.2518535354</v>
      </c>
      <c r="M18" s="11">
        <f t="shared" si="7"/>
        <v>-4443990</v>
      </c>
      <c r="N18" s="30" t="str">
        <f t="shared" si="8"/>
        <v>▲ 遅れ</v>
      </c>
      <c r="O18" s="50">
        <v>10.0</v>
      </c>
      <c r="P18" s="50">
        <v>11.0</v>
      </c>
      <c r="Q18" s="50">
        <v>45.0</v>
      </c>
      <c r="R18" s="50">
        <v>15.0</v>
      </c>
      <c r="S18" s="50">
        <v>20.0</v>
      </c>
      <c r="T18" s="12">
        <f t="shared" si="9"/>
        <v>0.2222222222</v>
      </c>
      <c r="U18" s="11">
        <f t="shared" si="10"/>
        <v>26060.9</v>
      </c>
      <c r="V18" s="32">
        <f t="shared" si="11"/>
        <v>1.1</v>
      </c>
      <c r="W18" s="12">
        <f t="shared" si="12"/>
        <v>0.3333333333</v>
      </c>
      <c r="X18" s="31"/>
      <c r="Y18" s="50">
        <v>8755.0</v>
      </c>
      <c r="Z18" s="29"/>
      <c r="AA18" s="33"/>
      <c r="AC18" s="23" t="s">
        <v>73</v>
      </c>
      <c r="AJ18" s="22" t="s">
        <v>108</v>
      </c>
      <c r="AK18" s="41">
        <f>$A$8+MOD(2-WEEKDAY($A$8,2)+7,7)</f>
        <v>46238</v>
      </c>
    </row>
    <row r="19">
      <c r="A19" s="38">
        <v>46246.0</v>
      </c>
      <c r="B19" s="14" t="str">
        <f t="shared" si="2"/>
        <v>水</v>
      </c>
      <c r="C19" s="49">
        <v>440000.0</v>
      </c>
      <c r="D19" s="15">
        <f t="shared" si="3"/>
        <v>6380000</v>
      </c>
      <c r="E19" s="49">
        <v>66920.0</v>
      </c>
      <c r="F19" s="49">
        <v>41778.0</v>
      </c>
      <c r="G19" s="29"/>
      <c r="H19" s="29"/>
      <c r="I19" s="15">
        <f t="shared" si="4"/>
        <v>108698</v>
      </c>
      <c r="J19" s="15">
        <f t="shared" si="5"/>
        <v>1604708</v>
      </c>
      <c r="K19" s="16">
        <f t="shared" ref="K19:L19" si="26">IF(I19="","",IFERROR(I19/C19,""))</f>
        <v>0.2470409091</v>
      </c>
      <c r="L19" s="16">
        <f t="shared" si="26"/>
        <v>0.2515216301</v>
      </c>
      <c r="M19" s="15">
        <f t="shared" si="7"/>
        <v>-4775292</v>
      </c>
      <c r="N19" s="39" t="str">
        <f t="shared" si="8"/>
        <v>▲ 遅れ</v>
      </c>
      <c r="O19" s="50">
        <v>5.0</v>
      </c>
      <c r="P19" s="50">
        <v>5.0</v>
      </c>
      <c r="Q19" s="50">
        <v>34.0</v>
      </c>
      <c r="R19" s="50">
        <v>10.0</v>
      </c>
      <c r="S19" s="50">
        <v>15.0</v>
      </c>
      <c r="T19" s="16">
        <f t="shared" si="9"/>
        <v>0.1470588235</v>
      </c>
      <c r="U19" s="15">
        <f t="shared" si="10"/>
        <v>21739.6</v>
      </c>
      <c r="V19" s="40">
        <f t="shared" si="11"/>
        <v>1</v>
      </c>
      <c r="W19" s="16">
        <f t="shared" si="12"/>
        <v>0.2941176471</v>
      </c>
      <c r="X19" s="31"/>
      <c r="Y19" s="50">
        <v>8754.0</v>
      </c>
      <c r="Z19" s="29"/>
      <c r="AA19" s="33"/>
      <c r="AC19" s="27" t="s">
        <v>75</v>
      </c>
      <c r="AD19" s="27" t="s">
        <v>76</v>
      </c>
      <c r="AE19" s="27" t="s">
        <v>77</v>
      </c>
      <c r="AF19" s="27" t="s">
        <v>16</v>
      </c>
      <c r="AG19" s="27" t="s">
        <v>17</v>
      </c>
      <c r="AH19" s="27" t="s">
        <v>43</v>
      </c>
      <c r="AI19" s="27" t="s">
        <v>44</v>
      </c>
    </row>
    <row r="20">
      <c r="A20" s="28">
        <v>46247.0</v>
      </c>
      <c r="B20" s="10" t="str">
        <f t="shared" si="2"/>
        <v>木</v>
      </c>
      <c r="C20" s="49">
        <v>885000.0</v>
      </c>
      <c r="D20" s="11">
        <f t="shared" si="3"/>
        <v>7265000</v>
      </c>
      <c r="E20" s="49">
        <v>42220.0</v>
      </c>
      <c r="F20" s="49">
        <v>118258.0</v>
      </c>
      <c r="G20" s="29"/>
      <c r="H20" s="29"/>
      <c r="I20" s="11">
        <f t="shared" si="4"/>
        <v>160478</v>
      </c>
      <c r="J20" s="11">
        <f t="shared" si="5"/>
        <v>1765186</v>
      </c>
      <c r="K20" s="12">
        <f t="shared" ref="K20:L20" si="27">IF(I20="","",IFERROR(I20/C20,""))</f>
        <v>0.1813310734</v>
      </c>
      <c r="L20" s="12">
        <f t="shared" si="27"/>
        <v>0.2429712319</v>
      </c>
      <c r="M20" s="11">
        <f t="shared" si="7"/>
        <v>-5499814</v>
      </c>
      <c r="N20" s="30" t="str">
        <f t="shared" si="8"/>
        <v>▲ 遅れ</v>
      </c>
      <c r="O20" s="50">
        <v>7.0</v>
      </c>
      <c r="P20" s="50">
        <v>8.0</v>
      </c>
      <c r="Q20" s="50">
        <v>29.0</v>
      </c>
      <c r="R20" s="50">
        <v>7.0</v>
      </c>
      <c r="S20" s="50">
        <v>11.0</v>
      </c>
      <c r="T20" s="12">
        <f t="shared" si="9"/>
        <v>0.2413793103</v>
      </c>
      <c r="U20" s="11">
        <f t="shared" si="10"/>
        <v>22925.42857</v>
      </c>
      <c r="V20" s="32">
        <f t="shared" si="11"/>
        <v>1.142857143</v>
      </c>
      <c r="W20" s="12">
        <f t="shared" si="12"/>
        <v>0.2413793103</v>
      </c>
      <c r="X20" s="31"/>
      <c r="Y20" s="50">
        <v>8759.0</v>
      </c>
      <c r="Z20" s="29"/>
      <c r="AA20" s="33"/>
      <c r="AC20" s="36">
        <v>1.0</v>
      </c>
      <c r="AD20" s="42" t="str">
        <f>IF($AK$18+7*(1-1)&gt;$A$38,"",TEXT($AK$18+7*(1-1),"m/d")&amp;"-"&amp;TEXT($AK$18+7*(1-1)+6,"m/d"))</f>
        <v>8/4-8/10</v>
      </c>
      <c r="AE20" s="35">
        <f>IF($AD20="","",(SUMIFS($I$8:$I$38,$A$8:$A$38,"&gt;="&amp;$AK$18+7*(1-1),$A$8:$A$38,"&lt;="&amp;$AK$18+7*(1-1)+6)+SUMIFS('2026年09月'!$I$8:$I$37,'2026年09月'!$A$8:$A$37,"&gt;="&amp;$AK$18+7*(1-1),'2026年09月'!$A$8:$A$37,"&lt;="&amp;$AK$18+7*(1-1)+6)))</f>
        <v>760502</v>
      </c>
      <c r="AF20" s="37">
        <f>IF($AD20="","",IFERROR((SUMIFS($O$8:$O$38,$A$8:$A$38,"&gt;="&amp;$AK$18+7*(1-1),$A$8:$A$38,"&lt;="&amp;$AK$18+7*(1-1)+6)+SUMIFS('2026年09月'!$O$8:$O$37,'2026年09月'!$A$8:$A$37,"&gt;="&amp;$AK$18+7*(1-1),'2026年09月'!$A$8:$A$37,"&lt;="&amp;$AK$18+7*(1-1)+6))/(SUMIFS($Q$8:$Q$38,$A$8:$A$38,"&gt;="&amp;$AK$18+7*(1-1),$A$8:$A$38,"&lt;="&amp;$AK$18+7*(1-1)+6)+SUMIFS('2026年09月'!$Q$8:$Q$37,'2026年09月'!$A$8:$A$37,"&gt;="&amp;$AK$18+7*(1-1),'2026年09月'!$A$8:$A$37,"&lt;="&amp;$AK$18+7*(1-1)+6)),""))</f>
        <v>0.2450331126</v>
      </c>
      <c r="AG20" s="35">
        <f>IF($AD20="","",IFERROR((SUMIFS($I$8:$I$38,$A$8:$A$38,"&gt;="&amp;$AK$18+7*(1-1),$A$8:$A$38,"&lt;="&amp;$AK$18+7*(1-1)+6)+SUMIFS('2026年09月'!$I$8:$I$37,'2026年09月'!$A$8:$A$37,"&gt;="&amp;$AK$18+7*(1-1),'2026年09月'!$A$8:$A$37,"&lt;="&amp;$AK$18+7*(1-1)+6))/(SUMIFS($O$8:$O$38,$A$8:$A$38,"&gt;="&amp;$AK$18+7*(1-1),$A$8:$A$38,"&lt;="&amp;$AK$18+7*(1-1)+6)+SUMIFS('2026年09月'!$O$8:$O$37,'2026年09月'!$A$8:$A$37,"&gt;="&amp;$AK$18+7*(1-1),'2026年09月'!$A$8:$A$37,"&lt;="&amp;$AK$18+7*(1-1)+6)),""))</f>
        <v>20554.10811</v>
      </c>
      <c r="AH20" s="43">
        <f>IF($AD20="","",IFERROR((SUMIFS($P$8:$P$38,$A$8:$A$38,"&gt;="&amp;$AK$18+7*(1-1),$A$8:$A$38,"&lt;="&amp;$AK$18+7*(1-1)+6)+SUMIFS('2026年09月'!$P$8:$P$37,'2026年09月'!$A$8:$A$37,"&gt;="&amp;$AK$18+7*(1-1),'2026年09月'!$A$8:$A$37,"&lt;="&amp;$AK$18+7*(1-1)+6))/(SUMIFS($O$8:$O$38,$A$8:$A$38,"&gt;="&amp;$AK$18+7*(1-1),$A$8:$A$38,"&lt;="&amp;$AK$18+7*(1-1)+6)+SUMIFS('2026年09月'!$O$8:$O$37,'2026年09月'!$A$8:$A$37,"&gt;="&amp;$AK$18+7*(1-1),'2026年09月'!$A$8:$A$37,"&lt;="&amp;$AK$18+7*(1-1)+6)),""))</f>
        <v>1.027027027</v>
      </c>
      <c r="AI20" s="37">
        <f>IF($AD20="","",IFERROR((SUMIFS($R$8:$R$38,$A$8:$A$38,"&gt;="&amp;$AK$18+7*(1-1),$A$8:$A$38,"&lt;="&amp;$AK$18+7*(1-1)+6)+SUMIFS('2026年09月'!$R$8:$R$37,'2026年09月'!$A$8:$A$37,"&gt;="&amp;$AK$18+7*(1-1),'2026年09月'!$A$8:$A$37,"&lt;="&amp;$AK$18+7*(1-1)+6))/(SUMIFS($Q$8:$Q$38,$A$8:$A$38,"&gt;="&amp;$AK$18+7*(1-1),$A$8:$A$38,"&lt;="&amp;$AK$18+7*(1-1)+6)+SUMIFS('2026年09月'!$Q$8:$Q$37,'2026年09月'!$A$8:$A$37,"&gt;="&amp;$AK$18+7*(1-1),'2026年09月'!$A$8:$A$37,"&lt;="&amp;$AK$18+7*(1-1)+6)),""))</f>
        <v>0.3178807947</v>
      </c>
    </row>
    <row r="21" ht="15.75" customHeight="1">
      <c r="A21" s="38">
        <v>46248.0</v>
      </c>
      <c r="B21" s="14" t="str">
        <f t="shared" si="2"/>
        <v>金</v>
      </c>
      <c r="C21" s="49">
        <v>885000.0</v>
      </c>
      <c r="D21" s="15">
        <f t="shared" si="3"/>
        <v>8150000</v>
      </c>
      <c r="E21" s="49">
        <v>108288.0</v>
      </c>
      <c r="F21" s="49">
        <v>222427.0</v>
      </c>
      <c r="G21" s="29"/>
      <c r="H21" s="29"/>
      <c r="I21" s="15">
        <f t="shared" si="4"/>
        <v>330715</v>
      </c>
      <c r="J21" s="15">
        <f t="shared" si="5"/>
        <v>2095901</v>
      </c>
      <c r="K21" s="16">
        <f t="shared" ref="K21:L21" si="28">IF(I21="","",IFERROR(I21/C21,""))</f>
        <v>0.3736892655</v>
      </c>
      <c r="L21" s="16">
        <f t="shared" si="28"/>
        <v>0.2571657669</v>
      </c>
      <c r="M21" s="15">
        <f t="shared" si="7"/>
        <v>-6054099</v>
      </c>
      <c r="N21" s="39" t="str">
        <f t="shared" si="8"/>
        <v>▲ 遅れ</v>
      </c>
      <c r="O21" s="50">
        <v>14.0</v>
      </c>
      <c r="P21" s="50">
        <v>15.0</v>
      </c>
      <c r="Q21" s="50">
        <v>24.0</v>
      </c>
      <c r="R21" s="50">
        <v>15.0</v>
      </c>
      <c r="S21" s="50">
        <v>21.0</v>
      </c>
      <c r="T21" s="16">
        <f t="shared" si="9"/>
        <v>0.5833333333</v>
      </c>
      <c r="U21" s="15">
        <f t="shared" si="10"/>
        <v>23622.5</v>
      </c>
      <c r="V21" s="40">
        <f t="shared" si="11"/>
        <v>1.071428571</v>
      </c>
      <c r="W21" s="16">
        <f t="shared" si="12"/>
        <v>0.625</v>
      </c>
      <c r="X21" s="31"/>
      <c r="Y21" s="50">
        <v>8755.0</v>
      </c>
      <c r="Z21" s="29"/>
      <c r="AA21" s="33"/>
      <c r="AC21" s="36">
        <v>2.0</v>
      </c>
      <c r="AD21" s="42" t="str">
        <f>IF($AK$18+7*(2-1)&gt;$A$38,"",TEXT($AK$18+7*(2-1),"m/d")&amp;"-"&amp;TEXT($AK$18+7*(2-1)+6,"m/d"))</f>
        <v>8/11-8/17</v>
      </c>
      <c r="AE21" s="35">
        <f>IF($AD21="","",(SUMIFS($I$8:$I$38,$A$8:$A$38,"&gt;="&amp;$AK$18+7*(2-1),$A$8:$A$38,"&lt;="&amp;$AK$18+7*(2-1)+6)+SUMIFS('2026年09月'!$I$8:$I$37,'2026年09月'!$A$8:$A$37,"&gt;="&amp;$AK$18+7*(2-1),'2026年09月'!$A$8:$A$37,"&lt;="&amp;$AK$18+7*(2-1)+6)))</f>
        <v>1542973</v>
      </c>
      <c r="AF21" s="37">
        <f>IF($AD21="","",IFERROR((SUMIFS($O$8:$O$38,$A$8:$A$38,"&gt;="&amp;$AK$18+7*(2-1),$A$8:$A$38,"&lt;="&amp;$AK$18+7*(2-1)+6)+SUMIFS('2026年09月'!$O$8:$O$37,'2026年09月'!$A$8:$A$37,"&gt;="&amp;$AK$18+7*(2-1),'2026年09月'!$A$8:$A$37,"&lt;="&amp;$AK$18+7*(2-1)+6))/(SUMIFS($Q$8:$Q$38,$A$8:$A$38,"&gt;="&amp;$AK$18+7*(2-1),$A$8:$A$38,"&lt;="&amp;$AK$18+7*(2-1)+6)+SUMIFS('2026年09月'!$Q$8:$Q$37,'2026年09月'!$A$8:$A$37,"&gt;="&amp;$AK$18+7*(2-1),'2026年09月'!$A$8:$A$37,"&lt;="&amp;$AK$18+7*(2-1)+6)),""))</f>
        <v>0.2954545455</v>
      </c>
      <c r="AG21" s="35">
        <f>IF($AD21="","",IFERROR((SUMIFS($I$8:$I$38,$A$8:$A$38,"&gt;="&amp;$AK$18+7*(2-1),$A$8:$A$38,"&lt;="&amp;$AK$18+7*(2-1)+6)+SUMIFS('2026年09月'!$I$8:$I$37,'2026年09月'!$A$8:$A$37,"&gt;="&amp;$AK$18+7*(2-1),'2026年09月'!$A$8:$A$37,"&lt;="&amp;$AK$18+7*(2-1)+6))/(SUMIFS($O$8:$O$38,$A$8:$A$38,"&gt;="&amp;$AK$18+7*(2-1),$A$8:$A$38,"&lt;="&amp;$AK$18+7*(2-1)+6)+SUMIFS('2026年09月'!$O$8:$O$37,'2026年09月'!$A$8:$A$37,"&gt;="&amp;$AK$18+7*(2-1),'2026年09月'!$A$8:$A$37,"&lt;="&amp;$AK$18+7*(2-1)+6)),""))</f>
        <v>23738.04615</v>
      </c>
      <c r="AH21" s="43">
        <f>IF($AD21="","",IFERROR((SUMIFS($P$8:$P$38,$A$8:$A$38,"&gt;="&amp;$AK$18+7*(2-1),$A$8:$A$38,"&lt;="&amp;$AK$18+7*(2-1)+6)+SUMIFS('2026年09月'!$P$8:$P$37,'2026年09月'!$A$8:$A$37,"&gt;="&amp;$AK$18+7*(2-1),'2026年09月'!$A$8:$A$37,"&lt;="&amp;$AK$18+7*(2-1)+6))/(SUMIFS($O$8:$O$38,$A$8:$A$38,"&gt;="&amp;$AK$18+7*(2-1),$A$8:$A$38,"&lt;="&amp;$AK$18+7*(2-1)+6)+SUMIFS('2026年09月'!$O$8:$O$37,'2026年09月'!$A$8:$A$37,"&gt;="&amp;$AK$18+7*(2-1),'2026年09月'!$A$8:$A$37,"&lt;="&amp;$AK$18+7*(2-1)+6)),""))</f>
        <v>1.092307692</v>
      </c>
      <c r="AI21" s="37">
        <f>IF($AD21="","",IFERROR((SUMIFS($R$8:$R$38,$A$8:$A$38,"&gt;="&amp;$AK$18+7*(2-1),$A$8:$A$38,"&lt;="&amp;$AK$18+7*(2-1)+6)+SUMIFS('2026年09月'!$R$8:$R$37,'2026年09月'!$A$8:$A$37,"&gt;="&amp;$AK$18+7*(2-1),'2026年09月'!$A$8:$A$37,"&lt;="&amp;$AK$18+7*(2-1)+6))/(SUMIFS($Q$8:$Q$38,$A$8:$A$38,"&gt;="&amp;$AK$18+7*(2-1),$A$8:$A$38,"&lt;="&amp;$AK$18+7*(2-1)+6)+SUMIFS('2026年09月'!$Q$8:$Q$37,'2026年09月'!$A$8:$A$37,"&gt;="&amp;$AK$18+7*(2-1),'2026年09月'!$A$8:$A$37,"&lt;="&amp;$AK$18+7*(2-1)+6)),""))</f>
        <v>0.3772727273</v>
      </c>
    </row>
    <row r="22" ht="15.75" customHeight="1">
      <c r="A22" s="28">
        <v>46249.0</v>
      </c>
      <c r="B22" s="10" t="str">
        <f t="shared" si="2"/>
        <v>土</v>
      </c>
      <c r="C22" s="49">
        <v>885000.0</v>
      </c>
      <c r="D22" s="11">
        <f t="shared" si="3"/>
        <v>9035000</v>
      </c>
      <c r="E22" s="49">
        <v>113430.0</v>
      </c>
      <c r="F22" s="49">
        <v>239148.0</v>
      </c>
      <c r="G22" s="29"/>
      <c r="H22" s="29"/>
      <c r="I22" s="11">
        <f t="shared" si="4"/>
        <v>352578</v>
      </c>
      <c r="J22" s="11">
        <f t="shared" si="5"/>
        <v>2448479</v>
      </c>
      <c r="K22" s="12">
        <f t="shared" ref="K22:L22" si="29">IF(I22="","",IFERROR(I22/C22,""))</f>
        <v>0.3983932203</v>
      </c>
      <c r="L22" s="12">
        <f t="shared" si="29"/>
        <v>0.2709993359</v>
      </c>
      <c r="M22" s="11">
        <f t="shared" si="7"/>
        <v>-6586521</v>
      </c>
      <c r="N22" s="30" t="str">
        <f t="shared" si="8"/>
        <v>▲ 遅れ</v>
      </c>
      <c r="O22" s="50">
        <v>14.0</v>
      </c>
      <c r="P22" s="50">
        <v>16.0</v>
      </c>
      <c r="Q22" s="50">
        <v>38.0</v>
      </c>
      <c r="R22" s="50">
        <v>19.0</v>
      </c>
      <c r="S22" s="50">
        <v>34.0</v>
      </c>
      <c r="T22" s="12">
        <f t="shared" si="9"/>
        <v>0.3684210526</v>
      </c>
      <c r="U22" s="11">
        <f t="shared" si="10"/>
        <v>25184.14286</v>
      </c>
      <c r="V22" s="32">
        <f t="shared" si="11"/>
        <v>1.142857143</v>
      </c>
      <c r="W22" s="12">
        <f t="shared" si="12"/>
        <v>0.5</v>
      </c>
      <c r="X22" s="31"/>
      <c r="Y22" s="50">
        <v>8760.0</v>
      </c>
      <c r="Z22" s="29"/>
      <c r="AA22" s="33"/>
      <c r="AC22" s="36">
        <v>3.0</v>
      </c>
      <c r="AD22" s="42" t="str">
        <f>IF($AK$18+7*(3-1)&gt;$A$38,"",TEXT($AK$18+7*(3-1),"m/d")&amp;"-"&amp;TEXT($AK$18+7*(3-1)+6,"m/d"))</f>
        <v>8/18-8/24</v>
      </c>
      <c r="AE22" s="35">
        <f>IF($AD22="","",(SUMIFS($I$8:$I$38,$A$8:$A$38,"&gt;="&amp;$AK$18+7*(3-1),$A$8:$A$38,"&lt;="&amp;$AK$18+7*(3-1)+6)+SUMIFS('2026年09月'!$I$8:$I$37,'2026年09月'!$A$8:$A$37,"&gt;="&amp;$AK$18+7*(3-1),'2026年09月'!$A$8:$A$37,"&lt;="&amp;$AK$18+7*(3-1)+6)))</f>
        <v>1047444</v>
      </c>
      <c r="AF22" s="37">
        <f>IF($AD22="","",IFERROR((SUMIFS($O$8:$O$38,$A$8:$A$38,"&gt;="&amp;$AK$18+7*(3-1),$A$8:$A$38,"&lt;="&amp;$AK$18+7*(3-1)+6)+SUMIFS('2026年09月'!$O$8:$O$37,'2026年09月'!$A$8:$A$37,"&gt;="&amp;$AK$18+7*(3-1),'2026年09月'!$A$8:$A$37,"&lt;="&amp;$AK$18+7*(3-1)+6))/(SUMIFS($Q$8:$Q$38,$A$8:$A$38,"&gt;="&amp;$AK$18+7*(3-1),$A$8:$A$38,"&lt;="&amp;$AK$18+7*(3-1)+6)+SUMIFS('2026年09月'!$Q$8:$Q$37,'2026年09月'!$A$8:$A$37,"&gt;="&amp;$AK$18+7*(3-1),'2026年09月'!$A$8:$A$37,"&lt;="&amp;$AK$18+7*(3-1)+6)),""))</f>
        <v>0.2620320856</v>
      </c>
      <c r="AG22" s="35">
        <f>IF($AD22="","",IFERROR((SUMIFS($I$8:$I$38,$A$8:$A$38,"&gt;="&amp;$AK$18+7*(3-1),$A$8:$A$38,"&lt;="&amp;$AK$18+7*(3-1)+6)+SUMIFS('2026年09月'!$I$8:$I$37,'2026年09月'!$A$8:$A$37,"&gt;="&amp;$AK$18+7*(3-1),'2026年09月'!$A$8:$A$37,"&lt;="&amp;$AK$18+7*(3-1)+6))/(SUMIFS($O$8:$O$38,$A$8:$A$38,"&gt;="&amp;$AK$18+7*(3-1),$A$8:$A$38,"&lt;="&amp;$AK$18+7*(3-1)+6)+SUMIFS('2026年09月'!$O$8:$O$37,'2026年09月'!$A$8:$A$37,"&gt;="&amp;$AK$18+7*(3-1),'2026年09月'!$A$8:$A$37,"&lt;="&amp;$AK$18+7*(3-1)+6)),""))</f>
        <v>21376.40816</v>
      </c>
      <c r="AH22" s="43">
        <f>IF($AD22="","",IFERROR((SUMIFS($P$8:$P$38,$A$8:$A$38,"&gt;="&amp;$AK$18+7*(3-1),$A$8:$A$38,"&lt;="&amp;$AK$18+7*(3-1)+6)+SUMIFS('2026年09月'!$P$8:$P$37,'2026年09月'!$A$8:$A$37,"&gt;="&amp;$AK$18+7*(3-1),'2026年09月'!$A$8:$A$37,"&lt;="&amp;$AK$18+7*(3-1)+6))/(SUMIFS($O$8:$O$38,$A$8:$A$38,"&gt;="&amp;$AK$18+7*(3-1),$A$8:$A$38,"&lt;="&amp;$AK$18+7*(3-1)+6)+SUMIFS('2026年09月'!$O$8:$O$37,'2026年09月'!$A$8:$A$37,"&gt;="&amp;$AK$18+7*(3-1),'2026年09月'!$A$8:$A$37,"&lt;="&amp;$AK$18+7*(3-1)+6)),""))</f>
        <v>1.06122449</v>
      </c>
      <c r="AI22" s="37">
        <f>IF($AD22="","",IFERROR((SUMIFS($R$8:$R$38,$A$8:$A$38,"&gt;="&amp;$AK$18+7*(3-1),$A$8:$A$38,"&lt;="&amp;$AK$18+7*(3-1)+6)+SUMIFS('2026年09月'!$R$8:$R$37,'2026年09月'!$A$8:$A$37,"&gt;="&amp;$AK$18+7*(3-1),'2026年09月'!$A$8:$A$37,"&lt;="&amp;$AK$18+7*(3-1)+6))/(SUMIFS($Q$8:$Q$38,$A$8:$A$38,"&gt;="&amp;$AK$18+7*(3-1),$A$8:$A$38,"&lt;="&amp;$AK$18+7*(3-1)+6)+SUMIFS('2026年09月'!$Q$8:$Q$37,'2026年09月'!$A$8:$A$37,"&gt;="&amp;$AK$18+7*(3-1),'2026年09月'!$A$8:$A$37,"&lt;="&amp;$AK$18+7*(3-1)+6)),""))</f>
        <v>0.3689839572</v>
      </c>
    </row>
    <row r="23" ht="15.75" customHeight="1">
      <c r="A23" s="38">
        <v>46250.0</v>
      </c>
      <c r="B23" s="14" t="str">
        <f t="shared" si="2"/>
        <v>日</v>
      </c>
      <c r="C23" s="49">
        <v>885000.0</v>
      </c>
      <c r="D23" s="15">
        <f t="shared" si="3"/>
        <v>9920000</v>
      </c>
      <c r="E23" s="49">
        <v>66530.0</v>
      </c>
      <c r="F23" s="49">
        <v>165717.0</v>
      </c>
      <c r="G23" s="29"/>
      <c r="H23" s="29"/>
      <c r="I23" s="15">
        <f t="shared" si="4"/>
        <v>232247</v>
      </c>
      <c r="J23" s="15">
        <f t="shared" si="5"/>
        <v>2680726</v>
      </c>
      <c r="K23" s="16">
        <f t="shared" ref="K23:L23" si="30">IF(I23="","",IFERROR(I23/C23,""))</f>
        <v>0.2624259887</v>
      </c>
      <c r="L23" s="16">
        <f t="shared" si="30"/>
        <v>0.2702344758</v>
      </c>
      <c r="M23" s="15">
        <f t="shared" si="7"/>
        <v>-7239274</v>
      </c>
      <c r="N23" s="39" t="str">
        <f t="shared" si="8"/>
        <v>▲ 遅れ</v>
      </c>
      <c r="O23" s="50">
        <v>10.0</v>
      </c>
      <c r="P23" s="50">
        <v>11.0</v>
      </c>
      <c r="Q23" s="50">
        <v>31.0</v>
      </c>
      <c r="R23" s="50">
        <v>12.0</v>
      </c>
      <c r="S23" s="50">
        <v>17.0</v>
      </c>
      <c r="T23" s="16">
        <f t="shared" si="9"/>
        <v>0.3225806452</v>
      </c>
      <c r="U23" s="15">
        <f t="shared" si="10"/>
        <v>23224.7</v>
      </c>
      <c r="V23" s="40">
        <f t="shared" si="11"/>
        <v>1.1</v>
      </c>
      <c r="W23" s="16">
        <f t="shared" si="12"/>
        <v>0.3870967742</v>
      </c>
      <c r="X23" s="31"/>
      <c r="Y23" s="50">
        <v>8766.0</v>
      </c>
      <c r="Z23" s="29"/>
      <c r="AA23" s="33"/>
      <c r="AC23" s="36">
        <v>4.0</v>
      </c>
      <c r="AD23" s="42" t="str">
        <f>IF($AK$18+7*(4-1)&gt;$A$38,"",TEXT($AK$18+7*(4-1),"m/d")&amp;"-"&amp;TEXT($AK$18+7*(4-1)+6,"m/d"))</f>
        <v>8/25-8/31</v>
      </c>
      <c r="AE23" s="35">
        <f>IF($AD23="","",(SUMIFS($I$8:$I$38,$A$8:$A$38,"&gt;="&amp;$AK$18+7*(4-1),$A$8:$A$38,"&lt;="&amp;$AK$18+7*(4-1)+6)+SUMIFS('2026年09月'!$I$8:$I$37,'2026年09月'!$A$8:$A$37,"&gt;="&amp;$AK$18+7*(4-1),'2026年09月'!$A$8:$A$37,"&lt;="&amp;$AK$18+7*(4-1)+6)))</f>
        <v>760162</v>
      </c>
      <c r="AF23" s="37">
        <f>IF($AD23="","",IFERROR((SUMIFS($O$8:$O$38,$A$8:$A$38,"&gt;="&amp;$AK$18+7*(4-1),$A$8:$A$38,"&lt;="&amp;$AK$18+7*(4-1)+6)+SUMIFS('2026年09月'!$O$8:$O$37,'2026年09月'!$A$8:$A$37,"&gt;="&amp;$AK$18+7*(4-1),'2026年09月'!$A$8:$A$37,"&lt;="&amp;$AK$18+7*(4-1)+6))/(SUMIFS($Q$8:$Q$38,$A$8:$A$38,"&gt;="&amp;$AK$18+7*(4-1),$A$8:$A$38,"&lt;="&amp;$AK$18+7*(4-1)+6)+SUMIFS('2026年09月'!$Q$8:$Q$37,'2026年09月'!$A$8:$A$37,"&gt;="&amp;$AK$18+7*(4-1),'2026年09月'!$A$8:$A$37,"&lt;="&amp;$AK$18+7*(4-1)+6)),""))</f>
        <v>0.2535211268</v>
      </c>
      <c r="AG23" s="35">
        <f>IF($AD23="","",IFERROR((SUMIFS($I$8:$I$38,$A$8:$A$38,"&gt;="&amp;$AK$18+7*(4-1),$A$8:$A$38,"&lt;="&amp;$AK$18+7*(4-1)+6)+SUMIFS('2026年09月'!$I$8:$I$37,'2026年09月'!$A$8:$A$37,"&gt;="&amp;$AK$18+7*(4-1),'2026年09月'!$A$8:$A$37,"&lt;="&amp;$AK$18+7*(4-1)+6))/(SUMIFS($O$8:$O$38,$A$8:$A$38,"&gt;="&amp;$AK$18+7*(4-1),$A$8:$A$38,"&lt;="&amp;$AK$18+7*(4-1)+6)+SUMIFS('2026年09月'!$O$8:$O$37,'2026年09月'!$A$8:$A$37,"&gt;="&amp;$AK$18+7*(4-1),'2026年09月'!$A$8:$A$37,"&lt;="&amp;$AK$18+7*(4-1)+6)),""))</f>
        <v>21115.61111</v>
      </c>
      <c r="AH23" s="43">
        <f>IF($AD23="","",IFERROR((SUMIFS($P$8:$P$38,$A$8:$A$38,"&gt;="&amp;$AK$18+7*(4-1),$A$8:$A$38,"&lt;="&amp;$AK$18+7*(4-1)+6)+SUMIFS('2026年09月'!$P$8:$P$37,'2026年09月'!$A$8:$A$37,"&gt;="&amp;$AK$18+7*(4-1),'2026年09月'!$A$8:$A$37,"&lt;="&amp;$AK$18+7*(4-1)+6))/(SUMIFS($O$8:$O$38,$A$8:$A$38,"&gt;="&amp;$AK$18+7*(4-1),$A$8:$A$38,"&lt;="&amp;$AK$18+7*(4-1)+6)+SUMIFS('2026年09月'!$O$8:$O$37,'2026年09月'!$A$8:$A$37,"&gt;="&amp;$AK$18+7*(4-1),'2026年09月'!$A$8:$A$37,"&lt;="&amp;$AK$18+7*(4-1)+6)),""))</f>
        <v>1.055555556</v>
      </c>
      <c r="AI23" s="37">
        <f>IF($AD23="","",IFERROR((SUMIFS($R$8:$R$38,$A$8:$A$38,"&gt;="&amp;$AK$18+7*(4-1),$A$8:$A$38,"&lt;="&amp;$AK$18+7*(4-1)+6)+SUMIFS('2026年09月'!$R$8:$R$37,'2026年09月'!$A$8:$A$37,"&gt;="&amp;$AK$18+7*(4-1),'2026年09月'!$A$8:$A$37,"&lt;="&amp;$AK$18+7*(4-1)+6))/(SUMIFS($Q$8:$Q$38,$A$8:$A$38,"&gt;="&amp;$AK$18+7*(4-1),$A$8:$A$38,"&lt;="&amp;$AK$18+7*(4-1)+6)+SUMIFS('2026年09月'!$Q$8:$Q$37,'2026年09月'!$A$8:$A$37,"&gt;="&amp;$AK$18+7*(4-1),'2026年09月'!$A$8:$A$37,"&lt;="&amp;$AK$18+7*(4-1)+6)),""))</f>
        <v>0.4436619718</v>
      </c>
    </row>
    <row r="24" ht="15.75" customHeight="1">
      <c r="A24" s="28">
        <v>46251.0</v>
      </c>
      <c r="B24" s="10" t="str">
        <f t="shared" si="2"/>
        <v>月</v>
      </c>
      <c r="C24" s="49">
        <v>440000.0</v>
      </c>
      <c r="D24" s="11">
        <f t="shared" si="3"/>
        <v>10360000</v>
      </c>
      <c r="E24" s="49">
        <v>63289.0</v>
      </c>
      <c r="F24" s="49">
        <v>34359.0</v>
      </c>
      <c r="G24" s="29"/>
      <c r="H24" s="29"/>
      <c r="I24" s="11">
        <f t="shared" si="4"/>
        <v>97648</v>
      </c>
      <c r="J24" s="11">
        <f t="shared" si="5"/>
        <v>2778374</v>
      </c>
      <c r="K24" s="12">
        <f t="shared" ref="K24:L24" si="31">IF(I24="","",IFERROR(I24/C24,""))</f>
        <v>0.2219272727</v>
      </c>
      <c r="L24" s="12">
        <f t="shared" si="31"/>
        <v>0.2681828185</v>
      </c>
      <c r="M24" s="11">
        <f t="shared" si="7"/>
        <v>-7581626</v>
      </c>
      <c r="N24" s="30" t="str">
        <f t="shared" si="8"/>
        <v>▲ 遅れ</v>
      </c>
      <c r="O24" s="50">
        <v>5.0</v>
      </c>
      <c r="P24" s="50">
        <v>5.0</v>
      </c>
      <c r="Q24" s="50">
        <v>19.0</v>
      </c>
      <c r="R24" s="50">
        <v>5.0</v>
      </c>
      <c r="S24" s="50">
        <v>7.0</v>
      </c>
      <c r="T24" s="12">
        <f t="shared" si="9"/>
        <v>0.2631578947</v>
      </c>
      <c r="U24" s="11">
        <f t="shared" si="10"/>
        <v>19529.6</v>
      </c>
      <c r="V24" s="32">
        <f t="shared" si="11"/>
        <v>1</v>
      </c>
      <c r="W24" s="12">
        <f t="shared" si="12"/>
        <v>0.2631578947</v>
      </c>
      <c r="X24" s="31"/>
      <c r="Y24" s="50">
        <v>8760.0</v>
      </c>
      <c r="Z24" s="29"/>
      <c r="AA24" s="33"/>
      <c r="AC24" s="36">
        <v>5.0</v>
      </c>
      <c r="AD24" s="42" t="str">
        <f>IF($AK$18+7*(5-1)&gt;$A$38,"",TEXT($AK$18+7*(5-1),"m/d")&amp;"-"&amp;TEXT($AK$18+7*(5-1)+6,"m/d"))</f>
        <v/>
      </c>
      <c r="AE24" s="35" t="str">
        <f>IF($AD24="","",(SUMIFS($I$8:$I$38,$A$8:$A$38,"&gt;="&amp;$AK$18+7*(5-1),$A$8:$A$38,"&lt;="&amp;$AK$18+7*(5-1)+6)+SUMIFS('2026年09月'!$I$8:$I$37,'2026年09月'!$A$8:$A$37,"&gt;="&amp;$AK$18+7*(5-1),'2026年09月'!$A$8:$A$37,"&lt;="&amp;$AK$18+7*(5-1)+6)))</f>
        <v/>
      </c>
      <c r="AF24" s="37" t="str">
        <f>IF($AD24="","",IFERROR((SUMIFS($O$8:$O$38,$A$8:$A$38,"&gt;="&amp;$AK$18+7*(5-1),$A$8:$A$38,"&lt;="&amp;$AK$18+7*(5-1)+6)+SUMIFS('2026年09月'!$O$8:$O$37,'2026年09月'!$A$8:$A$37,"&gt;="&amp;$AK$18+7*(5-1),'2026年09月'!$A$8:$A$37,"&lt;="&amp;$AK$18+7*(5-1)+6))/(SUMIFS($Q$8:$Q$38,$A$8:$A$38,"&gt;="&amp;$AK$18+7*(5-1),$A$8:$A$38,"&lt;="&amp;$AK$18+7*(5-1)+6)+SUMIFS('2026年09月'!$Q$8:$Q$37,'2026年09月'!$A$8:$A$37,"&gt;="&amp;$AK$18+7*(5-1),'2026年09月'!$A$8:$A$37,"&lt;="&amp;$AK$18+7*(5-1)+6)),""))</f>
        <v/>
      </c>
      <c r="AG24" s="35" t="str">
        <f>IF($AD24="","",IFERROR((SUMIFS($I$8:$I$38,$A$8:$A$38,"&gt;="&amp;$AK$18+7*(5-1),$A$8:$A$38,"&lt;="&amp;$AK$18+7*(5-1)+6)+SUMIFS('2026年09月'!$I$8:$I$37,'2026年09月'!$A$8:$A$37,"&gt;="&amp;$AK$18+7*(5-1),'2026年09月'!$A$8:$A$37,"&lt;="&amp;$AK$18+7*(5-1)+6))/(SUMIFS($O$8:$O$38,$A$8:$A$38,"&gt;="&amp;$AK$18+7*(5-1),$A$8:$A$38,"&lt;="&amp;$AK$18+7*(5-1)+6)+SUMIFS('2026年09月'!$O$8:$O$37,'2026年09月'!$A$8:$A$37,"&gt;="&amp;$AK$18+7*(5-1),'2026年09月'!$A$8:$A$37,"&lt;="&amp;$AK$18+7*(5-1)+6)),""))</f>
        <v/>
      </c>
      <c r="AH24" s="43" t="str">
        <f>IF($AD24="","",IFERROR((SUMIFS($P$8:$P$38,$A$8:$A$38,"&gt;="&amp;$AK$18+7*(5-1),$A$8:$A$38,"&lt;="&amp;$AK$18+7*(5-1)+6)+SUMIFS('2026年09月'!$P$8:$P$37,'2026年09月'!$A$8:$A$37,"&gt;="&amp;$AK$18+7*(5-1),'2026年09月'!$A$8:$A$37,"&lt;="&amp;$AK$18+7*(5-1)+6))/(SUMIFS($O$8:$O$38,$A$8:$A$38,"&gt;="&amp;$AK$18+7*(5-1),$A$8:$A$38,"&lt;="&amp;$AK$18+7*(5-1)+6)+SUMIFS('2026年09月'!$O$8:$O$37,'2026年09月'!$A$8:$A$37,"&gt;="&amp;$AK$18+7*(5-1),'2026年09月'!$A$8:$A$37,"&lt;="&amp;$AK$18+7*(5-1)+6)),""))</f>
        <v/>
      </c>
      <c r="AI24" s="37" t="str">
        <f>IF($AD24="","",IFERROR((SUMIFS($R$8:$R$38,$A$8:$A$38,"&gt;="&amp;$AK$18+7*(5-1),$A$8:$A$38,"&lt;="&amp;$AK$18+7*(5-1)+6)+SUMIFS('2026年09月'!$R$8:$R$37,'2026年09月'!$A$8:$A$37,"&gt;="&amp;$AK$18+7*(5-1),'2026年09月'!$A$8:$A$37,"&lt;="&amp;$AK$18+7*(5-1)+6))/(SUMIFS($Q$8:$Q$38,$A$8:$A$38,"&gt;="&amp;$AK$18+7*(5-1),$A$8:$A$38,"&lt;="&amp;$AK$18+7*(5-1)+6)+SUMIFS('2026年09月'!$Q$8:$Q$37,'2026年09月'!$A$8:$A$37,"&gt;="&amp;$AK$18+7*(5-1),'2026年09月'!$A$8:$A$37,"&lt;="&amp;$AK$18+7*(5-1)+6)),""))</f>
        <v/>
      </c>
    </row>
    <row r="25" ht="15.75" customHeight="1">
      <c r="A25" s="38">
        <v>46252.0</v>
      </c>
      <c r="B25" s="14" t="str">
        <f t="shared" si="2"/>
        <v>火</v>
      </c>
      <c r="C25" s="49">
        <v>440000.0</v>
      </c>
      <c r="D25" s="15">
        <f t="shared" si="3"/>
        <v>10800000</v>
      </c>
      <c r="E25" s="49">
        <v>38320.0</v>
      </c>
      <c r="F25" s="49">
        <v>55099.0</v>
      </c>
      <c r="G25" s="29"/>
      <c r="H25" s="29"/>
      <c r="I25" s="15">
        <f t="shared" si="4"/>
        <v>93419</v>
      </c>
      <c r="J25" s="15">
        <f t="shared" si="5"/>
        <v>2871793</v>
      </c>
      <c r="K25" s="16">
        <f t="shared" ref="K25:L25" si="32">IF(I25="","",IFERROR(I25/C25,""))</f>
        <v>0.2123159091</v>
      </c>
      <c r="L25" s="16">
        <f t="shared" si="32"/>
        <v>0.2659067593</v>
      </c>
      <c r="M25" s="15">
        <f t="shared" si="7"/>
        <v>-7928207</v>
      </c>
      <c r="N25" s="39" t="str">
        <f t="shared" si="8"/>
        <v>▲ 遅れ</v>
      </c>
      <c r="O25" s="50">
        <v>5.0</v>
      </c>
      <c r="P25" s="50">
        <v>5.0</v>
      </c>
      <c r="Q25" s="50">
        <v>22.0</v>
      </c>
      <c r="R25" s="50">
        <v>6.0</v>
      </c>
      <c r="S25" s="50">
        <v>8.0</v>
      </c>
      <c r="T25" s="16">
        <f t="shared" si="9"/>
        <v>0.2272727273</v>
      </c>
      <c r="U25" s="15">
        <f t="shared" si="10"/>
        <v>18683.8</v>
      </c>
      <c r="V25" s="40">
        <f t="shared" si="11"/>
        <v>1</v>
      </c>
      <c r="W25" s="16">
        <f t="shared" si="12"/>
        <v>0.2727272727</v>
      </c>
      <c r="X25" s="31"/>
      <c r="Y25" s="50">
        <v>8761.0</v>
      </c>
      <c r="Z25" s="29"/>
      <c r="AA25" s="33"/>
      <c r="AC25" s="36">
        <v>6.0</v>
      </c>
      <c r="AD25" s="42" t="str">
        <f>IF($AK$18+7*(6-1)&gt;$A$38,"",TEXT($AK$18+7*(6-1),"m/d")&amp;"-"&amp;TEXT($AK$18+7*(6-1)+6,"m/d"))</f>
        <v/>
      </c>
      <c r="AE25" s="35" t="str">
        <f>IF($AD25="","",(SUMIFS($I$8:$I$38,$A$8:$A$38,"&gt;="&amp;$AK$18+7*(6-1),$A$8:$A$38,"&lt;="&amp;$AK$18+7*(6-1)+6)+SUMIFS('2026年09月'!$I$8:$I$37,'2026年09月'!$A$8:$A$37,"&gt;="&amp;$AK$18+7*(6-1),'2026年09月'!$A$8:$A$37,"&lt;="&amp;$AK$18+7*(6-1)+6)))</f>
        <v/>
      </c>
      <c r="AF25" s="37" t="str">
        <f>IF($AD25="","",IFERROR((SUMIFS($O$8:$O$38,$A$8:$A$38,"&gt;="&amp;$AK$18+7*(6-1),$A$8:$A$38,"&lt;="&amp;$AK$18+7*(6-1)+6)+SUMIFS('2026年09月'!$O$8:$O$37,'2026年09月'!$A$8:$A$37,"&gt;="&amp;$AK$18+7*(6-1),'2026年09月'!$A$8:$A$37,"&lt;="&amp;$AK$18+7*(6-1)+6))/(SUMIFS($Q$8:$Q$38,$A$8:$A$38,"&gt;="&amp;$AK$18+7*(6-1),$A$8:$A$38,"&lt;="&amp;$AK$18+7*(6-1)+6)+SUMIFS('2026年09月'!$Q$8:$Q$37,'2026年09月'!$A$8:$A$37,"&gt;="&amp;$AK$18+7*(6-1),'2026年09月'!$A$8:$A$37,"&lt;="&amp;$AK$18+7*(6-1)+6)),""))</f>
        <v/>
      </c>
      <c r="AG25" s="35" t="str">
        <f>IF($AD25="","",IFERROR((SUMIFS($I$8:$I$38,$A$8:$A$38,"&gt;="&amp;$AK$18+7*(6-1),$A$8:$A$38,"&lt;="&amp;$AK$18+7*(6-1)+6)+SUMIFS('2026年09月'!$I$8:$I$37,'2026年09月'!$A$8:$A$37,"&gt;="&amp;$AK$18+7*(6-1),'2026年09月'!$A$8:$A$37,"&lt;="&amp;$AK$18+7*(6-1)+6))/(SUMIFS($O$8:$O$38,$A$8:$A$38,"&gt;="&amp;$AK$18+7*(6-1),$A$8:$A$38,"&lt;="&amp;$AK$18+7*(6-1)+6)+SUMIFS('2026年09月'!$O$8:$O$37,'2026年09月'!$A$8:$A$37,"&gt;="&amp;$AK$18+7*(6-1),'2026年09月'!$A$8:$A$37,"&lt;="&amp;$AK$18+7*(6-1)+6)),""))</f>
        <v/>
      </c>
      <c r="AH25" s="43" t="str">
        <f>IF($AD25="","",IFERROR((SUMIFS($P$8:$P$38,$A$8:$A$38,"&gt;="&amp;$AK$18+7*(6-1),$A$8:$A$38,"&lt;="&amp;$AK$18+7*(6-1)+6)+SUMIFS('2026年09月'!$P$8:$P$37,'2026年09月'!$A$8:$A$37,"&gt;="&amp;$AK$18+7*(6-1),'2026年09月'!$A$8:$A$37,"&lt;="&amp;$AK$18+7*(6-1)+6))/(SUMIFS($O$8:$O$38,$A$8:$A$38,"&gt;="&amp;$AK$18+7*(6-1),$A$8:$A$38,"&lt;="&amp;$AK$18+7*(6-1)+6)+SUMIFS('2026年09月'!$O$8:$O$37,'2026年09月'!$A$8:$A$37,"&gt;="&amp;$AK$18+7*(6-1),'2026年09月'!$A$8:$A$37,"&lt;="&amp;$AK$18+7*(6-1)+6)),""))</f>
        <v/>
      </c>
      <c r="AI25" s="37" t="str">
        <f>IF($AD25="","",IFERROR((SUMIFS($R$8:$R$38,$A$8:$A$38,"&gt;="&amp;$AK$18+7*(6-1),$A$8:$A$38,"&lt;="&amp;$AK$18+7*(6-1)+6)+SUMIFS('2026年09月'!$R$8:$R$37,'2026年09月'!$A$8:$A$37,"&gt;="&amp;$AK$18+7*(6-1),'2026年09月'!$A$8:$A$37,"&lt;="&amp;$AK$18+7*(6-1)+6))/(SUMIFS($Q$8:$Q$38,$A$8:$A$38,"&gt;="&amp;$AK$18+7*(6-1),$A$8:$A$38,"&lt;="&amp;$AK$18+7*(6-1)+6)+SUMIFS('2026年09月'!$Q$8:$Q$37,'2026年09月'!$A$8:$A$37,"&gt;="&amp;$AK$18+7*(6-1),'2026年09月'!$A$8:$A$37,"&lt;="&amp;$AK$18+7*(6-1)+6)),""))</f>
        <v/>
      </c>
    </row>
    <row r="26" ht="15.75" customHeight="1">
      <c r="A26" s="28">
        <v>46253.0</v>
      </c>
      <c r="B26" s="10" t="str">
        <f t="shared" si="2"/>
        <v>水</v>
      </c>
      <c r="C26" s="49">
        <v>440000.0</v>
      </c>
      <c r="D26" s="11">
        <f t="shared" si="3"/>
        <v>11240000</v>
      </c>
      <c r="E26" s="49">
        <v>88010.0</v>
      </c>
      <c r="F26" s="49">
        <v>163970.0</v>
      </c>
      <c r="G26" s="29"/>
      <c r="H26" s="29"/>
      <c r="I26" s="11">
        <f t="shared" si="4"/>
        <v>251980</v>
      </c>
      <c r="J26" s="11">
        <f t="shared" si="5"/>
        <v>3123773</v>
      </c>
      <c r="K26" s="12">
        <f t="shared" ref="K26:L26" si="33">IF(I26="","",IFERROR(I26/C26,""))</f>
        <v>0.5726818182</v>
      </c>
      <c r="L26" s="12">
        <f t="shared" si="33"/>
        <v>0.2779157473</v>
      </c>
      <c r="M26" s="11">
        <f t="shared" si="7"/>
        <v>-8116227</v>
      </c>
      <c r="N26" s="30" t="str">
        <f t="shared" si="8"/>
        <v>▲ 遅れ</v>
      </c>
      <c r="O26" s="50">
        <v>12.0</v>
      </c>
      <c r="P26" s="50">
        <v>15.0</v>
      </c>
      <c r="Q26" s="50">
        <v>26.0</v>
      </c>
      <c r="R26" s="50">
        <v>7.0</v>
      </c>
      <c r="S26" s="50">
        <v>14.0</v>
      </c>
      <c r="T26" s="12">
        <f t="shared" si="9"/>
        <v>0.4615384615</v>
      </c>
      <c r="U26" s="11">
        <f t="shared" si="10"/>
        <v>20998.33333</v>
      </c>
      <c r="V26" s="32">
        <f t="shared" si="11"/>
        <v>1.25</v>
      </c>
      <c r="W26" s="12">
        <f t="shared" si="12"/>
        <v>0.2692307692</v>
      </c>
      <c r="X26" s="31"/>
      <c r="Y26" s="50">
        <v>8761.0</v>
      </c>
      <c r="Z26" s="29"/>
      <c r="AA26" s="33"/>
      <c r="AC26" s="22" t="s">
        <v>109</v>
      </c>
    </row>
    <row r="27" ht="15.75" customHeight="1">
      <c r="A27" s="38">
        <v>46254.0</v>
      </c>
      <c r="B27" s="14" t="str">
        <f t="shared" si="2"/>
        <v>木</v>
      </c>
      <c r="C27" s="49">
        <v>440000.0</v>
      </c>
      <c r="D27" s="15">
        <f t="shared" si="3"/>
        <v>11680000</v>
      </c>
      <c r="E27" s="49">
        <v>122618.0</v>
      </c>
      <c r="F27" s="49">
        <v>72699.0</v>
      </c>
      <c r="G27" s="29"/>
      <c r="H27" s="29"/>
      <c r="I27" s="15">
        <f t="shared" si="4"/>
        <v>195317</v>
      </c>
      <c r="J27" s="15">
        <f t="shared" si="5"/>
        <v>3319090</v>
      </c>
      <c r="K27" s="16">
        <f t="shared" ref="K27:L27" si="34">IF(I27="","",IFERROR(I27/C27,""))</f>
        <v>0.4439022727</v>
      </c>
      <c r="L27" s="16">
        <f t="shared" si="34"/>
        <v>0.2841686644</v>
      </c>
      <c r="M27" s="15">
        <f t="shared" si="7"/>
        <v>-8360910</v>
      </c>
      <c r="N27" s="39" t="str">
        <f t="shared" si="8"/>
        <v>▲ 遅れ</v>
      </c>
      <c r="O27" s="50">
        <v>9.0</v>
      </c>
      <c r="P27" s="50">
        <v>9.0</v>
      </c>
      <c r="Q27" s="50">
        <v>27.0</v>
      </c>
      <c r="R27" s="50">
        <v>11.0</v>
      </c>
      <c r="S27" s="50">
        <v>16.0</v>
      </c>
      <c r="T27" s="16">
        <f t="shared" si="9"/>
        <v>0.3333333333</v>
      </c>
      <c r="U27" s="15">
        <f t="shared" si="10"/>
        <v>21701.88889</v>
      </c>
      <c r="V27" s="40">
        <f t="shared" si="11"/>
        <v>1</v>
      </c>
      <c r="W27" s="16">
        <f t="shared" si="12"/>
        <v>0.4074074074</v>
      </c>
      <c r="X27" s="31"/>
      <c r="Y27" s="50">
        <v>8764.0</v>
      </c>
      <c r="Z27" s="29"/>
      <c r="AA27" s="33"/>
      <c r="AC27" s="22" t="s">
        <v>110</v>
      </c>
    </row>
    <row r="28" ht="15.75" customHeight="1">
      <c r="A28" s="28">
        <v>46255.0</v>
      </c>
      <c r="B28" s="10" t="str">
        <f t="shared" si="2"/>
        <v>金</v>
      </c>
      <c r="C28" s="49">
        <v>440000.0</v>
      </c>
      <c r="D28" s="11">
        <f t="shared" si="3"/>
        <v>12120000</v>
      </c>
      <c r="E28" s="49">
        <v>26510.0</v>
      </c>
      <c r="F28" s="49">
        <v>23810.0</v>
      </c>
      <c r="G28" s="29"/>
      <c r="H28" s="29"/>
      <c r="I28" s="11">
        <f t="shared" si="4"/>
        <v>50320</v>
      </c>
      <c r="J28" s="11">
        <f t="shared" si="5"/>
        <v>3369410</v>
      </c>
      <c r="K28" s="12">
        <f t="shared" ref="K28:L28" si="35">IF(I28="","",IFERROR(I28/C28,""))</f>
        <v>0.1143636364</v>
      </c>
      <c r="L28" s="12">
        <f t="shared" si="35"/>
        <v>0.2780041254</v>
      </c>
      <c r="M28" s="11">
        <f t="shared" si="7"/>
        <v>-8750590</v>
      </c>
      <c r="N28" s="30" t="str">
        <f t="shared" si="8"/>
        <v>▲ 遅れ</v>
      </c>
      <c r="O28" s="50">
        <v>2.0</v>
      </c>
      <c r="P28" s="50">
        <v>2.0</v>
      </c>
      <c r="Q28" s="50">
        <v>23.0</v>
      </c>
      <c r="R28" s="50">
        <v>8.0</v>
      </c>
      <c r="S28" s="50">
        <v>11.0</v>
      </c>
      <c r="T28" s="12">
        <f t="shared" si="9"/>
        <v>0.08695652174</v>
      </c>
      <c r="U28" s="11">
        <f t="shared" si="10"/>
        <v>25160</v>
      </c>
      <c r="V28" s="32">
        <f t="shared" si="11"/>
        <v>1</v>
      </c>
      <c r="W28" s="12">
        <f t="shared" si="12"/>
        <v>0.347826087</v>
      </c>
      <c r="X28" s="31"/>
      <c r="Y28" s="50">
        <v>8758.0</v>
      </c>
      <c r="Z28" s="29"/>
      <c r="AA28" s="33"/>
      <c r="AC28" s="22" t="s">
        <v>111</v>
      </c>
    </row>
    <row r="29" ht="15.75" customHeight="1">
      <c r="A29" s="38">
        <v>46256.0</v>
      </c>
      <c r="B29" s="14" t="str">
        <f t="shared" si="2"/>
        <v>土</v>
      </c>
      <c r="C29" s="49">
        <v>660000.0</v>
      </c>
      <c r="D29" s="15">
        <f t="shared" si="3"/>
        <v>12780000</v>
      </c>
      <c r="E29" s="49">
        <v>40420.0</v>
      </c>
      <c r="F29" s="49">
        <v>62899.0</v>
      </c>
      <c r="G29" s="29"/>
      <c r="H29" s="29"/>
      <c r="I29" s="15">
        <f t="shared" si="4"/>
        <v>103319</v>
      </c>
      <c r="J29" s="15">
        <f t="shared" si="5"/>
        <v>3472729</v>
      </c>
      <c r="K29" s="16">
        <f t="shared" ref="K29:L29" si="36">IF(I29="","",IFERROR(I29/C29,""))</f>
        <v>0.1565439394</v>
      </c>
      <c r="L29" s="16">
        <f t="shared" si="36"/>
        <v>0.2717315336</v>
      </c>
      <c r="M29" s="15">
        <f t="shared" si="7"/>
        <v>-9307271</v>
      </c>
      <c r="N29" s="39" t="str">
        <f t="shared" si="8"/>
        <v>▲ 遅れ</v>
      </c>
      <c r="O29" s="50">
        <v>5.0</v>
      </c>
      <c r="P29" s="50">
        <v>5.0</v>
      </c>
      <c r="Q29" s="50">
        <v>31.0</v>
      </c>
      <c r="R29" s="50">
        <v>11.0</v>
      </c>
      <c r="S29" s="50">
        <v>22.0</v>
      </c>
      <c r="T29" s="16">
        <f t="shared" si="9"/>
        <v>0.1612903226</v>
      </c>
      <c r="U29" s="15">
        <f t="shared" si="10"/>
        <v>20663.8</v>
      </c>
      <c r="V29" s="40">
        <f t="shared" si="11"/>
        <v>1</v>
      </c>
      <c r="W29" s="16">
        <f t="shared" si="12"/>
        <v>0.3548387097</v>
      </c>
      <c r="X29" s="31"/>
      <c r="Y29" s="50">
        <v>8759.0</v>
      </c>
      <c r="Z29" s="29"/>
      <c r="AA29" s="33"/>
    </row>
    <row r="30" ht="15.75" customHeight="1">
      <c r="A30" s="28">
        <v>46257.0</v>
      </c>
      <c r="B30" s="10" t="str">
        <f t="shared" si="2"/>
        <v>日</v>
      </c>
      <c r="C30" s="49">
        <v>660000.0</v>
      </c>
      <c r="D30" s="11">
        <f t="shared" si="3"/>
        <v>13440000</v>
      </c>
      <c r="E30" s="49">
        <v>45920.0</v>
      </c>
      <c r="F30" s="49">
        <v>186530.0</v>
      </c>
      <c r="G30" s="29"/>
      <c r="H30" s="29"/>
      <c r="I30" s="11">
        <f t="shared" si="4"/>
        <v>232450</v>
      </c>
      <c r="J30" s="11">
        <f t="shared" si="5"/>
        <v>3705179</v>
      </c>
      <c r="K30" s="12">
        <f t="shared" ref="K30:L30" si="37">IF(I30="","",IFERROR(I30/C30,""))</f>
        <v>0.3521969697</v>
      </c>
      <c r="L30" s="12">
        <f t="shared" si="37"/>
        <v>0.2756829613</v>
      </c>
      <c r="M30" s="11">
        <f t="shared" si="7"/>
        <v>-9734821</v>
      </c>
      <c r="N30" s="30" t="str">
        <f t="shared" si="8"/>
        <v>▲ 遅れ</v>
      </c>
      <c r="O30" s="50">
        <v>11.0</v>
      </c>
      <c r="P30" s="50">
        <v>11.0</v>
      </c>
      <c r="Q30" s="50">
        <v>37.0</v>
      </c>
      <c r="R30" s="50">
        <v>18.0</v>
      </c>
      <c r="S30" s="50">
        <v>23.0</v>
      </c>
      <c r="T30" s="12">
        <f t="shared" si="9"/>
        <v>0.2972972973</v>
      </c>
      <c r="U30" s="11">
        <f t="shared" si="10"/>
        <v>21131.81818</v>
      </c>
      <c r="V30" s="32">
        <f t="shared" si="11"/>
        <v>1</v>
      </c>
      <c r="W30" s="12">
        <f t="shared" si="12"/>
        <v>0.4864864865</v>
      </c>
      <c r="X30" s="31"/>
      <c r="Y30" s="50">
        <v>8771.0</v>
      </c>
      <c r="Z30" s="29"/>
      <c r="AA30" s="33"/>
    </row>
    <row r="31" ht="15.75" customHeight="1">
      <c r="A31" s="38">
        <v>46258.0</v>
      </c>
      <c r="B31" s="14" t="str">
        <f t="shared" si="2"/>
        <v>月</v>
      </c>
      <c r="C31" s="49">
        <v>440000.0</v>
      </c>
      <c r="D31" s="15">
        <f t="shared" si="3"/>
        <v>13880000</v>
      </c>
      <c r="E31" s="49">
        <v>24310.0</v>
      </c>
      <c r="F31" s="49">
        <v>96329.0</v>
      </c>
      <c r="G31" s="29"/>
      <c r="H31" s="29"/>
      <c r="I31" s="15">
        <f t="shared" si="4"/>
        <v>120639</v>
      </c>
      <c r="J31" s="15">
        <f t="shared" si="5"/>
        <v>3825818</v>
      </c>
      <c r="K31" s="16">
        <f t="shared" ref="K31:L31" si="38">IF(I31="","",IFERROR(I31/C31,""))</f>
        <v>0.2741795455</v>
      </c>
      <c r="L31" s="16">
        <f t="shared" si="38"/>
        <v>0.2756353026</v>
      </c>
      <c r="M31" s="15">
        <f t="shared" si="7"/>
        <v>-10054182</v>
      </c>
      <c r="N31" s="39" t="str">
        <f t="shared" si="8"/>
        <v>▲ 遅れ</v>
      </c>
      <c r="O31" s="50">
        <v>5.0</v>
      </c>
      <c r="P31" s="50">
        <v>5.0</v>
      </c>
      <c r="Q31" s="50">
        <v>21.0</v>
      </c>
      <c r="R31" s="50">
        <v>8.0</v>
      </c>
      <c r="S31" s="50">
        <v>13.0</v>
      </c>
      <c r="T31" s="16">
        <f t="shared" si="9"/>
        <v>0.2380952381</v>
      </c>
      <c r="U31" s="15">
        <f t="shared" si="10"/>
        <v>24127.8</v>
      </c>
      <c r="V31" s="40">
        <f t="shared" si="11"/>
        <v>1</v>
      </c>
      <c r="W31" s="16">
        <f t="shared" si="12"/>
        <v>0.380952381</v>
      </c>
      <c r="X31" s="31"/>
      <c r="Y31" s="31"/>
      <c r="Z31" s="29"/>
      <c r="AA31" s="33"/>
    </row>
    <row r="32" ht="15.75" customHeight="1">
      <c r="A32" s="28">
        <v>46259.0</v>
      </c>
      <c r="B32" s="10" t="str">
        <f t="shared" si="2"/>
        <v>火</v>
      </c>
      <c r="C32" s="49">
        <v>440000.0</v>
      </c>
      <c r="D32" s="11">
        <f t="shared" si="3"/>
        <v>14320000</v>
      </c>
      <c r="E32" s="49">
        <v>43709.0</v>
      </c>
      <c r="F32" s="49">
        <v>0.0</v>
      </c>
      <c r="G32" s="29"/>
      <c r="H32" s="29"/>
      <c r="I32" s="11">
        <f t="shared" si="4"/>
        <v>43709</v>
      </c>
      <c r="J32" s="11">
        <f t="shared" si="5"/>
        <v>3869527</v>
      </c>
      <c r="K32" s="12">
        <f t="shared" ref="K32:L32" si="39">IF(I32="","",IFERROR(I32/C32,""))</f>
        <v>0.09933863636</v>
      </c>
      <c r="L32" s="12">
        <f t="shared" si="39"/>
        <v>0.2702183659</v>
      </c>
      <c r="M32" s="11">
        <f t="shared" si="7"/>
        <v>-10450473</v>
      </c>
      <c r="N32" s="30" t="str">
        <f t="shared" si="8"/>
        <v>▲ 遅れ</v>
      </c>
      <c r="O32" s="50">
        <v>2.0</v>
      </c>
      <c r="P32" s="50">
        <v>2.0</v>
      </c>
      <c r="Q32" s="50">
        <v>18.0</v>
      </c>
      <c r="R32" s="50">
        <v>7.0</v>
      </c>
      <c r="S32" s="50">
        <v>11.0</v>
      </c>
      <c r="T32" s="12">
        <f t="shared" si="9"/>
        <v>0.1111111111</v>
      </c>
      <c r="U32" s="11">
        <f t="shared" si="10"/>
        <v>21854.5</v>
      </c>
      <c r="V32" s="32">
        <f t="shared" si="11"/>
        <v>1</v>
      </c>
      <c r="W32" s="12">
        <f t="shared" si="12"/>
        <v>0.3888888889</v>
      </c>
      <c r="X32" s="31"/>
      <c r="Y32" s="50">
        <v>8766.0</v>
      </c>
      <c r="Z32" s="29"/>
      <c r="AA32" s="33"/>
    </row>
    <row r="33" ht="15.75" customHeight="1">
      <c r="A33" s="38">
        <v>46260.0</v>
      </c>
      <c r="B33" s="14" t="str">
        <f t="shared" si="2"/>
        <v>水</v>
      </c>
      <c r="C33" s="49">
        <v>440000.0</v>
      </c>
      <c r="D33" s="15">
        <f t="shared" si="3"/>
        <v>14760000</v>
      </c>
      <c r="E33" s="49">
        <v>25010.0</v>
      </c>
      <c r="F33" s="49">
        <v>67630.0</v>
      </c>
      <c r="G33" s="29"/>
      <c r="H33" s="29"/>
      <c r="I33" s="15">
        <f t="shared" si="4"/>
        <v>92640</v>
      </c>
      <c r="J33" s="15">
        <f t="shared" si="5"/>
        <v>3962167</v>
      </c>
      <c r="K33" s="16">
        <f t="shared" ref="K33:L33" si="40">IF(I33="","",IFERROR(I33/C33,""))</f>
        <v>0.2105454545</v>
      </c>
      <c r="L33" s="16">
        <f t="shared" si="40"/>
        <v>0.2684394986</v>
      </c>
      <c r="M33" s="15">
        <f t="shared" si="7"/>
        <v>-10797833</v>
      </c>
      <c r="N33" s="39" t="str">
        <f t="shared" si="8"/>
        <v>▲ 遅れ</v>
      </c>
      <c r="O33" s="50">
        <v>4.0</v>
      </c>
      <c r="P33" s="50">
        <v>4.0</v>
      </c>
      <c r="Q33" s="50">
        <v>16.0</v>
      </c>
      <c r="R33" s="50">
        <v>4.0</v>
      </c>
      <c r="S33" s="50">
        <v>6.0</v>
      </c>
      <c r="T33" s="16">
        <f t="shared" si="9"/>
        <v>0.25</v>
      </c>
      <c r="U33" s="15">
        <f t="shared" si="10"/>
        <v>23160</v>
      </c>
      <c r="V33" s="40">
        <f t="shared" si="11"/>
        <v>1</v>
      </c>
      <c r="W33" s="16">
        <f t="shared" si="12"/>
        <v>0.25</v>
      </c>
      <c r="X33" s="31"/>
      <c r="Y33" s="50">
        <v>8766.0</v>
      </c>
      <c r="Z33" s="29"/>
      <c r="AA33" s="33"/>
    </row>
    <row r="34" ht="15.75" customHeight="1">
      <c r="A34" s="28">
        <v>46261.0</v>
      </c>
      <c r="B34" s="10" t="str">
        <f t="shared" si="2"/>
        <v>木</v>
      </c>
      <c r="C34" s="49">
        <v>440000.0</v>
      </c>
      <c r="D34" s="11">
        <f t="shared" si="3"/>
        <v>15200000</v>
      </c>
      <c r="E34" s="49">
        <v>68690.0</v>
      </c>
      <c r="F34" s="49">
        <v>44110.0</v>
      </c>
      <c r="G34" s="29"/>
      <c r="H34" s="29"/>
      <c r="I34" s="11">
        <f t="shared" si="4"/>
        <v>112800</v>
      </c>
      <c r="J34" s="11">
        <f t="shared" si="5"/>
        <v>4074967</v>
      </c>
      <c r="K34" s="12">
        <f t="shared" ref="K34:L34" si="41">IF(I34="","",IFERROR(I34/C34,""))</f>
        <v>0.2563636364</v>
      </c>
      <c r="L34" s="12">
        <f t="shared" si="41"/>
        <v>0.2680899342</v>
      </c>
      <c r="M34" s="11">
        <f t="shared" si="7"/>
        <v>-11125033</v>
      </c>
      <c r="N34" s="30" t="str">
        <f t="shared" si="8"/>
        <v>▲ 遅れ</v>
      </c>
      <c r="O34" s="50">
        <v>5.0</v>
      </c>
      <c r="P34" s="50">
        <v>5.0</v>
      </c>
      <c r="Q34" s="50">
        <v>23.0</v>
      </c>
      <c r="R34" s="50">
        <v>11.0</v>
      </c>
      <c r="S34" s="50">
        <v>11.0</v>
      </c>
      <c r="T34" s="12">
        <f t="shared" si="9"/>
        <v>0.2173913043</v>
      </c>
      <c r="U34" s="11">
        <f t="shared" si="10"/>
        <v>22560</v>
      </c>
      <c r="V34" s="32">
        <f t="shared" si="11"/>
        <v>1</v>
      </c>
      <c r="W34" s="12">
        <f t="shared" si="12"/>
        <v>0.4782608696</v>
      </c>
      <c r="X34" s="31"/>
      <c r="Y34" s="50">
        <v>8766.0</v>
      </c>
      <c r="Z34" s="29"/>
      <c r="AA34" s="33"/>
    </row>
    <row r="35" ht="15.75" customHeight="1">
      <c r="A35" s="38">
        <v>46262.0</v>
      </c>
      <c r="B35" s="14" t="str">
        <f t="shared" si="2"/>
        <v>金</v>
      </c>
      <c r="C35" s="49">
        <v>440000.0</v>
      </c>
      <c r="D35" s="15">
        <f t="shared" si="3"/>
        <v>15640000</v>
      </c>
      <c r="E35" s="49">
        <v>37818.0</v>
      </c>
      <c r="F35" s="49">
        <v>51810.0</v>
      </c>
      <c r="G35" s="29"/>
      <c r="H35" s="29"/>
      <c r="I35" s="15">
        <f t="shared" si="4"/>
        <v>89628</v>
      </c>
      <c r="J35" s="15">
        <f t="shared" si="5"/>
        <v>4164595</v>
      </c>
      <c r="K35" s="16">
        <f t="shared" ref="K35:L35" si="42">IF(I35="","",IFERROR(I35/C35,""))</f>
        <v>0.2037</v>
      </c>
      <c r="L35" s="16">
        <f t="shared" si="42"/>
        <v>0.2662784527</v>
      </c>
      <c r="M35" s="15">
        <f t="shared" si="7"/>
        <v>-11475405</v>
      </c>
      <c r="N35" s="39" t="str">
        <f t="shared" si="8"/>
        <v>▲ 遅れ</v>
      </c>
      <c r="O35" s="50">
        <v>4.0</v>
      </c>
      <c r="P35" s="50">
        <v>5.0</v>
      </c>
      <c r="Q35" s="50">
        <v>22.0</v>
      </c>
      <c r="R35" s="50">
        <v>11.0</v>
      </c>
      <c r="S35" s="50">
        <v>16.0</v>
      </c>
      <c r="T35" s="16">
        <f t="shared" si="9"/>
        <v>0.1818181818</v>
      </c>
      <c r="U35" s="15">
        <f t="shared" si="10"/>
        <v>22407</v>
      </c>
      <c r="V35" s="40">
        <f t="shared" si="11"/>
        <v>1.25</v>
      </c>
      <c r="W35" s="16">
        <f t="shared" si="12"/>
        <v>0.5</v>
      </c>
      <c r="X35" s="31"/>
      <c r="Y35" s="50">
        <v>8766.0</v>
      </c>
      <c r="Z35" s="29"/>
      <c r="AA35" s="33"/>
    </row>
    <row r="36" ht="15.75" customHeight="1">
      <c r="A36" s="28">
        <v>46263.0</v>
      </c>
      <c r="B36" s="10" t="str">
        <f t="shared" si="2"/>
        <v>土</v>
      </c>
      <c r="C36" s="49">
        <v>660000.0</v>
      </c>
      <c r="D36" s="11">
        <f t="shared" si="3"/>
        <v>16300000</v>
      </c>
      <c r="E36" s="49">
        <v>97376.0</v>
      </c>
      <c r="F36" s="49">
        <v>62139.0</v>
      </c>
      <c r="G36" s="29"/>
      <c r="H36" s="29"/>
      <c r="I36" s="11">
        <f t="shared" si="4"/>
        <v>159515</v>
      </c>
      <c r="J36" s="11">
        <f t="shared" si="5"/>
        <v>4324110</v>
      </c>
      <c r="K36" s="12">
        <f t="shared" ref="K36:L36" si="43">IF(I36="","",IFERROR(I36/C36,""))</f>
        <v>0.2416893939</v>
      </c>
      <c r="L36" s="12">
        <f t="shared" si="43"/>
        <v>0.2652828221</v>
      </c>
      <c r="M36" s="11">
        <f t="shared" si="7"/>
        <v>-11975890</v>
      </c>
      <c r="N36" s="30" t="str">
        <f t="shared" si="8"/>
        <v>▲ 遅れ</v>
      </c>
      <c r="O36" s="50">
        <v>9.0</v>
      </c>
      <c r="P36" s="50">
        <v>9.0</v>
      </c>
      <c r="Q36" s="50">
        <v>22.0</v>
      </c>
      <c r="R36" s="50">
        <v>15.0</v>
      </c>
      <c r="S36" s="50">
        <v>23.0</v>
      </c>
      <c r="T36" s="12">
        <f t="shared" si="9"/>
        <v>0.4090909091</v>
      </c>
      <c r="U36" s="11">
        <f t="shared" si="10"/>
        <v>17723.88889</v>
      </c>
      <c r="V36" s="32">
        <f t="shared" si="11"/>
        <v>1</v>
      </c>
      <c r="W36" s="12">
        <f t="shared" si="12"/>
        <v>0.6818181818</v>
      </c>
      <c r="X36" s="31"/>
      <c r="Y36" s="50">
        <v>8767.0</v>
      </c>
      <c r="Z36" s="29"/>
      <c r="AA36" s="33"/>
    </row>
    <row r="37" ht="15.75" customHeight="1">
      <c r="A37" s="38">
        <v>46264.0</v>
      </c>
      <c r="B37" s="14" t="str">
        <f t="shared" si="2"/>
        <v>日</v>
      </c>
      <c r="C37" s="49">
        <v>660000.0</v>
      </c>
      <c r="D37" s="15">
        <f t="shared" si="3"/>
        <v>16960000</v>
      </c>
      <c r="E37" s="49">
        <v>60830.0</v>
      </c>
      <c r="F37" s="49">
        <v>138060.0</v>
      </c>
      <c r="G37" s="49">
        <v>12000.0</v>
      </c>
      <c r="H37" s="29"/>
      <c r="I37" s="15">
        <f t="shared" si="4"/>
        <v>210890</v>
      </c>
      <c r="J37" s="15">
        <f t="shared" si="5"/>
        <v>4535000</v>
      </c>
      <c r="K37" s="16">
        <f t="shared" ref="K37:L37" si="44">IF(I37="","",IFERROR(I37/C37,""))</f>
        <v>0.319530303</v>
      </c>
      <c r="L37" s="16">
        <f t="shared" si="44"/>
        <v>0.2673938679</v>
      </c>
      <c r="M37" s="15">
        <f t="shared" si="7"/>
        <v>-12425000</v>
      </c>
      <c r="N37" s="39" t="str">
        <f t="shared" si="8"/>
        <v>▲ 遅れ</v>
      </c>
      <c r="O37" s="50">
        <v>10.0</v>
      </c>
      <c r="P37" s="50">
        <v>11.0</v>
      </c>
      <c r="Q37" s="50">
        <v>27.0</v>
      </c>
      <c r="R37" s="50">
        <v>10.0</v>
      </c>
      <c r="S37" s="50">
        <v>13.0</v>
      </c>
      <c r="T37" s="16">
        <f t="shared" si="9"/>
        <v>0.3703703704</v>
      </c>
      <c r="U37" s="15">
        <f t="shared" si="10"/>
        <v>21089</v>
      </c>
      <c r="V37" s="40">
        <f t="shared" si="11"/>
        <v>1.1</v>
      </c>
      <c r="W37" s="16">
        <f t="shared" si="12"/>
        <v>0.3703703704</v>
      </c>
      <c r="X37" s="31"/>
      <c r="Y37" s="50">
        <v>8765.0</v>
      </c>
      <c r="Z37" s="29"/>
      <c r="AA37" s="33"/>
    </row>
    <row r="38" ht="15.75" customHeight="1">
      <c r="A38" s="28">
        <v>46265.0</v>
      </c>
      <c r="B38" s="10" t="str">
        <f t="shared" si="2"/>
        <v>月</v>
      </c>
      <c r="C38" s="49">
        <v>440000.0</v>
      </c>
      <c r="D38" s="11">
        <f t="shared" si="3"/>
        <v>17400000</v>
      </c>
      <c r="E38" s="49">
        <v>27170.0</v>
      </c>
      <c r="F38" s="49">
        <v>23810.0</v>
      </c>
      <c r="G38" s="29"/>
      <c r="H38" s="29"/>
      <c r="I38" s="11">
        <f t="shared" si="4"/>
        <v>50980</v>
      </c>
      <c r="J38" s="11">
        <f t="shared" si="5"/>
        <v>4585980</v>
      </c>
      <c r="K38" s="12">
        <f t="shared" ref="K38:L38" si="45">IF(I38="","",IFERROR(I38/C38,""))</f>
        <v>0.1158636364</v>
      </c>
      <c r="L38" s="12">
        <f t="shared" si="45"/>
        <v>0.263562069</v>
      </c>
      <c r="M38" s="11">
        <f t="shared" si="7"/>
        <v>-12814020</v>
      </c>
      <c r="N38" s="30" t="str">
        <f t="shared" si="8"/>
        <v>▲ 遅れ</v>
      </c>
      <c r="O38" s="50">
        <v>2.0</v>
      </c>
      <c r="P38" s="50">
        <v>2.0</v>
      </c>
      <c r="Q38" s="50">
        <v>14.0</v>
      </c>
      <c r="R38" s="50">
        <v>5.0</v>
      </c>
      <c r="S38" s="50">
        <v>6.0</v>
      </c>
      <c r="T38" s="12">
        <f t="shared" si="9"/>
        <v>0.1428571429</v>
      </c>
      <c r="U38" s="11">
        <f t="shared" si="10"/>
        <v>25490</v>
      </c>
      <c r="V38" s="32">
        <f t="shared" si="11"/>
        <v>1</v>
      </c>
      <c r="W38" s="12">
        <f t="shared" si="12"/>
        <v>0.3571428571</v>
      </c>
      <c r="X38" s="31"/>
      <c r="Y38" s="50">
        <v>8764.0</v>
      </c>
      <c r="Z38" s="29"/>
      <c r="AA38" s="33"/>
    </row>
    <row r="39" ht="15.75" customHeight="1">
      <c r="A39" s="44" t="s">
        <v>81</v>
      </c>
      <c r="B39" s="18"/>
      <c r="C39" s="19">
        <f>SUM(C8:C38)</f>
        <v>17400000</v>
      </c>
      <c r="D39" s="19">
        <f>C39</f>
        <v>17400000</v>
      </c>
      <c r="E39" s="19">
        <f t="shared" ref="E39:I39" si="46">SUM(E8:E38)</f>
        <v>1577074</v>
      </c>
      <c r="F39" s="19">
        <f t="shared" si="46"/>
        <v>2983906</v>
      </c>
      <c r="G39" s="19">
        <f t="shared" si="46"/>
        <v>25000</v>
      </c>
      <c r="H39" s="19">
        <f t="shared" si="46"/>
        <v>0</v>
      </c>
      <c r="I39" s="19">
        <f t="shared" si="46"/>
        <v>4585980</v>
      </c>
      <c r="J39" s="19">
        <f>I39</f>
        <v>4585980</v>
      </c>
      <c r="K39" s="20">
        <f>IFERROR(I39/C39,"")</f>
        <v>0.263562069</v>
      </c>
      <c r="L39" s="20">
        <f>IFERROR(I39/C39,"")</f>
        <v>0.263562069</v>
      </c>
      <c r="M39" s="19">
        <f>I39-C39</f>
        <v>-12814020</v>
      </c>
      <c r="N39" s="45"/>
      <c r="O39" s="21">
        <f t="shared" ref="O39:S39" si="47">SUM(O8:O38)</f>
        <v>208</v>
      </c>
      <c r="P39" s="21">
        <f t="shared" si="47"/>
        <v>221</v>
      </c>
      <c r="Q39" s="21">
        <f t="shared" si="47"/>
        <v>790</v>
      </c>
      <c r="R39" s="21">
        <f t="shared" si="47"/>
        <v>294</v>
      </c>
      <c r="S39" s="21">
        <f t="shared" si="47"/>
        <v>443</v>
      </c>
      <c r="T39" s="20">
        <f t="shared" si="9"/>
        <v>0.2632911392</v>
      </c>
      <c r="U39" s="19">
        <f t="shared" si="10"/>
        <v>22047.98077</v>
      </c>
      <c r="V39" s="46">
        <f t="shared" si="11"/>
        <v>1.0625</v>
      </c>
      <c r="W39" s="20">
        <f t="shared" si="12"/>
        <v>0.3721518987</v>
      </c>
      <c r="X39" s="21">
        <f>SUM(X8:X38)</f>
        <v>0</v>
      </c>
      <c r="Y39" s="21">
        <f>IFERROR(LOOKUP(9.99E+307,Y8:Y38),"")</f>
        <v>8764</v>
      </c>
      <c r="Z39" s="19">
        <f>SUM(Z8:Z38)</f>
        <v>0</v>
      </c>
      <c r="AA39" s="47" t="s">
        <v>82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A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M8:M38">
    <cfRule type="expression" dxfId="0" priority="1">
      <formula>AND($I8&lt;&gt;"",$M8&gt;=0)</formula>
    </cfRule>
  </conditionalFormatting>
  <conditionalFormatting sqref="M8:M38">
    <cfRule type="expression" dxfId="1" priority="2">
      <formula>AND($I8&lt;&gt;"",$M8&lt;0)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0.0"/>
    <col customWidth="1" min="8" max="8" width="11.0"/>
    <col customWidth="1" min="9" max="9" width="12.0"/>
    <col customWidth="1" min="10" max="10" width="13.0"/>
    <col customWidth="1" min="11" max="12" width="9.0"/>
    <col customWidth="1" min="13" max="13" width="13.0"/>
    <col customWidth="1" min="14" max="14" width="11.0"/>
    <col customWidth="1" min="15" max="20" width="8.0"/>
    <col customWidth="1" min="21" max="21" width="11.0"/>
    <col customWidth="1" min="22" max="24" width="8.0"/>
    <col customWidth="1" min="25" max="25" width="10.0"/>
    <col customWidth="1" min="26" max="26" width="9.0"/>
    <col customWidth="1" min="27" max="27" width="28.0"/>
    <col customWidth="1" min="28" max="28" width="3.0"/>
    <col customWidth="1" min="29" max="29" width="5.0"/>
    <col customWidth="1" min="30" max="30" width="13.0"/>
    <col customWidth="1" min="31" max="31" width="12.0"/>
    <col customWidth="1" min="32" max="32" width="9.0"/>
    <col customWidth="1" min="33" max="33" width="11.0"/>
    <col customWidth="1" min="34" max="36" width="9.0"/>
    <col customWidth="1" min="37" max="37" width="8.0"/>
  </cols>
  <sheetData>
    <row r="1" ht="27.75" customHeight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113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IF('設定'!$B$13="",SUM(C8:C37),'設定'!$B$13)</f>
        <v>14000000</v>
      </c>
      <c r="B4" s="6"/>
      <c r="C4" s="7">
        <f>SUM(I8:I37)</f>
        <v>4640983</v>
      </c>
      <c r="D4" s="6"/>
      <c r="E4" s="8">
        <f>IFERROR(C4/A4,0)</f>
        <v>0.3314987857</v>
      </c>
      <c r="F4" s="6"/>
      <c r="G4" s="25">
        <f>COUNTIF(I8:I37,"&gt;0")</f>
        <v>30</v>
      </c>
      <c r="H4" s="6"/>
      <c r="I4" s="7">
        <f>A4-C4</f>
        <v>9359017</v>
      </c>
      <c r="J4" s="6"/>
      <c r="K4" s="7">
        <f>IF((30-G4)&gt;0,(A4-C4)/(30-G4),0)</f>
        <v>0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SUM(C8:C37)</f>
        <v>16300000</v>
      </c>
      <c r="B6" s="6"/>
      <c r="C6" s="7">
        <f>IFERROR(C4/G4*30,0)</f>
        <v>4640983</v>
      </c>
      <c r="D6" s="6"/>
      <c r="E6" s="8">
        <f>IFERROR(O38/Q38,0)</f>
        <v>0.2838983051</v>
      </c>
      <c r="F6" s="6"/>
      <c r="G6" s="7">
        <f>IFERROR(I38/O38,0)</f>
        <v>23089.46766</v>
      </c>
      <c r="H6" s="6"/>
      <c r="I6" s="26">
        <f>IFERROR(P38/O38,0)</f>
        <v>1.059701493</v>
      </c>
      <c r="J6" s="6"/>
      <c r="K6" s="8">
        <f>IFERROR(R38/Q38,0)</f>
        <v>0.3531073446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99</v>
      </c>
      <c r="H7" s="9" t="s">
        <v>114</v>
      </c>
      <c r="I7" s="9" t="s">
        <v>51</v>
      </c>
      <c r="J7" s="9" t="s">
        <v>19</v>
      </c>
      <c r="K7" s="9" t="s">
        <v>52</v>
      </c>
      <c r="L7" s="9" t="s">
        <v>53</v>
      </c>
      <c r="M7" s="9" t="s">
        <v>54</v>
      </c>
      <c r="N7" s="9" t="s">
        <v>55</v>
      </c>
      <c r="O7" s="9" t="s">
        <v>14</v>
      </c>
      <c r="P7" s="9" t="s">
        <v>56</v>
      </c>
      <c r="Q7" s="9" t="s">
        <v>15</v>
      </c>
      <c r="R7" s="9" t="s">
        <v>57</v>
      </c>
      <c r="S7" s="9" t="s">
        <v>58</v>
      </c>
      <c r="T7" s="9" t="s">
        <v>16</v>
      </c>
      <c r="U7" s="9" t="s">
        <v>17</v>
      </c>
      <c r="V7" s="9" t="s">
        <v>43</v>
      </c>
      <c r="W7" s="9" t="s">
        <v>44</v>
      </c>
      <c r="X7" s="9" t="s">
        <v>59</v>
      </c>
      <c r="Y7" s="9" t="s">
        <v>60</v>
      </c>
      <c r="Z7" s="9" t="s">
        <v>61</v>
      </c>
      <c r="AA7" s="9" t="s">
        <v>62</v>
      </c>
      <c r="AC7" s="27" t="s">
        <v>63</v>
      </c>
      <c r="AD7" s="27" t="s">
        <v>64</v>
      </c>
      <c r="AE7" s="27" t="s">
        <v>65</v>
      </c>
      <c r="AF7" s="27" t="s">
        <v>16</v>
      </c>
      <c r="AG7" s="27" t="s">
        <v>17</v>
      </c>
    </row>
    <row r="8">
      <c r="A8" s="28">
        <v>46266.0</v>
      </c>
      <c r="B8" s="10" t="str">
        <f t="shared" ref="B8:B37" si="2">MID("日月火水木金土",WEEKDAY(A8),1)</f>
        <v>火</v>
      </c>
      <c r="C8" s="49">
        <v>400000.0</v>
      </c>
      <c r="D8" s="11">
        <f t="shared" ref="D8:D37" si="3">SUM($C$8:C8)</f>
        <v>400000</v>
      </c>
      <c r="E8" s="49">
        <v>19410.0</v>
      </c>
      <c r="F8" s="49">
        <v>42152.0</v>
      </c>
      <c r="G8" s="29"/>
      <c r="H8" s="29"/>
      <c r="I8" s="11">
        <f t="shared" ref="I8:I37" si="4">IF(COUNT(E8:H8)=0,"",SUM(E8:H8))</f>
        <v>61562</v>
      </c>
      <c r="J8" s="11">
        <f t="shared" ref="J8:J37" si="5">IF(I8="","",SUM($I$8:I8))</f>
        <v>61562</v>
      </c>
      <c r="K8" s="12">
        <f t="shared" ref="K8:L8" si="1">IF(I8="","",IFERROR(I8/C8,""))</f>
        <v>0.153905</v>
      </c>
      <c r="L8" s="12">
        <f t="shared" si="1"/>
        <v>0.153905</v>
      </c>
      <c r="M8" s="11">
        <f t="shared" ref="M8:M37" si="7">IF(J8="","",IF(D8=0,"",J8-D8))</f>
        <v>-338438</v>
      </c>
      <c r="N8" s="30" t="str">
        <f t="shared" ref="N8:N37" si="8">IF(I8="","—",IF(D8=0,"予算未入力",IF(J8&gt;=D8,"◎ ペース内","▲ 遅れ")))</f>
        <v>▲ 遅れ</v>
      </c>
      <c r="O8" s="50">
        <v>3.0</v>
      </c>
      <c r="P8" s="50">
        <v>3.0</v>
      </c>
      <c r="Q8" s="50">
        <v>20.0</v>
      </c>
      <c r="R8" s="50">
        <v>7.0</v>
      </c>
      <c r="S8" s="50">
        <v>8.0</v>
      </c>
      <c r="T8" s="12">
        <f t="shared" ref="T8:T38" si="9">IFERROR(O8/Q8,"")</f>
        <v>0.15</v>
      </c>
      <c r="U8" s="11">
        <f t="shared" ref="U8:U38" si="10">IFERROR(I8/O8,"")</f>
        <v>20520.66667</v>
      </c>
      <c r="V8" s="32">
        <f t="shared" ref="V8:V38" si="11">IFERROR(P8/O8,"")</f>
        <v>1</v>
      </c>
      <c r="W8" s="12">
        <f t="shared" ref="W8:W38" si="12">IFERROR(R8/Q8,"")</f>
        <v>0.35</v>
      </c>
      <c r="X8" s="31"/>
      <c r="Y8" s="50">
        <v>8762.0</v>
      </c>
      <c r="Z8" s="29"/>
      <c r="AA8" s="33"/>
      <c r="AC8" s="34" t="s">
        <v>7</v>
      </c>
      <c r="AD8" s="35">
        <f t="shared" ref="AD8:AD14" si="13">IFERROR(AVERAGEIFS($I$8:$I$37,$B$8:$B$37,AC8,$I$8:$I$37,"&gt;0"),0)</f>
        <v>149464.25</v>
      </c>
      <c r="AE8" s="36">
        <f t="shared" ref="AE8:AE14" si="14">COUNTIFS($B$8:$B$37,AC8,$I$8:$I$37,"&gt;0")</f>
        <v>4</v>
      </c>
      <c r="AF8" s="37">
        <f t="shared" ref="AF8:AF14" si="15">IFERROR(SUMIF($B$8:$B$37,AC8,$O$8:$O$37)/SUMIF($B$8:$B$37,AC8,$Q$8:$Q$37),0)</f>
        <v>0.2336448598</v>
      </c>
      <c r="AG8" s="35">
        <f t="shared" ref="AG8:AG14" si="16">IFERROR(SUMIF($B$8:$B$37,AC8,$I$8:$I$37)/SUMIF($B$8:$B$37,AC8,$O$8:$O$37),0)</f>
        <v>23914.28</v>
      </c>
    </row>
    <row r="9">
      <c r="A9" s="38">
        <v>46267.0</v>
      </c>
      <c r="B9" s="14" t="str">
        <f t="shared" si="2"/>
        <v>水</v>
      </c>
      <c r="C9" s="49">
        <v>400000.0</v>
      </c>
      <c r="D9" s="15">
        <f t="shared" si="3"/>
        <v>800000</v>
      </c>
      <c r="E9" s="49">
        <v>22000.0</v>
      </c>
      <c r="F9" s="49">
        <v>103890.0</v>
      </c>
      <c r="G9" s="29"/>
      <c r="H9" s="29"/>
      <c r="I9" s="15">
        <f t="shared" si="4"/>
        <v>125890</v>
      </c>
      <c r="J9" s="15">
        <f t="shared" si="5"/>
        <v>187452</v>
      </c>
      <c r="K9" s="16">
        <f t="shared" ref="K9:L9" si="6">IF(I9="","",IFERROR(I9/C9,""))</f>
        <v>0.314725</v>
      </c>
      <c r="L9" s="16">
        <f t="shared" si="6"/>
        <v>0.234315</v>
      </c>
      <c r="M9" s="15">
        <f t="shared" si="7"/>
        <v>-612548</v>
      </c>
      <c r="N9" s="39" t="str">
        <f t="shared" si="8"/>
        <v>▲ 遅れ</v>
      </c>
      <c r="O9" s="50">
        <v>6.0</v>
      </c>
      <c r="P9" s="50">
        <v>6.0</v>
      </c>
      <c r="Q9" s="50">
        <v>16.0</v>
      </c>
      <c r="R9" s="50">
        <v>2.0</v>
      </c>
      <c r="S9" s="50">
        <v>4.0</v>
      </c>
      <c r="T9" s="16">
        <f t="shared" si="9"/>
        <v>0.375</v>
      </c>
      <c r="U9" s="15">
        <f t="shared" si="10"/>
        <v>20981.66667</v>
      </c>
      <c r="V9" s="40">
        <f t="shared" si="11"/>
        <v>1</v>
      </c>
      <c r="W9" s="16">
        <f t="shared" si="12"/>
        <v>0.125</v>
      </c>
      <c r="X9" s="31"/>
      <c r="Y9" s="50">
        <v>8762.0</v>
      </c>
      <c r="Z9" s="29"/>
      <c r="AA9" s="33"/>
      <c r="AC9" s="34" t="s">
        <v>66</v>
      </c>
      <c r="AD9" s="35">
        <f t="shared" si="13"/>
        <v>111072.4</v>
      </c>
      <c r="AE9" s="36">
        <f t="shared" si="14"/>
        <v>5</v>
      </c>
      <c r="AF9" s="37">
        <f t="shared" si="15"/>
        <v>0.2285714286</v>
      </c>
      <c r="AG9" s="35">
        <f t="shared" si="16"/>
        <v>23140.08333</v>
      </c>
    </row>
    <row r="10">
      <c r="A10" s="28">
        <v>46268.0</v>
      </c>
      <c r="B10" s="10" t="str">
        <f t="shared" si="2"/>
        <v>木</v>
      </c>
      <c r="C10" s="49">
        <v>400000.0</v>
      </c>
      <c r="D10" s="11">
        <f t="shared" si="3"/>
        <v>1200000</v>
      </c>
      <c r="E10" s="49">
        <v>24310.0</v>
      </c>
      <c r="F10" s="49">
        <v>111640.0</v>
      </c>
      <c r="G10" s="29"/>
      <c r="H10" s="29"/>
      <c r="I10" s="11">
        <f t="shared" si="4"/>
        <v>135950</v>
      </c>
      <c r="J10" s="11">
        <f t="shared" si="5"/>
        <v>323402</v>
      </c>
      <c r="K10" s="12">
        <f t="shared" ref="K10:L10" si="17">IF(I10="","",IFERROR(I10/C10,""))</f>
        <v>0.339875</v>
      </c>
      <c r="L10" s="12">
        <f t="shared" si="17"/>
        <v>0.2695016667</v>
      </c>
      <c r="M10" s="11">
        <f t="shared" si="7"/>
        <v>-876598</v>
      </c>
      <c r="N10" s="30" t="str">
        <f t="shared" si="8"/>
        <v>▲ 遅れ</v>
      </c>
      <c r="O10" s="50">
        <v>6.0</v>
      </c>
      <c r="P10" s="50">
        <v>6.0</v>
      </c>
      <c r="Q10" s="50">
        <v>20.0</v>
      </c>
      <c r="R10" s="50">
        <v>9.0</v>
      </c>
      <c r="S10" s="50">
        <v>12.0</v>
      </c>
      <c r="T10" s="12">
        <f t="shared" si="9"/>
        <v>0.3</v>
      </c>
      <c r="U10" s="11">
        <f t="shared" si="10"/>
        <v>22658.33333</v>
      </c>
      <c r="V10" s="32">
        <f t="shared" si="11"/>
        <v>1</v>
      </c>
      <c r="W10" s="12">
        <f t="shared" si="12"/>
        <v>0.45</v>
      </c>
      <c r="X10" s="31"/>
      <c r="Y10" s="50">
        <v>8754.0</v>
      </c>
      <c r="Z10" s="29"/>
      <c r="AA10" s="33"/>
      <c r="AC10" s="34" t="s">
        <v>67</v>
      </c>
      <c r="AD10" s="35">
        <f t="shared" si="13"/>
        <v>107788.4</v>
      </c>
      <c r="AE10" s="36">
        <f t="shared" si="14"/>
        <v>5</v>
      </c>
      <c r="AF10" s="37">
        <f t="shared" si="15"/>
        <v>0.3157894737</v>
      </c>
      <c r="AG10" s="35">
        <f t="shared" si="16"/>
        <v>22455.91667</v>
      </c>
    </row>
    <row r="11">
      <c r="A11" s="38">
        <v>46269.0</v>
      </c>
      <c r="B11" s="14" t="str">
        <f t="shared" si="2"/>
        <v>金</v>
      </c>
      <c r="C11" s="49">
        <v>400000.0</v>
      </c>
      <c r="D11" s="15">
        <f t="shared" si="3"/>
        <v>1600000</v>
      </c>
      <c r="E11" s="49">
        <v>39700.0</v>
      </c>
      <c r="F11" s="49">
        <v>25300.0</v>
      </c>
      <c r="G11" s="29"/>
      <c r="H11" s="29"/>
      <c r="I11" s="15">
        <f t="shared" si="4"/>
        <v>65000</v>
      </c>
      <c r="J11" s="15">
        <f t="shared" si="5"/>
        <v>388402</v>
      </c>
      <c r="K11" s="16">
        <f t="shared" ref="K11:L11" si="18">IF(I11="","",IFERROR(I11/C11,""))</f>
        <v>0.1625</v>
      </c>
      <c r="L11" s="16">
        <f t="shared" si="18"/>
        <v>0.24275125</v>
      </c>
      <c r="M11" s="15">
        <f t="shared" si="7"/>
        <v>-1211598</v>
      </c>
      <c r="N11" s="39" t="str">
        <f t="shared" si="8"/>
        <v>▲ 遅れ</v>
      </c>
      <c r="O11" s="50">
        <v>4.0</v>
      </c>
      <c r="P11" s="50">
        <v>4.0</v>
      </c>
      <c r="Q11" s="50">
        <v>15.0</v>
      </c>
      <c r="R11" s="50">
        <v>3.0</v>
      </c>
      <c r="S11" s="50">
        <v>5.0</v>
      </c>
      <c r="T11" s="16">
        <f t="shared" si="9"/>
        <v>0.2666666667</v>
      </c>
      <c r="U11" s="15">
        <f t="shared" si="10"/>
        <v>16250</v>
      </c>
      <c r="V11" s="40">
        <f t="shared" si="11"/>
        <v>1</v>
      </c>
      <c r="W11" s="16">
        <f t="shared" si="12"/>
        <v>0.2</v>
      </c>
      <c r="X11" s="31"/>
      <c r="Y11" s="31"/>
      <c r="Z11" s="29"/>
      <c r="AA11" s="33"/>
      <c r="AC11" s="34" t="s">
        <v>68</v>
      </c>
      <c r="AD11" s="35">
        <f t="shared" si="13"/>
        <v>133692.5</v>
      </c>
      <c r="AE11" s="36">
        <f t="shared" si="14"/>
        <v>4</v>
      </c>
      <c r="AF11" s="37">
        <f t="shared" si="15"/>
        <v>0.3194444444</v>
      </c>
      <c r="AG11" s="35">
        <f t="shared" si="16"/>
        <v>23250.86957</v>
      </c>
    </row>
    <row r="12">
      <c r="A12" s="28">
        <v>46270.0</v>
      </c>
      <c r="B12" s="10" t="str">
        <f t="shared" si="2"/>
        <v>土</v>
      </c>
      <c r="C12" s="49">
        <v>700000.0</v>
      </c>
      <c r="D12" s="11">
        <f t="shared" si="3"/>
        <v>2300000</v>
      </c>
      <c r="E12" s="49">
        <v>69730.0</v>
      </c>
      <c r="F12" s="49">
        <v>58730.0</v>
      </c>
      <c r="G12" s="29"/>
      <c r="H12" s="29"/>
      <c r="I12" s="11">
        <f t="shared" si="4"/>
        <v>128460</v>
      </c>
      <c r="J12" s="11">
        <f t="shared" si="5"/>
        <v>516862</v>
      </c>
      <c r="K12" s="12">
        <f t="shared" ref="K12:L12" si="19">IF(I12="","",IFERROR(I12/C12,""))</f>
        <v>0.1835142857</v>
      </c>
      <c r="L12" s="12">
        <f t="shared" si="19"/>
        <v>0.2247226087</v>
      </c>
      <c r="M12" s="11">
        <f t="shared" si="7"/>
        <v>-1783138</v>
      </c>
      <c r="N12" s="30" t="str">
        <f t="shared" si="8"/>
        <v>▲ 遅れ</v>
      </c>
      <c r="O12" s="50">
        <v>6.0</v>
      </c>
      <c r="P12" s="50">
        <v>6.0</v>
      </c>
      <c r="Q12" s="50">
        <v>30.0</v>
      </c>
      <c r="R12" s="50">
        <v>14.0</v>
      </c>
      <c r="S12" s="50">
        <v>19.0</v>
      </c>
      <c r="T12" s="12">
        <f t="shared" si="9"/>
        <v>0.2</v>
      </c>
      <c r="U12" s="11">
        <f t="shared" si="10"/>
        <v>21410</v>
      </c>
      <c r="V12" s="32">
        <f t="shared" si="11"/>
        <v>1</v>
      </c>
      <c r="W12" s="12">
        <f t="shared" si="12"/>
        <v>0.4666666667</v>
      </c>
      <c r="X12" s="31"/>
      <c r="Y12" s="50">
        <v>8748.0</v>
      </c>
      <c r="Z12" s="29"/>
      <c r="AA12" s="33"/>
      <c r="AC12" s="34" t="s">
        <v>69</v>
      </c>
      <c r="AD12" s="35">
        <f t="shared" si="13"/>
        <v>117281.75</v>
      </c>
      <c r="AE12" s="36">
        <f t="shared" si="14"/>
        <v>4</v>
      </c>
      <c r="AF12" s="37">
        <f t="shared" si="15"/>
        <v>0.3548387097</v>
      </c>
      <c r="AG12" s="35">
        <f t="shared" si="16"/>
        <v>21323.95455</v>
      </c>
    </row>
    <row r="13">
      <c r="A13" s="38">
        <v>46271.0</v>
      </c>
      <c r="B13" s="14" t="str">
        <f t="shared" si="2"/>
        <v>日</v>
      </c>
      <c r="C13" s="49">
        <v>700000.0</v>
      </c>
      <c r="D13" s="15">
        <f t="shared" si="3"/>
        <v>3000000</v>
      </c>
      <c r="E13" s="49">
        <v>84556.0</v>
      </c>
      <c r="F13" s="49">
        <v>133250.0</v>
      </c>
      <c r="G13" s="29"/>
      <c r="H13" s="29"/>
      <c r="I13" s="15">
        <f t="shared" si="4"/>
        <v>217806</v>
      </c>
      <c r="J13" s="15">
        <f t="shared" si="5"/>
        <v>734668</v>
      </c>
      <c r="K13" s="16">
        <f t="shared" ref="K13:L13" si="20">IF(I13="","",IFERROR(I13/C13,""))</f>
        <v>0.3111514286</v>
      </c>
      <c r="L13" s="16">
        <f t="shared" si="20"/>
        <v>0.2448893333</v>
      </c>
      <c r="M13" s="15">
        <f t="shared" si="7"/>
        <v>-2265332</v>
      </c>
      <c r="N13" s="39" t="str">
        <f t="shared" si="8"/>
        <v>▲ 遅れ</v>
      </c>
      <c r="O13" s="50">
        <v>10.0</v>
      </c>
      <c r="P13" s="50">
        <v>10.0</v>
      </c>
      <c r="Q13" s="50">
        <v>32.0</v>
      </c>
      <c r="R13" s="50">
        <v>10.0</v>
      </c>
      <c r="S13" s="50">
        <v>13.0</v>
      </c>
      <c r="T13" s="16">
        <f t="shared" si="9"/>
        <v>0.3125</v>
      </c>
      <c r="U13" s="15">
        <f t="shared" si="10"/>
        <v>21780.6</v>
      </c>
      <c r="V13" s="40">
        <f t="shared" si="11"/>
        <v>1</v>
      </c>
      <c r="W13" s="16">
        <f t="shared" si="12"/>
        <v>0.3125</v>
      </c>
      <c r="X13" s="31"/>
      <c r="Y13" s="50">
        <v>8743.0</v>
      </c>
      <c r="Z13" s="49">
        <v>330.0</v>
      </c>
      <c r="AA13" s="52" t="s">
        <v>115</v>
      </c>
      <c r="AC13" s="34" t="s">
        <v>70</v>
      </c>
      <c r="AD13" s="35">
        <f t="shared" si="13"/>
        <v>195995.75</v>
      </c>
      <c r="AE13" s="36">
        <f t="shared" si="14"/>
        <v>4</v>
      </c>
      <c r="AF13" s="37">
        <f t="shared" si="15"/>
        <v>0.272</v>
      </c>
      <c r="AG13" s="35">
        <f t="shared" si="16"/>
        <v>23058.32353</v>
      </c>
    </row>
    <row r="14">
      <c r="A14" s="28">
        <v>46272.0</v>
      </c>
      <c r="B14" s="10" t="str">
        <f t="shared" si="2"/>
        <v>月</v>
      </c>
      <c r="C14" s="49">
        <v>400000.0</v>
      </c>
      <c r="D14" s="11">
        <f t="shared" si="3"/>
        <v>3400000</v>
      </c>
      <c r="E14" s="49">
        <v>0.0</v>
      </c>
      <c r="F14" s="49">
        <v>70948.0</v>
      </c>
      <c r="G14" s="29"/>
      <c r="H14" s="29"/>
      <c r="I14" s="11">
        <f t="shared" si="4"/>
        <v>70948</v>
      </c>
      <c r="J14" s="11">
        <f t="shared" si="5"/>
        <v>805616</v>
      </c>
      <c r="K14" s="12">
        <f t="shared" ref="K14:L14" si="21">IF(I14="","",IFERROR(I14/C14,""))</f>
        <v>0.17737</v>
      </c>
      <c r="L14" s="12">
        <f t="shared" si="21"/>
        <v>0.2369458824</v>
      </c>
      <c r="M14" s="11">
        <f t="shared" si="7"/>
        <v>-2594384</v>
      </c>
      <c r="N14" s="30" t="str">
        <f t="shared" si="8"/>
        <v>▲ 遅れ</v>
      </c>
      <c r="O14" s="50">
        <v>3.0</v>
      </c>
      <c r="P14" s="50">
        <v>3.0</v>
      </c>
      <c r="Q14" s="50">
        <v>18.0</v>
      </c>
      <c r="R14" s="50">
        <v>4.0</v>
      </c>
      <c r="S14" s="50">
        <v>6.0</v>
      </c>
      <c r="T14" s="12">
        <f t="shared" si="9"/>
        <v>0.1666666667</v>
      </c>
      <c r="U14" s="11">
        <f t="shared" si="10"/>
        <v>23649.33333</v>
      </c>
      <c r="V14" s="32">
        <f t="shared" si="11"/>
        <v>1</v>
      </c>
      <c r="W14" s="12">
        <f t="shared" si="12"/>
        <v>0.2222222222</v>
      </c>
      <c r="X14" s="31"/>
      <c r="Y14" s="50">
        <v>8740.0</v>
      </c>
      <c r="Z14" s="29"/>
      <c r="AA14" s="33"/>
      <c r="AC14" s="34" t="s">
        <v>71</v>
      </c>
      <c r="AD14" s="35">
        <f t="shared" si="13"/>
        <v>290235.5</v>
      </c>
      <c r="AE14" s="36">
        <f t="shared" si="14"/>
        <v>4</v>
      </c>
      <c r="AF14" s="37">
        <f t="shared" si="15"/>
        <v>0.3043478261</v>
      </c>
      <c r="AG14" s="35">
        <f t="shared" si="16"/>
        <v>23692.69388</v>
      </c>
    </row>
    <row r="15">
      <c r="A15" s="38">
        <v>46273.0</v>
      </c>
      <c r="B15" s="14" t="str">
        <f t="shared" si="2"/>
        <v>火</v>
      </c>
      <c r="C15" s="49">
        <v>400000.0</v>
      </c>
      <c r="D15" s="15">
        <f t="shared" si="3"/>
        <v>3800000</v>
      </c>
      <c r="E15" s="49">
        <v>26510.0</v>
      </c>
      <c r="F15" s="49">
        <v>89640.0</v>
      </c>
      <c r="G15" s="29"/>
      <c r="H15" s="29"/>
      <c r="I15" s="15">
        <f t="shared" si="4"/>
        <v>116150</v>
      </c>
      <c r="J15" s="15">
        <f t="shared" si="5"/>
        <v>921766</v>
      </c>
      <c r="K15" s="16">
        <f t="shared" ref="K15:L15" si="22">IF(I15="","",IFERROR(I15/C15,""))</f>
        <v>0.290375</v>
      </c>
      <c r="L15" s="16">
        <f t="shared" si="22"/>
        <v>0.24257</v>
      </c>
      <c r="M15" s="15">
        <f t="shared" si="7"/>
        <v>-2878234</v>
      </c>
      <c r="N15" s="39" t="str">
        <f t="shared" si="8"/>
        <v>▲ 遅れ</v>
      </c>
      <c r="O15" s="50">
        <v>5.0</v>
      </c>
      <c r="P15" s="50">
        <v>5.0</v>
      </c>
      <c r="Q15" s="50">
        <v>17.0</v>
      </c>
      <c r="R15" s="50">
        <v>5.0</v>
      </c>
      <c r="S15" s="50">
        <v>9.0</v>
      </c>
      <c r="T15" s="16">
        <f t="shared" si="9"/>
        <v>0.2941176471</v>
      </c>
      <c r="U15" s="15">
        <f t="shared" si="10"/>
        <v>23230</v>
      </c>
      <c r="V15" s="40">
        <f t="shared" si="11"/>
        <v>1</v>
      </c>
      <c r="W15" s="16">
        <f t="shared" si="12"/>
        <v>0.2941176471</v>
      </c>
      <c r="X15" s="31"/>
      <c r="Y15" s="50">
        <v>8739.0</v>
      </c>
      <c r="Z15" s="29"/>
      <c r="AA15" s="33"/>
    </row>
    <row r="16">
      <c r="A16" s="28">
        <v>46274.0</v>
      </c>
      <c r="B16" s="10" t="str">
        <f t="shared" si="2"/>
        <v>水</v>
      </c>
      <c r="C16" s="49">
        <v>400000.0</v>
      </c>
      <c r="D16" s="11">
        <f t="shared" si="3"/>
        <v>4200000</v>
      </c>
      <c r="E16" s="49">
        <v>0.0</v>
      </c>
      <c r="F16" s="49">
        <v>50210.0</v>
      </c>
      <c r="G16" s="29"/>
      <c r="H16" s="29"/>
      <c r="I16" s="11">
        <f t="shared" si="4"/>
        <v>50210</v>
      </c>
      <c r="J16" s="11">
        <f t="shared" si="5"/>
        <v>971976</v>
      </c>
      <c r="K16" s="12">
        <f t="shared" ref="K16:L16" si="23">IF(I16="","",IFERROR(I16/C16,""))</f>
        <v>0.125525</v>
      </c>
      <c r="L16" s="12">
        <f t="shared" si="23"/>
        <v>0.2314228571</v>
      </c>
      <c r="M16" s="11">
        <f t="shared" si="7"/>
        <v>-3228024</v>
      </c>
      <c r="N16" s="30" t="str">
        <f t="shared" si="8"/>
        <v>▲ 遅れ</v>
      </c>
      <c r="O16" s="50">
        <v>1.0</v>
      </c>
      <c r="P16" s="50">
        <v>2.0</v>
      </c>
      <c r="Q16" s="50">
        <v>9.0</v>
      </c>
      <c r="R16" s="50">
        <v>2.0</v>
      </c>
      <c r="S16" s="50">
        <v>3.0</v>
      </c>
      <c r="T16" s="12">
        <f t="shared" si="9"/>
        <v>0.1111111111</v>
      </c>
      <c r="U16" s="11">
        <f t="shared" si="10"/>
        <v>50210</v>
      </c>
      <c r="V16" s="32">
        <f t="shared" si="11"/>
        <v>2</v>
      </c>
      <c r="W16" s="12">
        <f t="shared" si="12"/>
        <v>0.2222222222</v>
      </c>
      <c r="X16" s="31"/>
      <c r="Y16" s="50">
        <v>8737.0</v>
      </c>
      <c r="Z16" s="29"/>
      <c r="AA16" s="33"/>
      <c r="AC16" s="22" t="s">
        <v>72</v>
      </c>
    </row>
    <row r="17">
      <c r="A17" s="38">
        <v>46275.0</v>
      </c>
      <c r="B17" s="14" t="str">
        <f t="shared" si="2"/>
        <v>木</v>
      </c>
      <c r="C17" s="49">
        <v>400000.0</v>
      </c>
      <c r="D17" s="15">
        <f t="shared" si="3"/>
        <v>4600000</v>
      </c>
      <c r="E17" s="49">
        <v>23810.0</v>
      </c>
      <c r="F17" s="49">
        <v>47620.0</v>
      </c>
      <c r="G17" s="29"/>
      <c r="H17" s="29"/>
      <c r="I17" s="15">
        <f t="shared" si="4"/>
        <v>71430</v>
      </c>
      <c r="J17" s="15">
        <f t="shared" si="5"/>
        <v>1043406</v>
      </c>
      <c r="K17" s="16">
        <f t="shared" ref="K17:L17" si="24">IF(I17="","",IFERROR(I17/C17,""))</f>
        <v>0.178575</v>
      </c>
      <c r="L17" s="16">
        <f t="shared" si="24"/>
        <v>0.2268273913</v>
      </c>
      <c r="M17" s="15">
        <f t="shared" si="7"/>
        <v>-3556594</v>
      </c>
      <c r="N17" s="39" t="str">
        <f t="shared" si="8"/>
        <v>▲ 遅れ</v>
      </c>
      <c r="O17" s="50">
        <v>3.0</v>
      </c>
      <c r="P17" s="50">
        <v>3.0</v>
      </c>
      <c r="Q17" s="50">
        <v>10.0</v>
      </c>
      <c r="R17" s="50">
        <v>4.0</v>
      </c>
      <c r="S17" s="50">
        <v>7.0</v>
      </c>
      <c r="T17" s="16">
        <f t="shared" si="9"/>
        <v>0.3</v>
      </c>
      <c r="U17" s="15">
        <f t="shared" si="10"/>
        <v>23810</v>
      </c>
      <c r="V17" s="40">
        <f t="shared" si="11"/>
        <v>1</v>
      </c>
      <c r="W17" s="16">
        <f t="shared" si="12"/>
        <v>0.4</v>
      </c>
      <c r="X17" s="31"/>
      <c r="Y17" s="50">
        <v>8735.0</v>
      </c>
      <c r="Z17" s="29"/>
      <c r="AA17" s="33"/>
    </row>
    <row r="18">
      <c r="A18" s="28">
        <v>46276.0</v>
      </c>
      <c r="B18" s="10" t="str">
        <f t="shared" si="2"/>
        <v>金</v>
      </c>
      <c r="C18" s="49">
        <v>400000.0</v>
      </c>
      <c r="D18" s="11">
        <f t="shared" si="3"/>
        <v>5000000</v>
      </c>
      <c r="E18" s="49">
        <v>24310.0</v>
      </c>
      <c r="F18" s="49">
        <v>21610.0</v>
      </c>
      <c r="G18" s="29"/>
      <c r="H18" s="29"/>
      <c r="I18" s="11">
        <f t="shared" si="4"/>
        <v>45920</v>
      </c>
      <c r="J18" s="11">
        <f t="shared" si="5"/>
        <v>1089326</v>
      </c>
      <c r="K18" s="12">
        <f t="shared" ref="K18:L18" si="25">IF(I18="","",IFERROR(I18/C18,""))</f>
        <v>0.1148</v>
      </c>
      <c r="L18" s="12">
        <f t="shared" si="25"/>
        <v>0.2178652</v>
      </c>
      <c r="M18" s="11">
        <f t="shared" si="7"/>
        <v>-3910674</v>
      </c>
      <c r="N18" s="30" t="str">
        <f t="shared" si="8"/>
        <v>▲ 遅れ</v>
      </c>
      <c r="O18" s="50">
        <v>2.0</v>
      </c>
      <c r="P18" s="50">
        <v>2.0</v>
      </c>
      <c r="Q18" s="50">
        <v>13.0</v>
      </c>
      <c r="R18" s="50">
        <v>4.0</v>
      </c>
      <c r="S18" s="50">
        <v>5.0</v>
      </c>
      <c r="T18" s="12">
        <f t="shared" si="9"/>
        <v>0.1538461538</v>
      </c>
      <c r="U18" s="11">
        <f t="shared" si="10"/>
        <v>22960</v>
      </c>
      <c r="V18" s="32">
        <f t="shared" si="11"/>
        <v>1</v>
      </c>
      <c r="W18" s="12">
        <f t="shared" si="12"/>
        <v>0.3076923077</v>
      </c>
      <c r="X18" s="31"/>
      <c r="Y18" s="50">
        <v>8734.0</v>
      </c>
      <c r="Z18" s="29"/>
      <c r="AA18" s="33"/>
      <c r="AC18" s="23" t="s">
        <v>73</v>
      </c>
      <c r="AJ18" s="22" t="s">
        <v>116</v>
      </c>
      <c r="AK18" s="41">
        <f>$A$8+MOD(2-WEEKDAY($A$8,2)+7,7)</f>
        <v>46266</v>
      </c>
    </row>
    <row r="19">
      <c r="A19" s="38">
        <v>46277.0</v>
      </c>
      <c r="B19" s="14" t="str">
        <f t="shared" si="2"/>
        <v>土</v>
      </c>
      <c r="C19" s="49">
        <v>700000.0</v>
      </c>
      <c r="D19" s="15">
        <f t="shared" si="3"/>
        <v>5700000</v>
      </c>
      <c r="E19" s="49">
        <v>16610.0</v>
      </c>
      <c r="F19" s="49">
        <v>135050.0</v>
      </c>
      <c r="G19" s="29"/>
      <c r="H19" s="29"/>
      <c r="I19" s="15">
        <f t="shared" si="4"/>
        <v>151660</v>
      </c>
      <c r="J19" s="15">
        <f t="shared" si="5"/>
        <v>1240986</v>
      </c>
      <c r="K19" s="16">
        <f t="shared" ref="K19:L19" si="26">IF(I19="","",IFERROR(I19/C19,""))</f>
        <v>0.2166571429</v>
      </c>
      <c r="L19" s="16">
        <f t="shared" si="26"/>
        <v>0.2177168421</v>
      </c>
      <c r="M19" s="15">
        <f t="shared" si="7"/>
        <v>-4459014</v>
      </c>
      <c r="N19" s="39" t="str">
        <f t="shared" si="8"/>
        <v>▲ 遅れ</v>
      </c>
      <c r="O19" s="50">
        <v>7.0</v>
      </c>
      <c r="P19" s="50">
        <v>7.0</v>
      </c>
      <c r="Q19" s="50">
        <v>28.0</v>
      </c>
      <c r="R19" s="50">
        <v>8.0</v>
      </c>
      <c r="S19" s="50">
        <v>12.0</v>
      </c>
      <c r="T19" s="16">
        <f t="shared" si="9"/>
        <v>0.25</v>
      </c>
      <c r="U19" s="15">
        <f t="shared" si="10"/>
        <v>21665.71429</v>
      </c>
      <c r="V19" s="40">
        <f t="shared" si="11"/>
        <v>1</v>
      </c>
      <c r="W19" s="16">
        <f t="shared" si="12"/>
        <v>0.2857142857</v>
      </c>
      <c r="X19" s="31"/>
      <c r="Y19" s="50">
        <v>8735.0</v>
      </c>
      <c r="Z19" s="29"/>
      <c r="AA19" s="33"/>
      <c r="AC19" s="27" t="s">
        <v>75</v>
      </c>
      <c r="AD19" s="27" t="s">
        <v>76</v>
      </c>
      <c r="AE19" s="27" t="s">
        <v>77</v>
      </c>
      <c r="AF19" s="27" t="s">
        <v>16</v>
      </c>
      <c r="AG19" s="27" t="s">
        <v>17</v>
      </c>
      <c r="AH19" s="27" t="s">
        <v>43</v>
      </c>
      <c r="AI19" s="27" t="s">
        <v>44</v>
      </c>
    </row>
    <row r="20">
      <c r="A20" s="28">
        <v>46278.0</v>
      </c>
      <c r="B20" s="10" t="str">
        <f t="shared" si="2"/>
        <v>日</v>
      </c>
      <c r="C20" s="49">
        <v>700000.0</v>
      </c>
      <c r="D20" s="11">
        <f t="shared" si="3"/>
        <v>6400000</v>
      </c>
      <c r="E20" s="49">
        <v>83140.0</v>
      </c>
      <c r="F20" s="49">
        <v>134304.0</v>
      </c>
      <c r="G20" s="29"/>
      <c r="H20" s="29"/>
      <c r="I20" s="11">
        <f t="shared" si="4"/>
        <v>217444</v>
      </c>
      <c r="J20" s="11">
        <f t="shared" si="5"/>
        <v>1458430</v>
      </c>
      <c r="K20" s="12">
        <f t="shared" ref="K20:L20" si="27">IF(I20="","",IFERROR(I20/C20,""))</f>
        <v>0.3106342857</v>
      </c>
      <c r="L20" s="12">
        <f t="shared" si="27"/>
        <v>0.2278796875</v>
      </c>
      <c r="M20" s="11">
        <f t="shared" si="7"/>
        <v>-4941570</v>
      </c>
      <c r="N20" s="30" t="str">
        <f t="shared" si="8"/>
        <v>▲ 遅れ</v>
      </c>
      <c r="O20" s="50">
        <v>10.0</v>
      </c>
      <c r="P20" s="50">
        <v>10.0</v>
      </c>
      <c r="Q20" s="50">
        <v>39.0</v>
      </c>
      <c r="R20" s="50">
        <v>11.0</v>
      </c>
      <c r="S20" s="50">
        <v>13.0</v>
      </c>
      <c r="T20" s="12">
        <f t="shared" si="9"/>
        <v>0.2564102564</v>
      </c>
      <c r="U20" s="11">
        <f t="shared" si="10"/>
        <v>21744.4</v>
      </c>
      <c r="V20" s="32">
        <f t="shared" si="11"/>
        <v>1</v>
      </c>
      <c r="W20" s="12">
        <f t="shared" si="12"/>
        <v>0.2820512821</v>
      </c>
      <c r="X20" s="31"/>
      <c r="Y20" s="50">
        <v>8730.0</v>
      </c>
      <c r="Z20" s="29"/>
      <c r="AA20" s="33"/>
      <c r="AC20" s="36">
        <v>1.0</v>
      </c>
      <c r="AD20" s="42" t="str">
        <f>IF($AK$18+7*(1-1)&gt;$A$37,"",TEXT($AK$18+7*(1-1),"m/d")&amp;"-"&amp;TEXT($AK$18+7*(1-1)+6,"m/d"))</f>
        <v>9/1-9/7</v>
      </c>
      <c r="AE20" s="35">
        <f>IF($AD20="","",(SUMIFS($I$8:$I$37,$A$8:$A$37,"&gt;="&amp;$AK$18+7*(1-1),$A$8:$A$37,"&lt;="&amp;$AK$18+7*(1-1)+6)+SUMIFS('2026年10月'!$I$8:$I$38,'2026年10月'!$A$8:$A$38,"&gt;="&amp;$AK$18+7*(1-1),'2026年10月'!$A$8:$A$38,"&lt;="&amp;$AK$18+7*(1-1)+6)))</f>
        <v>805616</v>
      </c>
      <c r="AF20" s="37">
        <f>IF($AD20="","",IFERROR((SUMIFS($O$8:$O$37,$A$8:$A$37,"&gt;="&amp;$AK$18+7*(1-1),$A$8:$A$37,"&lt;="&amp;$AK$18+7*(1-1)+6)+SUMIFS('2026年10月'!$O$8:$O$38,'2026年10月'!$A$8:$A$38,"&gt;="&amp;$AK$18+7*(1-1),'2026年10月'!$A$8:$A$38,"&lt;="&amp;$AK$18+7*(1-1)+6))/(SUMIFS($Q$8:$Q$37,$A$8:$A$37,"&gt;="&amp;$AK$18+7*(1-1),$A$8:$A$37,"&lt;="&amp;$AK$18+7*(1-1)+6)+SUMIFS('2026年10月'!$Q$8:$Q$38,'2026年10月'!$A$8:$A$38,"&gt;="&amp;$AK$18+7*(1-1),'2026年10月'!$A$8:$A$38,"&lt;="&amp;$AK$18+7*(1-1)+6)),""))</f>
        <v>0.2516556291</v>
      </c>
      <c r="AG20" s="35">
        <f>IF($AD20="","",IFERROR((SUMIFS($I$8:$I$37,$A$8:$A$37,"&gt;="&amp;$AK$18+7*(1-1),$A$8:$A$37,"&lt;="&amp;$AK$18+7*(1-1)+6)+SUMIFS('2026年10月'!$I$8:$I$38,'2026年10月'!$A$8:$A$38,"&gt;="&amp;$AK$18+7*(1-1),'2026年10月'!$A$8:$A$38,"&lt;="&amp;$AK$18+7*(1-1)+6))/(SUMIFS($O$8:$O$37,$A$8:$A$37,"&gt;="&amp;$AK$18+7*(1-1),$A$8:$A$37,"&lt;="&amp;$AK$18+7*(1-1)+6)+SUMIFS('2026年10月'!$O$8:$O$38,'2026年10月'!$A$8:$A$38,"&gt;="&amp;$AK$18+7*(1-1),'2026年10月'!$A$8:$A$38,"&lt;="&amp;$AK$18+7*(1-1)+6)),""))</f>
        <v>21200.42105</v>
      </c>
      <c r="AH20" s="43">
        <f>IF($AD20="","",IFERROR((SUMIFS($P$8:$P$37,$A$8:$A$37,"&gt;="&amp;$AK$18+7*(1-1),$A$8:$A$37,"&lt;="&amp;$AK$18+7*(1-1)+6)+SUMIFS('2026年10月'!$P$8:$P$38,'2026年10月'!$A$8:$A$38,"&gt;="&amp;$AK$18+7*(1-1),'2026年10月'!$A$8:$A$38,"&lt;="&amp;$AK$18+7*(1-1)+6))/(SUMIFS($O$8:$O$37,$A$8:$A$37,"&gt;="&amp;$AK$18+7*(1-1),$A$8:$A$37,"&lt;="&amp;$AK$18+7*(1-1)+6)+SUMIFS('2026年10月'!$O$8:$O$38,'2026年10月'!$A$8:$A$38,"&gt;="&amp;$AK$18+7*(1-1),'2026年10月'!$A$8:$A$38,"&lt;="&amp;$AK$18+7*(1-1)+6)),""))</f>
        <v>1</v>
      </c>
      <c r="AI20" s="37">
        <f>IF($AD20="","",IFERROR((SUMIFS($R$8:$R$37,$A$8:$A$37,"&gt;="&amp;$AK$18+7*(1-1),$A$8:$A$37,"&lt;="&amp;$AK$18+7*(1-1)+6)+SUMIFS('2026年10月'!$R$8:$R$38,'2026年10月'!$A$8:$A$38,"&gt;="&amp;$AK$18+7*(1-1),'2026年10月'!$A$8:$A$38,"&lt;="&amp;$AK$18+7*(1-1)+6))/(SUMIFS($Q$8:$Q$37,$A$8:$A$37,"&gt;="&amp;$AK$18+7*(1-1),$A$8:$A$37,"&lt;="&amp;$AK$18+7*(1-1)+6)+SUMIFS('2026年10月'!$Q$8:$Q$38,'2026年10月'!$A$8:$A$38,"&gt;="&amp;$AK$18+7*(1-1),'2026年10月'!$A$8:$A$38,"&lt;="&amp;$AK$18+7*(1-1)+6)),""))</f>
        <v>0.3245033113</v>
      </c>
    </row>
    <row r="21" ht="15.75" customHeight="1">
      <c r="A21" s="38">
        <v>46279.0</v>
      </c>
      <c r="B21" s="14" t="str">
        <f t="shared" si="2"/>
        <v>月</v>
      </c>
      <c r="C21" s="49">
        <v>400000.0</v>
      </c>
      <c r="D21" s="15">
        <f t="shared" si="3"/>
        <v>6800000</v>
      </c>
      <c r="E21" s="49">
        <v>0.0</v>
      </c>
      <c r="F21" s="49">
        <v>9350.0</v>
      </c>
      <c r="G21" s="29"/>
      <c r="H21" s="29"/>
      <c r="I21" s="15">
        <f t="shared" si="4"/>
        <v>9350</v>
      </c>
      <c r="J21" s="15">
        <f t="shared" si="5"/>
        <v>1467780</v>
      </c>
      <c r="K21" s="16">
        <f t="shared" ref="K21:L21" si="28">IF(I21="","",IFERROR(I21/C21,""))</f>
        <v>0.023375</v>
      </c>
      <c r="L21" s="16">
        <f t="shared" si="28"/>
        <v>0.21585</v>
      </c>
      <c r="M21" s="15">
        <f t="shared" si="7"/>
        <v>-5332220</v>
      </c>
      <c r="N21" s="39" t="str">
        <f t="shared" si="8"/>
        <v>▲ 遅れ</v>
      </c>
      <c r="O21" s="50">
        <v>1.0</v>
      </c>
      <c r="P21" s="50">
        <v>1.0</v>
      </c>
      <c r="Q21" s="50">
        <v>15.0</v>
      </c>
      <c r="R21" s="50">
        <v>3.0</v>
      </c>
      <c r="S21" s="50">
        <v>4.0</v>
      </c>
      <c r="T21" s="16">
        <f t="shared" si="9"/>
        <v>0.06666666667</v>
      </c>
      <c r="U21" s="15">
        <f t="shared" si="10"/>
        <v>9350</v>
      </c>
      <c r="V21" s="40">
        <f t="shared" si="11"/>
        <v>1</v>
      </c>
      <c r="W21" s="16">
        <f t="shared" si="12"/>
        <v>0.2</v>
      </c>
      <c r="X21" s="31"/>
      <c r="Y21" s="50">
        <v>8730.0</v>
      </c>
      <c r="Z21" s="29"/>
      <c r="AA21" s="33"/>
      <c r="AC21" s="36">
        <v>2.0</v>
      </c>
      <c r="AD21" s="42" t="str">
        <f>IF($AK$18+7*(2-1)&gt;$A$37,"",TEXT($AK$18+7*(2-1),"m/d")&amp;"-"&amp;TEXT($AK$18+7*(2-1)+6,"m/d"))</f>
        <v>9/8-9/14</v>
      </c>
      <c r="AE21" s="35">
        <f>IF($AD21="","",(SUMIFS($I$8:$I$37,$A$8:$A$37,"&gt;="&amp;$AK$18+7*(2-1),$A$8:$A$37,"&lt;="&amp;$AK$18+7*(2-1)+6)+SUMIFS('2026年10月'!$I$8:$I$38,'2026年10月'!$A$8:$A$38,"&gt;="&amp;$AK$18+7*(2-1),'2026年10月'!$A$8:$A$38,"&lt;="&amp;$AK$18+7*(2-1)+6)))</f>
        <v>662164</v>
      </c>
      <c r="AF21" s="37">
        <f>IF($AD21="","",IFERROR((SUMIFS($O$8:$O$37,$A$8:$A$37,"&gt;="&amp;$AK$18+7*(2-1),$A$8:$A$37,"&lt;="&amp;$AK$18+7*(2-1)+6)+SUMIFS('2026年10月'!$O$8:$O$38,'2026年10月'!$A$8:$A$38,"&gt;="&amp;$AK$18+7*(2-1),'2026年10月'!$A$8:$A$38,"&lt;="&amp;$AK$18+7*(2-1)+6))/(SUMIFS($Q$8:$Q$37,$A$8:$A$37,"&gt;="&amp;$AK$18+7*(2-1),$A$8:$A$37,"&lt;="&amp;$AK$18+7*(2-1)+6)+SUMIFS('2026年10月'!$Q$8:$Q$38,'2026年10月'!$A$8:$A$38,"&gt;="&amp;$AK$18+7*(2-1),'2026年10月'!$A$8:$A$38,"&lt;="&amp;$AK$18+7*(2-1)+6)),""))</f>
        <v>0.2213740458</v>
      </c>
      <c r="AG21" s="35">
        <f>IF($AD21="","",IFERROR((SUMIFS($I$8:$I$37,$A$8:$A$37,"&gt;="&amp;$AK$18+7*(2-1),$A$8:$A$37,"&lt;="&amp;$AK$18+7*(2-1)+6)+SUMIFS('2026年10月'!$I$8:$I$38,'2026年10月'!$A$8:$A$38,"&gt;="&amp;$AK$18+7*(2-1),'2026年10月'!$A$8:$A$38,"&lt;="&amp;$AK$18+7*(2-1)+6))/(SUMIFS($O$8:$O$37,$A$8:$A$37,"&gt;="&amp;$AK$18+7*(2-1),$A$8:$A$37,"&lt;="&amp;$AK$18+7*(2-1)+6)+SUMIFS('2026年10月'!$O$8:$O$38,'2026年10月'!$A$8:$A$38,"&gt;="&amp;$AK$18+7*(2-1),'2026年10月'!$A$8:$A$38,"&lt;="&amp;$AK$18+7*(2-1)+6)),""))</f>
        <v>22833.24138</v>
      </c>
      <c r="AH21" s="43">
        <f>IF($AD21="","",IFERROR((SUMIFS($P$8:$P$37,$A$8:$A$37,"&gt;="&amp;$AK$18+7*(2-1),$A$8:$A$37,"&lt;="&amp;$AK$18+7*(2-1)+6)+SUMIFS('2026年10月'!$P$8:$P$38,'2026年10月'!$A$8:$A$38,"&gt;="&amp;$AK$18+7*(2-1),'2026年10月'!$A$8:$A$38,"&lt;="&amp;$AK$18+7*(2-1)+6))/(SUMIFS($O$8:$O$37,$A$8:$A$37,"&gt;="&amp;$AK$18+7*(2-1),$A$8:$A$37,"&lt;="&amp;$AK$18+7*(2-1)+6)+SUMIFS('2026年10月'!$O$8:$O$38,'2026年10月'!$A$8:$A$38,"&gt;="&amp;$AK$18+7*(2-1),'2026年10月'!$A$8:$A$38,"&lt;="&amp;$AK$18+7*(2-1)+6)),""))</f>
        <v>1.034482759</v>
      </c>
      <c r="AI21" s="37">
        <f>IF($AD21="","",IFERROR((SUMIFS($R$8:$R$37,$A$8:$A$37,"&gt;="&amp;$AK$18+7*(2-1),$A$8:$A$37,"&lt;="&amp;$AK$18+7*(2-1)+6)+SUMIFS('2026年10月'!$R$8:$R$38,'2026年10月'!$A$8:$A$38,"&gt;="&amp;$AK$18+7*(2-1),'2026年10月'!$A$8:$A$38,"&lt;="&amp;$AK$18+7*(2-1)+6))/(SUMIFS($Q$8:$Q$37,$A$8:$A$37,"&gt;="&amp;$AK$18+7*(2-1),$A$8:$A$37,"&lt;="&amp;$AK$18+7*(2-1)+6)+SUMIFS('2026年10月'!$Q$8:$Q$38,'2026年10月'!$A$8:$A$38,"&gt;="&amp;$AK$18+7*(2-1),'2026年10月'!$A$8:$A$38,"&lt;="&amp;$AK$18+7*(2-1)+6)),""))</f>
        <v>0.2824427481</v>
      </c>
    </row>
    <row r="22" ht="15.75" customHeight="1">
      <c r="A22" s="28">
        <v>46280.0</v>
      </c>
      <c r="B22" s="10" t="str">
        <f t="shared" si="2"/>
        <v>火</v>
      </c>
      <c r="C22" s="49">
        <v>400000.0</v>
      </c>
      <c r="D22" s="11">
        <f t="shared" si="3"/>
        <v>7200000</v>
      </c>
      <c r="E22" s="49">
        <v>22110.0</v>
      </c>
      <c r="F22" s="49">
        <v>46420.0</v>
      </c>
      <c r="G22" s="29"/>
      <c r="H22" s="29"/>
      <c r="I22" s="11">
        <f t="shared" si="4"/>
        <v>68530</v>
      </c>
      <c r="J22" s="11">
        <f t="shared" si="5"/>
        <v>1536310</v>
      </c>
      <c r="K22" s="12">
        <f t="shared" ref="K22:L22" si="29">IF(I22="","",IFERROR(I22/C22,""))</f>
        <v>0.171325</v>
      </c>
      <c r="L22" s="12">
        <f t="shared" si="29"/>
        <v>0.2133763889</v>
      </c>
      <c r="M22" s="11">
        <f t="shared" si="7"/>
        <v>-5663690</v>
      </c>
      <c r="N22" s="30" t="str">
        <f t="shared" si="8"/>
        <v>▲ 遅れ</v>
      </c>
      <c r="O22" s="50">
        <v>3.0</v>
      </c>
      <c r="P22" s="50">
        <v>3.0</v>
      </c>
      <c r="Q22" s="50">
        <v>16.0</v>
      </c>
      <c r="R22" s="50">
        <v>6.0</v>
      </c>
      <c r="S22" s="50">
        <v>9.0</v>
      </c>
      <c r="T22" s="12">
        <f t="shared" si="9"/>
        <v>0.1875</v>
      </c>
      <c r="U22" s="11">
        <f t="shared" si="10"/>
        <v>22843.33333</v>
      </c>
      <c r="V22" s="32">
        <f t="shared" si="11"/>
        <v>1</v>
      </c>
      <c r="W22" s="12">
        <f t="shared" si="12"/>
        <v>0.375</v>
      </c>
      <c r="X22" s="31"/>
      <c r="Y22" s="50">
        <v>8724.0</v>
      </c>
      <c r="Z22" s="49">
        <v>875.0</v>
      </c>
      <c r="AA22" s="52" t="s">
        <v>117</v>
      </c>
      <c r="AC22" s="36">
        <v>3.0</v>
      </c>
      <c r="AD22" s="42" t="str">
        <f>IF($AK$18+7*(3-1)&gt;$A$37,"",TEXT($AK$18+7*(3-1),"m/d")&amp;"-"&amp;TEXT($AK$18+7*(3-1)+6,"m/d"))</f>
        <v>9/15-9/21</v>
      </c>
      <c r="AE22" s="35">
        <f>IF($AD22="","",(SUMIFS($I$8:$I$37,$A$8:$A$37,"&gt;="&amp;$AK$18+7*(3-1),$A$8:$A$37,"&lt;="&amp;$AK$18+7*(3-1)+6)+SUMIFS('2026年10月'!$I$8:$I$38,'2026年10月'!$A$8:$A$38,"&gt;="&amp;$AK$18+7*(3-1),'2026年10月'!$A$8:$A$38,"&lt;="&amp;$AK$18+7*(3-1)+6)))</f>
        <v>1566563</v>
      </c>
      <c r="AF22" s="37">
        <f>IF($AD22="","",IFERROR((SUMIFS($O$8:$O$37,$A$8:$A$37,"&gt;="&amp;$AK$18+7*(3-1),$A$8:$A$37,"&lt;="&amp;$AK$18+7*(3-1)+6)+SUMIFS('2026年10月'!$O$8:$O$38,'2026年10月'!$A$8:$A$38,"&gt;="&amp;$AK$18+7*(3-1),'2026年10月'!$A$8:$A$38,"&lt;="&amp;$AK$18+7*(3-1)+6))/(SUMIFS($Q$8:$Q$37,$A$8:$A$37,"&gt;="&amp;$AK$18+7*(3-1),$A$8:$A$37,"&lt;="&amp;$AK$18+7*(3-1)+6)+SUMIFS('2026年10月'!$Q$8:$Q$38,'2026年10月'!$A$8:$A$38,"&gt;="&amp;$AK$18+7*(3-1),'2026年10月'!$A$8:$A$38,"&lt;="&amp;$AK$18+7*(3-1)+6)),""))</f>
        <v>0.2995391705</v>
      </c>
      <c r="AG22" s="35">
        <f>IF($AD22="","",IFERROR((SUMIFS($I$8:$I$37,$A$8:$A$37,"&gt;="&amp;$AK$18+7*(3-1),$A$8:$A$37,"&lt;="&amp;$AK$18+7*(3-1)+6)+SUMIFS('2026年10月'!$I$8:$I$38,'2026年10月'!$A$8:$A$38,"&gt;="&amp;$AK$18+7*(3-1),'2026年10月'!$A$8:$A$38,"&lt;="&amp;$AK$18+7*(3-1)+6))/(SUMIFS($O$8:$O$37,$A$8:$A$37,"&gt;="&amp;$AK$18+7*(3-1),$A$8:$A$37,"&lt;="&amp;$AK$18+7*(3-1)+6)+SUMIFS('2026年10月'!$O$8:$O$38,'2026年10月'!$A$8:$A$38,"&gt;="&amp;$AK$18+7*(3-1),'2026年10月'!$A$8:$A$38,"&lt;="&amp;$AK$18+7*(3-1)+6)),""))</f>
        <v>24100.96923</v>
      </c>
      <c r="AH22" s="43">
        <f>IF($AD22="","",IFERROR((SUMIFS($P$8:$P$37,$A$8:$A$37,"&gt;="&amp;$AK$18+7*(3-1),$A$8:$A$37,"&lt;="&amp;$AK$18+7*(3-1)+6)+SUMIFS('2026年10月'!$P$8:$P$38,'2026年10月'!$A$8:$A$38,"&gt;="&amp;$AK$18+7*(3-1),'2026年10月'!$A$8:$A$38,"&lt;="&amp;$AK$18+7*(3-1)+6))/(SUMIFS($O$8:$O$37,$A$8:$A$37,"&gt;="&amp;$AK$18+7*(3-1),$A$8:$A$37,"&lt;="&amp;$AK$18+7*(3-1)+6)+SUMIFS('2026年10月'!$O$8:$O$38,'2026年10月'!$A$8:$A$38,"&gt;="&amp;$AK$18+7*(3-1),'2026年10月'!$A$8:$A$38,"&lt;="&amp;$AK$18+7*(3-1)+6)),""))</f>
        <v>1.076923077</v>
      </c>
      <c r="AI22" s="37">
        <f>IF($AD22="","",IFERROR((SUMIFS($R$8:$R$37,$A$8:$A$37,"&gt;="&amp;$AK$18+7*(3-1),$A$8:$A$37,"&lt;="&amp;$AK$18+7*(3-1)+6)+SUMIFS('2026年10月'!$R$8:$R$38,'2026年10月'!$A$8:$A$38,"&gt;="&amp;$AK$18+7*(3-1),'2026年10月'!$A$8:$A$38,"&lt;="&amp;$AK$18+7*(3-1)+6))/(SUMIFS($Q$8:$Q$37,$A$8:$A$37,"&gt;="&amp;$AK$18+7*(3-1),$A$8:$A$37,"&lt;="&amp;$AK$18+7*(3-1)+6)+SUMIFS('2026年10月'!$Q$8:$Q$38,'2026年10月'!$A$8:$A$38,"&gt;="&amp;$AK$18+7*(3-1),'2026年10月'!$A$8:$A$38,"&lt;="&amp;$AK$18+7*(3-1)+6)),""))</f>
        <v>0.3732718894</v>
      </c>
    </row>
    <row r="23" ht="15.75" customHeight="1">
      <c r="A23" s="38">
        <v>46281.0</v>
      </c>
      <c r="B23" s="14" t="str">
        <f t="shared" si="2"/>
        <v>水</v>
      </c>
      <c r="C23" s="49">
        <v>400000.0</v>
      </c>
      <c r="D23" s="15">
        <f t="shared" si="3"/>
        <v>7600000</v>
      </c>
      <c r="E23" s="49">
        <v>0.0</v>
      </c>
      <c r="F23" s="49">
        <v>114462.0</v>
      </c>
      <c r="G23" s="29"/>
      <c r="H23" s="29"/>
      <c r="I23" s="15">
        <f t="shared" si="4"/>
        <v>114462</v>
      </c>
      <c r="J23" s="15">
        <f t="shared" si="5"/>
        <v>1650772</v>
      </c>
      <c r="K23" s="16">
        <f t="shared" ref="K23:L23" si="30">IF(I23="","",IFERROR(I23/C23,""))</f>
        <v>0.286155</v>
      </c>
      <c r="L23" s="16">
        <f t="shared" si="30"/>
        <v>0.2172068421</v>
      </c>
      <c r="M23" s="15">
        <f t="shared" si="7"/>
        <v>-5949228</v>
      </c>
      <c r="N23" s="39" t="str">
        <f t="shared" si="8"/>
        <v>▲ 遅れ</v>
      </c>
      <c r="O23" s="50">
        <v>6.0</v>
      </c>
      <c r="P23" s="50">
        <v>6.0</v>
      </c>
      <c r="Q23" s="50">
        <v>20.0</v>
      </c>
      <c r="R23" s="50">
        <v>6.0</v>
      </c>
      <c r="S23" s="50">
        <v>9.0</v>
      </c>
      <c r="T23" s="16">
        <f t="shared" si="9"/>
        <v>0.3</v>
      </c>
      <c r="U23" s="15">
        <f t="shared" si="10"/>
        <v>19077</v>
      </c>
      <c r="V23" s="40">
        <f t="shared" si="11"/>
        <v>1</v>
      </c>
      <c r="W23" s="16">
        <f t="shared" si="12"/>
        <v>0.3</v>
      </c>
      <c r="X23" s="31"/>
      <c r="Y23" s="50">
        <v>8722.0</v>
      </c>
      <c r="Z23" s="49">
        <v>440.0</v>
      </c>
      <c r="AA23" s="52" t="s">
        <v>118</v>
      </c>
      <c r="AC23" s="36">
        <v>4.0</v>
      </c>
      <c r="AD23" s="42" t="str">
        <f>IF($AK$18+7*(4-1)&gt;$A$37,"",TEXT($AK$18+7*(4-1),"m/d")&amp;"-"&amp;TEXT($AK$18+7*(4-1)+6,"m/d"))</f>
        <v>9/22-9/28</v>
      </c>
      <c r="AE23" s="35">
        <f>IF($AD23="","",(SUMIFS($I$8:$I$37,$A$8:$A$37,"&gt;="&amp;$AK$18+7*(4-1),$A$8:$A$37,"&lt;="&amp;$AK$18+7*(4-1)+6)+SUMIFS('2026年10月'!$I$8:$I$38,'2026年10月'!$A$8:$A$38,"&gt;="&amp;$AK$18+7*(4-1),'2026年10月'!$A$8:$A$38,"&lt;="&amp;$AK$18+7*(4-1)+6)))</f>
        <v>1371422</v>
      </c>
      <c r="AF23" s="37">
        <f>IF($AD23="","",IFERROR((SUMIFS($O$8:$O$37,$A$8:$A$37,"&gt;="&amp;$AK$18+7*(4-1),$A$8:$A$37,"&lt;="&amp;$AK$18+7*(4-1)+6)+SUMIFS('2026年10月'!$O$8:$O$38,'2026年10月'!$A$8:$A$38,"&gt;="&amp;$AK$18+7*(4-1),'2026年10月'!$A$8:$A$38,"&lt;="&amp;$AK$18+7*(4-1)+6))/(SUMIFS($Q$8:$Q$37,$A$8:$A$37,"&gt;="&amp;$AK$18+7*(4-1),$A$8:$A$37,"&lt;="&amp;$AK$18+7*(4-1)+6)+SUMIFS('2026年10月'!$Q$8:$Q$38,'2026年10月'!$A$8:$A$38,"&gt;="&amp;$AK$18+7*(4-1),'2026年10月'!$A$8:$A$38,"&lt;="&amp;$AK$18+7*(4-1)+6)),""))</f>
        <v>0.3172043011</v>
      </c>
      <c r="AG23" s="35">
        <f>IF($AD23="","",IFERROR((SUMIFS($I$8:$I$37,$A$8:$A$37,"&gt;="&amp;$AK$18+7*(4-1),$A$8:$A$37,"&lt;="&amp;$AK$18+7*(4-1)+6)+SUMIFS('2026年10月'!$I$8:$I$38,'2026年10月'!$A$8:$A$38,"&gt;="&amp;$AK$18+7*(4-1),'2026年10月'!$A$8:$A$38,"&lt;="&amp;$AK$18+7*(4-1)+6))/(SUMIFS($O$8:$O$37,$A$8:$A$37,"&gt;="&amp;$AK$18+7*(4-1),$A$8:$A$37,"&lt;="&amp;$AK$18+7*(4-1)+6)+SUMIFS('2026年10月'!$O$8:$O$38,'2026年10月'!$A$8:$A$38,"&gt;="&amp;$AK$18+7*(4-1),'2026年10月'!$A$8:$A$38,"&lt;="&amp;$AK$18+7*(4-1)+6)),""))</f>
        <v>23244.44068</v>
      </c>
      <c r="AH23" s="43">
        <f>IF($AD23="","",IFERROR((SUMIFS($P$8:$P$37,$A$8:$A$37,"&gt;="&amp;$AK$18+7*(4-1),$A$8:$A$37,"&lt;="&amp;$AK$18+7*(4-1)+6)+SUMIFS('2026年10月'!$P$8:$P$38,'2026年10月'!$A$8:$A$38,"&gt;="&amp;$AK$18+7*(4-1),'2026年10月'!$A$8:$A$38,"&lt;="&amp;$AK$18+7*(4-1)+6))/(SUMIFS($O$8:$O$37,$A$8:$A$37,"&gt;="&amp;$AK$18+7*(4-1),$A$8:$A$37,"&lt;="&amp;$AK$18+7*(4-1)+6)+SUMIFS('2026年10月'!$O$8:$O$38,'2026年10月'!$A$8:$A$38,"&gt;="&amp;$AK$18+7*(4-1),'2026年10月'!$A$8:$A$38,"&lt;="&amp;$AK$18+7*(4-1)+6)),""))</f>
        <v>1.084745763</v>
      </c>
      <c r="AI23" s="37">
        <f>IF($AD23="","",IFERROR((SUMIFS($R$8:$R$37,$A$8:$A$37,"&gt;="&amp;$AK$18+7*(4-1),$A$8:$A$37,"&lt;="&amp;$AK$18+7*(4-1)+6)+SUMIFS('2026年10月'!$R$8:$R$38,'2026年10月'!$A$8:$A$38,"&gt;="&amp;$AK$18+7*(4-1),'2026年10月'!$A$8:$A$38,"&lt;="&amp;$AK$18+7*(4-1)+6))/(SUMIFS($Q$8:$Q$37,$A$8:$A$37,"&gt;="&amp;$AK$18+7*(4-1),$A$8:$A$37,"&lt;="&amp;$AK$18+7*(4-1)+6)+SUMIFS('2026年10月'!$Q$8:$Q$38,'2026年10月'!$A$8:$A$38,"&gt;="&amp;$AK$18+7*(4-1),'2026年10月'!$A$8:$A$38,"&lt;="&amp;$AK$18+7*(4-1)+6)),""))</f>
        <v>0.3924731183</v>
      </c>
    </row>
    <row r="24" ht="15.75" customHeight="1">
      <c r="A24" s="28">
        <v>46282.0</v>
      </c>
      <c r="B24" s="10" t="str">
        <f t="shared" si="2"/>
        <v>木</v>
      </c>
      <c r="C24" s="49">
        <v>400000.0</v>
      </c>
      <c r="D24" s="11">
        <f t="shared" si="3"/>
        <v>8000000</v>
      </c>
      <c r="E24" s="49">
        <v>110050.0</v>
      </c>
      <c r="F24" s="49">
        <v>52520.0</v>
      </c>
      <c r="G24" s="29"/>
      <c r="H24" s="29"/>
      <c r="I24" s="11">
        <f t="shared" si="4"/>
        <v>162570</v>
      </c>
      <c r="J24" s="11">
        <f t="shared" si="5"/>
        <v>1813342</v>
      </c>
      <c r="K24" s="12">
        <f t="shared" ref="K24:L24" si="31">IF(I24="","",IFERROR(I24/C24,""))</f>
        <v>0.406425</v>
      </c>
      <c r="L24" s="12">
        <f t="shared" si="31"/>
        <v>0.22666775</v>
      </c>
      <c r="M24" s="11">
        <f t="shared" si="7"/>
        <v>-6186658</v>
      </c>
      <c r="N24" s="30" t="str">
        <f t="shared" si="8"/>
        <v>▲ 遅れ</v>
      </c>
      <c r="O24" s="50">
        <v>7.0</v>
      </c>
      <c r="P24" s="50">
        <v>7.0</v>
      </c>
      <c r="Q24" s="50">
        <v>23.0</v>
      </c>
      <c r="R24" s="50">
        <v>6.0</v>
      </c>
      <c r="S24" s="50">
        <v>11.0</v>
      </c>
      <c r="T24" s="12">
        <f t="shared" si="9"/>
        <v>0.3043478261</v>
      </c>
      <c r="U24" s="11">
        <f t="shared" si="10"/>
        <v>23224.28571</v>
      </c>
      <c r="V24" s="32">
        <f t="shared" si="11"/>
        <v>1</v>
      </c>
      <c r="W24" s="12">
        <f t="shared" si="12"/>
        <v>0.2608695652</v>
      </c>
      <c r="X24" s="31"/>
      <c r="Y24" s="50">
        <v>8719.0</v>
      </c>
      <c r="Z24" s="29"/>
      <c r="AA24" s="33"/>
      <c r="AC24" s="36">
        <v>5.0</v>
      </c>
      <c r="AD24" s="42" t="str">
        <f>IF($AK$18+7*(5-1)&gt;$A$37,"",TEXT($AK$18+7*(5-1),"m/d")&amp;"-"&amp;TEXT($AK$18+7*(5-1)+6,"m/d"))</f>
        <v>9/29-10/5</v>
      </c>
      <c r="AE24" s="35">
        <f>IF($AD24="","",(SUMIFS($I$8:$I$37,$A$8:$A$37,"&gt;="&amp;$AK$18+7*(5-1),$A$8:$A$37,"&lt;="&amp;$AK$18+7*(5-1)+6)+SUMIFS('2026年10月'!$I$8:$I$38,'2026年10月'!$A$8:$A$38,"&gt;="&amp;$AK$18+7*(5-1),'2026年10月'!$A$8:$A$38,"&lt;="&amp;$AK$18+7*(5-1)+6)))</f>
        <v>604307</v>
      </c>
      <c r="AF24" s="37">
        <f>IF($AD24="","",IFERROR((SUMIFS($O$8:$O$37,$A$8:$A$37,"&gt;="&amp;$AK$18+7*(5-1),$A$8:$A$37,"&lt;="&amp;$AK$18+7*(5-1)+6)+SUMIFS('2026年10月'!$O$8:$O$38,'2026年10月'!$A$8:$A$38,"&gt;="&amp;$AK$18+7*(5-1),'2026年10月'!$A$8:$A$38,"&lt;="&amp;$AK$18+7*(5-1)+6))/(SUMIFS($Q$8:$Q$37,$A$8:$A$37,"&gt;="&amp;$AK$18+7*(5-1),$A$8:$A$37,"&lt;="&amp;$AK$18+7*(5-1)+6)+SUMIFS('2026年10月'!$Q$8:$Q$38,'2026年10月'!$A$8:$A$38,"&gt;="&amp;$AK$18+7*(5-1),'2026年10月'!$A$8:$A$38,"&lt;="&amp;$AK$18+7*(5-1)+6)),""))</f>
        <v>0.196969697</v>
      </c>
      <c r="AG24" s="35">
        <f>IF($AD24="","",IFERROR((SUMIFS($I$8:$I$37,$A$8:$A$37,"&gt;="&amp;$AK$18+7*(5-1),$A$8:$A$37,"&lt;="&amp;$AK$18+7*(5-1)+6)+SUMIFS('2026年10月'!$I$8:$I$38,'2026年10月'!$A$8:$A$38,"&gt;="&amp;$AK$18+7*(5-1),'2026年10月'!$A$8:$A$38,"&lt;="&amp;$AK$18+7*(5-1)+6))/(SUMIFS($O$8:$O$37,$A$8:$A$37,"&gt;="&amp;$AK$18+7*(5-1),$A$8:$A$37,"&lt;="&amp;$AK$18+7*(5-1)+6)+SUMIFS('2026年10月'!$O$8:$O$38,'2026年10月'!$A$8:$A$38,"&gt;="&amp;$AK$18+7*(5-1),'2026年10月'!$A$8:$A$38,"&lt;="&amp;$AK$18+7*(5-1)+6)),""))</f>
        <v>23242.57692</v>
      </c>
      <c r="AH24" s="43">
        <f>IF($AD24="","",IFERROR((SUMIFS($P$8:$P$37,$A$8:$A$37,"&gt;="&amp;$AK$18+7*(5-1),$A$8:$A$37,"&lt;="&amp;$AK$18+7*(5-1)+6)+SUMIFS('2026年10月'!$P$8:$P$38,'2026年10月'!$A$8:$A$38,"&gt;="&amp;$AK$18+7*(5-1),'2026年10月'!$A$8:$A$38,"&lt;="&amp;$AK$18+7*(5-1)+6))/(SUMIFS($O$8:$O$37,$A$8:$A$37,"&gt;="&amp;$AK$18+7*(5-1),$A$8:$A$37,"&lt;="&amp;$AK$18+7*(5-1)+6)+SUMIFS('2026年10月'!$O$8:$O$38,'2026年10月'!$A$8:$A$38,"&gt;="&amp;$AK$18+7*(5-1),'2026年10月'!$A$8:$A$38,"&lt;="&amp;$AK$18+7*(5-1)+6)),""))</f>
        <v>1.038461538</v>
      </c>
      <c r="AI24" s="37">
        <f>IF($AD24="","",IFERROR((SUMIFS($R$8:$R$37,$A$8:$A$37,"&gt;="&amp;$AK$18+7*(5-1),$A$8:$A$37,"&lt;="&amp;$AK$18+7*(5-1)+6)+SUMIFS('2026年10月'!$R$8:$R$38,'2026年10月'!$A$8:$A$38,"&gt;="&amp;$AK$18+7*(5-1),'2026年10月'!$A$8:$A$38,"&lt;="&amp;$AK$18+7*(5-1)+6))/(SUMIFS($Q$8:$Q$37,$A$8:$A$37,"&gt;="&amp;$AK$18+7*(5-1),$A$8:$A$37,"&lt;="&amp;$AK$18+7*(5-1)+6)+SUMIFS('2026年10月'!$Q$8:$Q$38,'2026年10月'!$A$8:$A$38,"&gt;="&amp;$AK$18+7*(5-1),'2026年10月'!$A$8:$A$38,"&lt;="&amp;$AK$18+7*(5-1)+6)),""))</f>
        <v>0.3333333333</v>
      </c>
    </row>
    <row r="25" ht="15.75" customHeight="1">
      <c r="A25" s="38">
        <v>46283.0</v>
      </c>
      <c r="B25" s="14" t="str">
        <f t="shared" si="2"/>
        <v>金</v>
      </c>
      <c r="C25" s="49">
        <v>400000.0</v>
      </c>
      <c r="D25" s="15">
        <f t="shared" si="3"/>
        <v>8400000</v>
      </c>
      <c r="E25" s="49">
        <v>58216.0</v>
      </c>
      <c r="F25" s="49">
        <v>76111.0</v>
      </c>
      <c r="G25" s="29"/>
      <c r="H25" s="29"/>
      <c r="I25" s="15">
        <f t="shared" si="4"/>
        <v>134327</v>
      </c>
      <c r="J25" s="15">
        <f t="shared" si="5"/>
        <v>1947669</v>
      </c>
      <c r="K25" s="16">
        <f t="shared" ref="K25:L25" si="32">IF(I25="","",IFERROR(I25/C25,""))</f>
        <v>0.3358175</v>
      </c>
      <c r="L25" s="16">
        <f t="shared" si="32"/>
        <v>0.2318653571</v>
      </c>
      <c r="M25" s="15">
        <f t="shared" si="7"/>
        <v>-6452331</v>
      </c>
      <c r="N25" s="39" t="str">
        <f t="shared" si="8"/>
        <v>▲ 遅れ</v>
      </c>
      <c r="O25" s="50">
        <v>6.0</v>
      </c>
      <c r="P25" s="50">
        <v>7.0</v>
      </c>
      <c r="Q25" s="50">
        <v>18.0</v>
      </c>
      <c r="R25" s="50">
        <v>5.0</v>
      </c>
      <c r="S25" s="50">
        <v>10.0</v>
      </c>
      <c r="T25" s="16">
        <f t="shared" si="9"/>
        <v>0.3333333333</v>
      </c>
      <c r="U25" s="15">
        <f t="shared" si="10"/>
        <v>22387.83333</v>
      </c>
      <c r="V25" s="40">
        <f t="shared" si="11"/>
        <v>1.166666667</v>
      </c>
      <c r="W25" s="16">
        <f t="shared" si="12"/>
        <v>0.2777777778</v>
      </c>
      <c r="X25" s="31"/>
      <c r="Y25" s="50">
        <v>8716.0</v>
      </c>
      <c r="Z25" s="29"/>
      <c r="AA25" s="33"/>
      <c r="AC25" s="36">
        <v>6.0</v>
      </c>
      <c r="AD25" s="42" t="str">
        <f>IF($AK$18+7*(6-1)&gt;$A$37,"",TEXT($AK$18+7*(6-1),"m/d")&amp;"-"&amp;TEXT($AK$18+7*(6-1)+6,"m/d"))</f>
        <v/>
      </c>
      <c r="AE25" s="35" t="str">
        <f>IF($AD25="","",(SUMIFS($I$8:$I$37,$A$8:$A$37,"&gt;="&amp;$AK$18+7*(6-1),$A$8:$A$37,"&lt;="&amp;$AK$18+7*(6-1)+6)+SUMIFS('2026年10月'!$I$8:$I$38,'2026年10月'!$A$8:$A$38,"&gt;="&amp;$AK$18+7*(6-1),'2026年10月'!$A$8:$A$38,"&lt;="&amp;$AK$18+7*(6-1)+6)))</f>
        <v/>
      </c>
      <c r="AF25" s="37" t="str">
        <f>IF($AD25="","",IFERROR((SUMIFS($O$8:$O$37,$A$8:$A$37,"&gt;="&amp;$AK$18+7*(6-1),$A$8:$A$37,"&lt;="&amp;$AK$18+7*(6-1)+6)+SUMIFS('2026年10月'!$O$8:$O$38,'2026年10月'!$A$8:$A$38,"&gt;="&amp;$AK$18+7*(6-1),'2026年10月'!$A$8:$A$38,"&lt;="&amp;$AK$18+7*(6-1)+6))/(SUMIFS($Q$8:$Q$37,$A$8:$A$37,"&gt;="&amp;$AK$18+7*(6-1),$A$8:$A$37,"&lt;="&amp;$AK$18+7*(6-1)+6)+SUMIFS('2026年10月'!$Q$8:$Q$38,'2026年10月'!$A$8:$A$38,"&gt;="&amp;$AK$18+7*(6-1),'2026年10月'!$A$8:$A$38,"&lt;="&amp;$AK$18+7*(6-1)+6)),""))</f>
        <v/>
      </c>
      <c r="AG25" s="35" t="str">
        <f>IF($AD25="","",IFERROR((SUMIFS($I$8:$I$37,$A$8:$A$37,"&gt;="&amp;$AK$18+7*(6-1),$A$8:$A$37,"&lt;="&amp;$AK$18+7*(6-1)+6)+SUMIFS('2026年10月'!$I$8:$I$38,'2026年10月'!$A$8:$A$38,"&gt;="&amp;$AK$18+7*(6-1),'2026年10月'!$A$8:$A$38,"&lt;="&amp;$AK$18+7*(6-1)+6))/(SUMIFS($O$8:$O$37,$A$8:$A$37,"&gt;="&amp;$AK$18+7*(6-1),$A$8:$A$37,"&lt;="&amp;$AK$18+7*(6-1)+6)+SUMIFS('2026年10月'!$O$8:$O$38,'2026年10月'!$A$8:$A$38,"&gt;="&amp;$AK$18+7*(6-1),'2026年10月'!$A$8:$A$38,"&lt;="&amp;$AK$18+7*(6-1)+6)),""))</f>
        <v/>
      </c>
      <c r="AH25" s="43" t="str">
        <f>IF($AD25="","",IFERROR((SUMIFS($P$8:$P$37,$A$8:$A$37,"&gt;="&amp;$AK$18+7*(6-1),$A$8:$A$37,"&lt;="&amp;$AK$18+7*(6-1)+6)+SUMIFS('2026年10月'!$P$8:$P$38,'2026年10月'!$A$8:$A$38,"&gt;="&amp;$AK$18+7*(6-1),'2026年10月'!$A$8:$A$38,"&lt;="&amp;$AK$18+7*(6-1)+6))/(SUMIFS($O$8:$O$37,$A$8:$A$37,"&gt;="&amp;$AK$18+7*(6-1),$A$8:$A$37,"&lt;="&amp;$AK$18+7*(6-1)+6)+SUMIFS('2026年10月'!$O$8:$O$38,'2026年10月'!$A$8:$A$38,"&gt;="&amp;$AK$18+7*(6-1),'2026年10月'!$A$8:$A$38,"&lt;="&amp;$AK$18+7*(6-1)+6)),""))</f>
        <v/>
      </c>
      <c r="AI25" s="37" t="str">
        <f>IF($AD25="","",IFERROR((SUMIFS($R$8:$R$37,$A$8:$A$37,"&gt;="&amp;$AK$18+7*(6-1),$A$8:$A$37,"&lt;="&amp;$AK$18+7*(6-1)+6)+SUMIFS('2026年10月'!$R$8:$R$38,'2026年10月'!$A$8:$A$38,"&gt;="&amp;$AK$18+7*(6-1),'2026年10月'!$A$8:$A$38,"&lt;="&amp;$AK$18+7*(6-1)+6))/(SUMIFS($Q$8:$Q$37,$A$8:$A$37,"&gt;="&amp;$AK$18+7*(6-1),$A$8:$A$37,"&lt;="&amp;$AK$18+7*(6-1)+6)+SUMIFS('2026年10月'!$Q$8:$Q$38,'2026年10月'!$A$8:$A$38,"&gt;="&amp;$AK$18+7*(6-1),'2026年10月'!$A$8:$A$38,"&lt;="&amp;$AK$18+7*(6-1)+6)),""))</f>
        <v/>
      </c>
    </row>
    <row r="26" ht="15.75" customHeight="1">
      <c r="A26" s="28">
        <v>46284.0</v>
      </c>
      <c r="B26" s="10" t="str">
        <f t="shared" si="2"/>
        <v>土</v>
      </c>
      <c r="C26" s="49">
        <v>800000.0</v>
      </c>
      <c r="D26" s="11">
        <f t="shared" si="3"/>
        <v>9200000</v>
      </c>
      <c r="E26" s="49">
        <v>92923.0</v>
      </c>
      <c r="F26" s="49">
        <v>191270.0</v>
      </c>
      <c r="G26" s="29"/>
      <c r="H26" s="29"/>
      <c r="I26" s="11">
        <f t="shared" si="4"/>
        <v>284193</v>
      </c>
      <c r="J26" s="11">
        <f t="shared" si="5"/>
        <v>2231862</v>
      </c>
      <c r="K26" s="12">
        <f t="shared" ref="K26:L26" si="33">IF(I26="","",IFERROR(I26/C26,""))</f>
        <v>0.35524125</v>
      </c>
      <c r="L26" s="12">
        <f t="shared" si="33"/>
        <v>0.2425936957</v>
      </c>
      <c r="M26" s="11">
        <f t="shared" si="7"/>
        <v>-6968138</v>
      </c>
      <c r="N26" s="30" t="str">
        <f t="shared" si="8"/>
        <v>▲ 遅れ</v>
      </c>
      <c r="O26" s="50">
        <v>12.0</v>
      </c>
      <c r="P26" s="50">
        <v>12.0</v>
      </c>
      <c r="Q26" s="50">
        <v>31.0</v>
      </c>
      <c r="R26" s="50">
        <v>11.0</v>
      </c>
      <c r="S26" s="50">
        <v>15.0</v>
      </c>
      <c r="T26" s="12">
        <f t="shared" si="9"/>
        <v>0.3870967742</v>
      </c>
      <c r="U26" s="11">
        <f t="shared" si="10"/>
        <v>23682.75</v>
      </c>
      <c r="V26" s="32">
        <f t="shared" si="11"/>
        <v>1</v>
      </c>
      <c r="W26" s="12">
        <f t="shared" si="12"/>
        <v>0.3548387097</v>
      </c>
      <c r="X26" s="31"/>
      <c r="Y26" s="50">
        <v>8712.0</v>
      </c>
      <c r="Z26" s="29"/>
      <c r="AA26" s="33"/>
      <c r="AC26" s="22" t="s">
        <v>119</v>
      </c>
    </row>
    <row r="27" ht="15.75" customHeight="1">
      <c r="A27" s="38">
        <v>46285.0</v>
      </c>
      <c r="B27" s="14" t="str">
        <f t="shared" si="2"/>
        <v>日</v>
      </c>
      <c r="C27" s="49">
        <v>800000.0</v>
      </c>
      <c r="D27" s="15">
        <f t="shared" si="3"/>
        <v>10000000</v>
      </c>
      <c r="E27" s="49">
        <v>190460.0</v>
      </c>
      <c r="F27" s="49">
        <v>262432.0</v>
      </c>
      <c r="G27" s="29"/>
      <c r="H27" s="29"/>
      <c r="I27" s="15">
        <f t="shared" si="4"/>
        <v>452892</v>
      </c>
      <c r="J27" s="15">
        <f t="shared" si="5"/>
        <v>2684754</v>
      </c>
      <c r="K27" s="16">
        <f t="shared" ref="K27:L27" si="34">IF(I27="","",IFERROR(I27/C27,""))</f>
        <v>0.566115</v>
      </c>
      <c r="L27" s="16">
        <f t="shared" si="34"/>
        <v>0.2684754</v>
      </c>
      <c r="M27" s="15">
        <f t="shared" si="7"/>
        <v>-7315246</v>
      </c>
      <c r="N27" s="39" t="str">
        <f t="shared" si="8"/>
        <v>▲ 遅れ</v>
      </c>
      <c r="O27" s="50">
        <v>18.0</v>
      </c>
      <c r="P27" s="50">
        <v>20.0</v>
      </c>
      <c r="Q27" s="50">
        <v>50.0</v>
      </c>
      <c r="R27" s="50">
        <v>22.0</v>
      </c>
      <c r="S27" s="50">
        <v>36.0</v>
      </c>
      <c r="T27" s="16">
        <f t="shared" si="9"/>
        <v>0.36</v>
      </c>
      <c r="U27" s="15">
        <f t="shared" si="10"/>
        <v>25160.66667</v>
      </c>
      <c r="V27" s="40">
        <f t="shared" si="11"/>
        <v>1.111111111</v>
      </c>
      <c r="W27" s="16">
        <f t="shared" si="12"/>
        <v>0.44</v>
      </c>
      <c r="X27" s="31"/>
      <c r="Y27" s="50">
        <v>8707.0</v>
      </c>
      <c r="Z27" s="29"/>
      <c r="AA27" s="33"/>
      <c r="AC27" s="22" t="s">
        <v>120</v>
      </c>
    </row>
    <row r="28" ht="15.75" customHeight="1">
      <c r="A28" s="28">
        <v>46286.0</v>
      </c>
      <c r="B28" s="10" t="str">
        <f t="shared" si="2"/>
        <v>月</v>
      </c>
      <c r="C28" s="49">
        <v>800000.0</v>
      </c>
      <c r="D28" s="11">
        <f t="shared" si="3"/>
        <v>10800000</v>
      </c>
      <c r="E28" s="49">
        <v>72399.0</v>
      </c>
      <c r="F28" s="49">
        <v>253190.0</v>
      </c>
      <c r="G28" s="49">
        <v>24000.0</v>
      </c>
      <c r="H28" s="29"/>
      <c r="I28" s="11">
        <f t="shared" si="4"/>
        <v>349589</v>
      </c>
      <c r="J28" s="11">
        <f t="shared" si="5"/>
        <v>3034343</v>
      </c>
      <c r="K28" s="12">
        <f t="shared" ref="K28:L28" si="35">IF(I28="","",IFERROR(I28/C28,""))</f>
        <v>0.43698625</v>
      </c>
      <c r="L28" s="12">
        <f t="shared" si="35"/>
        <v>0.2809576852</v>
      </c>
      <c r="M28" s="11">
        <f t="shared" si="7"/>
        <v>-7765657</v>
      </c>
      <c r="N28" s="30" t="str">
        <f t="shared" si="8"/>
        <v>▲ 遅れ</v>
      </c>
      <c r="O28" s="50">
        <v>13.0</v>
      </c>
      <c r="P28" s="50">
        <v>15.0</v>
      </c>
      <c r="Q28" s="50">
        <v>59.0</v>
      </c>
      <c r="R28" s="50">
        <v>25.0</v>
      </c>
      <c r="S28" s="50">
        <v>32.0</v>
      </c>
      <c r="T28" s="12">
        <f t="shared" si="9"/>
        <v>0.2203389831</v>
      </c>
      <c r="U28" s="11">
        <f t="shared" si="10"/>
        <v>26891.46154</v>
      </c>
      <c r="V28" s="32">
        <f t="shared" si="11"/>
        <v>1.153846154</v>
      </c>
      <c r="W28" s="12">
        <f t="shared" si="12"/>
        <v>0.4237288136</v>
      </c>
      <c r="X28" s="31"/>
      <c r="Y28" s="50">
        <v>8703.0</v>
      </c>
      <c r="Z28" s="29"/>
      <c r="AA28" s="33"/>
      <c r="AC28" s="22" t="s">
        <v>121</v>
      </c>
    </row>
    <row r="29" ht="15.75" customHeight="1">
      <c r="A29" s="38">
        <v>46287.0</v>
      </c>
      <c r="B29" s="14" t="str">
        <f t="shared" si="2"/>
        <v>火</v>
      </c>
      <c r="C29" s="49">
        <v>800000.0</v>
      </c>
      <c r="D29" s="15">
        <f t="shared" si="3"/>
        <v>11600000</v>
      </c>
      <c r="E29" s="49">
        <v>45310.0</v>
      </c>
      <c r="F29" s="49">
        <v>119780.0</v>
      </c>
      <c r="G29" s="29"/>
      <c r="H29" s="29"/>
      <c r="I29" s="15">
        <f t="shared" si="4"/>
        <v>165090</v>
      </c>
      <c r="J29" s="15">
        <f t="shared" si="5"/>
        <v>3199433</v>
      </c>
      <c r="K29" s="16">
        <f t="shared" ref="K29:L29" si="36">IF(I29="","",IFERROR(I29/C29,""))</f>
        <v>0.2063625</v>
      </c>
      <c r="L29" s="16">
        <f t="shared" si="36"/>
        <v>0.2758131897</v>
      </c>
      <c r="M29" s="15">
        <f t="shared" si="7"/>
        <v>-8400567</v>
      </c>
      <c r="N29" s="39" t="str">
        <f t="shared" si="8"/>
        <v>▲ 遅れ</v>
      </c>
      <c r="O29" s="50">
        <v>7.0</v>
      </c>
      <c r="P29" s="50">
        <v>7.0</v>
      </c>
      <c r="Q29" s="50">
        <v>38.0</v>
      </c>
      <c r="R29" s="50">
        <v>14.0</v>
      </c>
      <c r="S29" s="50">
        <v>23.0</v>
      </c>
      <c r="T29" s="16">
        <f t="shared" si="9"/>
        <v>0.1842105263</v>
      </c>
      <c r="U29" s="15">
        <f t="shared" si="10"/>
        <v>23584.28571</v>
      </c>
      <c r="V29" s="40">
        <f t="shared" si="11"/>
        <v>1</v>
      </c>
      <c r="W29" s="16">
        <f t="shared" si="12"/>
        <v>0.3684210526</v>
      </c>
      <c r="X29" s="31"/>
      <c r="Y29" s="50">
        <v>8702.0</v>
      </c>
      <c r="Z29" s="29"/>
      <c r="AA29" s="33"/>
    </row>
    <row r="30" ht="15.75" customHeight="1">
      <c r="A30" s="28">
        <v>46288.0</v>
      </c>
      <c r="B30" s="10" t="str">
        <f t="shared" si="2"/>
        <v>水</v>
      </c>
      <c r="C30" s="49">
        <v>800000.0</v>
      </c>
      <c r="D30" s="11">
        <f t="shared" si="3"/>
        <v>12400000</v>
      </c>
      <c r="E30" s="29"/>
      <c r="F30" s="49">
        <v>153192.0</v>
      </c>
      <c r="G30" s="49">
        <v>4000.0</v>
      </c>
      <c r="H30" s="29"/>
      <c r="I30" s="11">
        <f t="shared" si="4"/>
        <v>157192</v>
      </c>
      <c r="J30" s="11">
        <f t="shared" si="5"/>
        <v>3356625</v>
      </c>
      <c r="K30" s="12">
        <f t="shared" ref="K30:L30" si="37">IF(I30="","",IFERROR(I30/C30,""))</f>
        <v>0.19649</v>
      </c>
      <c r="L30" s="12">
        <f t="shared" si="37"/>
        <v>0.2706955645</v>
      </c>
      <c r="M30" s="11">
        <f t="shared" si="7"/>
        <v>-9043375</v>
      </c>
      <c r="N30" s="30" t="str">
        <f t="shared" si="8"/>
        <v>▲ 遅れ</v>
      </c>
      <c r="O30" s="50">
        <v>7.0</v>
      </c>
      <c r="P30" s="50">
        <v>7.0</v>
      </c>
      <c r="Q30" s="50">
        <v>22.0</v>
      </c>
      <c r="R30" s="50">
        <v>9.0</v>
      </c>
      <c r="S30" s="50">
        <v>13.0</v>
      </c>
      <c r="T30" s="12">
        <f t="shared" si="9"/>
        <v>0.3181818182</v>
      </c>
      <c r="U30" s="11">
        <f t="shared" si="10"/>
        <v>22456</v>
      </c>
      <c r="V30" s="32">
        <f t="shared" si="11"/>
        <v>1</v>
      </c>
      <c r="W30" s="12">
        <f t="shared" si="12"/>
        <v>0.4090909091</v>
      </c>
      <c r="X30" s="31"/>
      <c r="Y30" s="50">
        <v>8705.0</v>
      </c>
      <c r="Z30" s="29"/>
      <c r="AA30" s="33"/>
    </row>
    <row r="31" ht="15.75" customHeight="1">
      <c r="A31" s="38">
        <v>46289.0</v>
      </c>
      <c r="B31" s="14" t="str">
        <f t="shared" si="2"/>
        <v>木</v>
      </c>
      <c r="C31" s="49">
        <v>500000.0</v>
      </c>
      <c r="D31" s="15">
        <f t="shared" si="3"/>
        <v>12900000</v>
      </c>
      <c r="E31" s="49">
        <v>60720.0</v>
      </c>
      <c r="F31" s="49">
        <v>104100.0</v>
      </c>
      <c r="G31" s="29"/>
      <c r="H31" s="29"/>
      <c r="I31" s="15">
        <f t="shared" si="4"/>
        <v>164820</v>
      </c>
      <c r="J31" s="15">
        <f t="shared" si="5"/>
        <v>3521445</v>
      </c>
      <c r="K31" s="16">
        <f t="shared" ref="K31:L31" si="38">IF(I31="","",IFERROR(I31/C31,""))</f>
        <v>0.32964</v>
      </c>
      <c r="L31" s="16">
        <f t="shared" si="38"/>
        <v>0.2729802326</v>
      </c>
      <c r="M31" s="15">
        <f t="shared" si="7"/>
        <v>-9378555</v>
      </c>
      <c r="N31" s="39" t="str">
        <f t="shared" si="8"/>
        <v>▲ 遅れ</v>
      </c>
      <c r="O31" s="50">
        <v>7.0</v>
      </c>
      <c r="P31" s="50">
        <v>9.0</v>
      </c>
      <c r="Q31" s="50">
        <v>19.0</v>
      </c>
      <c r="R31" s="50">
        <v>6.0</v>
      </c>
      <c r="S31" s="50">
        <v>9.0</v>
      </c>
      <c r="T31" s="16">
        <f t="shared" si="9"/>
        <v>0.3684210526</v>
      </c>
      <c r="U31" s="15">
        <f t="shared" si="10"/>
        <v>23545.71429</v>
      </c>
      <c r="V31" s="40">
        <f t="shared" si="11"/>
        <v>1.285714286</v>
      </c>
      <c r="W31" s="16">
        <f t="shared" si="12"/>
        <v>0.3157894737</v>
      </c>
      <c r="X31" s="31"/>
      <c r="Y31" s="50">
        <v>8706.0</v>
      </c>
      <c r="Z31" s="29"/>
      <c r="AA31" s="33"/>
    </row>
    <row r="32" ht="15.75" customHeight="1">
      <c r="A32" s="28">
        <v>46290.0</v>
      </c>
      <c r="B32" s="10" t="str">
        <f t="shared" si="2"/>
        <v>金</v>
      </c>
      <c r="C32" s="49">
        <v>500000.0</v>
      </c>
      <c r="D32" s="11">
        <f t="shared" si="3"/>
        <v>13400000</v>
      </c>
      <c r="E32" s="49">
        <v>70950.0</v>
      </c>
      <c r="F32" s="49">
        <v>152930.0</v>
      </c>
      <c r="G32" s="29"/>
      <c r="H32" s="29"/>
      <c r="I32" s="11">
        <f t="shared" si="4"/>
        <v>223880</v>
      </c>
      <c r="J32" s="11">
        <f t="shared" si="5"/>
        <v>3745325</v>
      </c>
      <c r="K32" s="12">
        <f t="shared" ref="K32:L32" si="39">IF(I32="","",IFERROR(I32/C32,""))</f>
        <v>0.44776</v>
      </c>
      <c r="L32" s="12">
        <f t="shared" si="39"/>
        <v>0.2795018657</v>
      </c>
      <c r="M32" s="11">
        <f t="shared" si="7"/>
        <v>-9654675</v>
      </c>
      <c r="N32" s="30" t="str">
        <f t="shared" si="8"/>
        <v>▲ 遅れ</v>
      </c>
      <c r="O32" s="50">
        <v>10.0</v>
      </c>
      <c r="P32" s="50">
        <v>11.0</v>
      </c>
      <c r="Q32" s="50">
        <v>16.0</v>
      </c>
      <c r="R32" s="50">
        <v>11.0</v>
      </c>
      <c r="S32" s="50">
        <v>16.0</v>
      </c>
      <c r="T32" s="12">
        <f t="shared" si="9"/>
        <v>0.625</v>
      </c>
      <c r="U32" s="11">
        <f t="shared" si="10"/>
        <v>22388</v>
      </c>
      <c r="V32" s="32">
        <f t="shared" si="11"/>
        <v>1.1</v>
      </c>
      <c r="W32" s="12">
        <f t="shared" si="12"/>
        <v>0.6875</v>
      </c>
      <c r="X32" s="31"/>
      <c r="Y32" s="50">
        <v>8704.0</v>
      </c>
      <c r="Z32" s="29"/>
      <c r="AA32" s="33"/>
    </row>
    <row r="33" ht="15.75" customHeight="1">
      <c r="A33" s="38">
        <v>46291.0</v>
      </c>
      <c r="B33" s="14" t="str">
        <f t="shared" si="2"/>
        <v>土</v>
      </c>
      <c r="C33" s="49">
        <v>700000.0</v>
      </c>
      <c r="D33" s="15">
        <f t="shared" si="3"/>
        <v>14100000</v>
      </c>
      <c r="E33" s="49">
        <v>93830.0</v>
      </c>
      <c r="F33" s="49">
        <v>125840.0</v>
      </c>
      <c r="G33" s="29"/>
      <c r="H33" s="29"/>
      <c r="I33" s="15">
        <f t="shared" si="4"/>
        <v>219670</v>
      </c>
      <c r="J33" s="15">
        <f t="shared" si="5"/>
        <v>3964995</v>
      </c>
      <c r="K33" s="16">
        <f t="shared" ref="K33:L33" si="40">IF(I33="","",IFERROR(I33/C33,""))</f>
        <v>0.3138142857</v>
      </c>
      <c r="L33" s="16">
        <f t="shared" si="40"/>
        <v>0.2812053191</v>
      </c>
      <c r="M33" s="15">
        <f t="shared" si="7"/>
        <v>-10135005</v>
      </c>
      <c r="N33" s="39" t="str">
        <f t="shared" si="8"/>
        <v>▲ 遅れ</v>
      </c>
      <c r="O33" s="50">
        <v>9.0</v>
      </c>
      <c r="P33" s="50">
        <v>10.0</v>
      </c>
      <c r="Q33" s="50">
        <v>36.0</v>
      </c>
      <c r="R33" s="50">
        <v>11.0</v>
      </c>
      <c r="S33" s="50">
        <v>13.0</v>
      </c>
      <c r="T33" s="16">
        <f t="shared" si="9"/>
        <v>0.25</v>
      </c>
      <c r="U33" s="15">
        <f t="shared" si="10"/>
        <v>24407.77778</v>
      </c>
      <c r="V33" s="40">
        <f t="shared" si="11"/>
        <v>1.111111111</v>
      </c>
      <c r="W33" s="16">
        <f t="shared" si="12"/>
        <v>0.3055555556</v>
      </c>
      <c r="X33" s="31"/>
      <c r="Y33" s="50">
        <v>8702.0</v>
      </c>
      <c r="Z33" s="29"/>
      <c r="AA33" s="33"/>
    </row>
    <row r="34" ht="15.75" customHeight="1">
      <c r="A34" s="28">
        <v>46292.0</v>
      </c>
      <c r="B34" s="10" t="str">
        <f t="shared" si="2"/>
        <v>日</v>
      </c>
      <c r="C34" s="49">
        <v>700000.0</v>
      </c>
      <c r="D34" s="11">
        <f t="shared" si="3"/>
        <v>14800000</v>
      </c>
      <c r="E34" s="49">
        <v>65230.0</v>
      </c>
      <c r="F34" s="49">
        <v>207570.0</v>
      </c>
      <c r="G34" s="29"/>
      <c r="H34" s="29"/>
      <c r="I34" s="11">
        <f t="shared" si="4"/>
        <v>272800</v>
      </c>
      <c r="J34" s="11">
        <f t="shared" si="5"/>
        <v>4237795</v>
      </c>
      <c r="K34" s="12">
        <f t="shared" ref="K34:L34" si="41">IF(I34="","",IFERROR(I34/C34,""))</f>
        <v>0.3897142857</v>
      </c>
      <c r="L34" s="12">
        <f t="shared" si="41"/>
        <v>0.2863375</v>
      </c>
      <c r="M34" s="11">
        <f t="shared" si="7"/>
        <v>-10562205</v>
      </c>
      <c r="N34" s="30" t="str">
        <f t="shared" si="8"/>
        <v>▲ 遅れ</v>
      </c>
      <c r="O34" s="50">
        <v>11.0</v>
      </c>
      <c r="P34" s="50">
        <v>12.0</v>
      </c>
      <c r="Q34" s="50">
        <v>40.0</v>
      </c>
      <c r="R34" s="50">
        <v>13.0</v>
      </c>
      <c r="S34" s="50">
        <v>18.0</v>
      </c>
      <c r="T34" s="12">
        <f t="shared" si="9"/>
        <v>0.275</v>
      </c>
      <c r="U34" s="11">
        <f t="shared" si="10"/>
        <v>24800</v>
      </c>
      <c r="V34" s="32">
        <f t="shared" si="11"/>
        <v>1.090909091</v>
      </c>
      <c r="W34" s="12">
        <f t="shared" si="12"/>
        <v>0.325</v>
      </c>
      <c r="X34" s="31"/>
      <c r="Y34" s="50">
        <v>8702.0</v>
      </c>
      <c r="Z34" s="29"/>
      <c r="AA34" s="33"/>
    </row>
    <row r="35" ht="15.75" customHeight="1">
      <c r="A35" s="38">
        <v>46293.0</v>
      </c>
      <c r="B35" s="14" t="str">
        <f t="shared" si="2"/>
        <v>月</v>
      </c>
      <c r="C35" s="49">
        <v>500000.0</v>
      </c>
      <c r="D35" s="15">
        <f t="shared" si="3"/>
        <v>15300000</v>
      </c>
      <c r="E35" s="49">
        <v>44220.0</v>
      </c>
      <c r="F35" s="49">
        <v>123750.0</v>
      </c>
      <c r="G35" s="29"/>
      <c r="H35" s="29"/>
      <c r="I35" s="15">
        <f t="shared" si="4"/>
        <v>167970</v>
      </c>
      <c r="J35" s="15">
        <f t="shared" si="5"/>
        <v>4405765</v>
      </c>
      <c r="K35" s="16">
        <f t="shared" ref="K35:L35" si="42">IF(I35="","",IFERROR(I35/C35,""))</f>
        <v>0.33594</v>
      </c>
      <c r="L35" s="16">
        <f t="shared" si="42"/>
        <v>0.2879584967</v>
      </c>
      <c r="M35" s="15">
        <f t="shared" si="7"/>
        <v>-10894235</v>
      </c>
      <c r="N35" s="39" t="str">
        <f t="shared" si="8"/>
        <v>▲ 遅れ</v>
      </c>
      <c r="O35" s="50">
        <v>8.0</v>
      </c>
      <c r="P35" s="50">
        <v>8.0</v>
      </c>
      <c r="Q35" s="50">
        <v>15.0</v>
      </c>
      <c r="R35" s="50">
        <v>9.0</v>
      </c>
      <c r="S35" s="50">
        <v>14.0</v>
      </c>
      <c r="T35" s="16">
        <f t="shared" si="9"/>
        <v>0.5333333333</v>
      </c>
      <c r="U35" s="15">
        <f t="shared" si="10"/>
        <v>20996.25</v>
      </c>
      <c r="V35" s="40">
        <f t="shared" si="11"/>
        <v>1</v>
      </c>
      <c r="W35" s="16">
        <f t="shared" si="12"/>
        <v>0.6</v>
      </c>
      <c r="X35" s="31"/>
      <c r="Y35" s="50">
        <v>8699.0</v>
      </c>
      <c r="Z35" s="29"/>
      <c r="AA35" s="33"/>
    </row>
    <row r="36" ht="15.75" customHeight="1">
      <c r="A36" s="28">
        <v>46294.0</v>
      </c>
      <c r="B36" s="10" t="str">
        <f t="shared" si="2"/>
        <v>火</v>
      </c>
      <c r="C36" s="49">
        <v>500000.0</v>
      </c>
      <c r="D36" s="11">
        <f t="shared" si="3"/>
        <v>15800000</v>
      </c>
      <c r="E36" s="49">
        <v>24200.0</v>
      </c>
      <c r="F36" s="49">
        <v>119830.0</v>
      </c>
      <c r="G36" s="29"/>
      <c r="H36" s="29"/>
      <c r="I36" s="11">
        <f t="shared" si="4"/>
        <v>144030</v>
      </c>
      <c r="J36" s="11">
        <f t="shared" si="5"/>
        <v>4549795</v>
      </c>
      <c r="K36" s="12">
        <f t="shared" ref="K36:L36" si="43">IF(I36="","",IFERROR(I36/C36,""))</f>
        <v>0.28806</v>
      </c>
      <c r="L36" s="12">
        <f t="shared" si="43"/>
        <v>0.2879617089</v>
      </c>
      <c r="M36" s="11">
        <f t="shared" si="7"/>
        <v>-11250205</v>
      </c>
      <c r="N36" s="30" t="str">
        <f t="shared" si="8"/>
        <v>▲ 遅れ</v>
      </c>
      <c r="O36" s="50">
        <v>6.0</v>
      </c>
      <c r="P36" s="50">
        <v>7.0</v>
      </c>
      <c r="Q36" s="50">
        <v>14.0</v>
      </c>
      <c r="R36" s="50">
        <v>6.0</v>
      </c>
      <c r="S36" s="50">
        <v>11.0</v>
      </c>
      <c r="T36" s="12">
        <f t="shared" si="9"/>
        <v>0.4285714286</v>
      </c>
      <c r="U36" s="11">
        <f t="shared" si="10"/>
        <v>24005</v>
      </c>
      <c r="V36" s="32">
        <f t="shared" si="11"/>
        <v>1.166666667</v>
      </c>
      <c r="W36" s="12">
        <f t="shared" si="12"/>
        <v>0.4285714286</v>
      </c>
      <c r="X36" s="31"/>
      <c r="Y36" s="50">
        <v>8696.0</v>
      </c>
      <c r="Z36" s="29"/>
      <c r="AA36" s="33"/>
    </row>
    <row r="37" ht="15.75" customHeight="1">
      <c r="A37" s="38">
        <v>46295.0</v>
      </c>
      <c r="B37" s="14" t="str">
        <f t="shared" si="2"/>
        <v>水</v>
      </c>
      <c r="C37" s="49">
        <v>500000.0</v>
      </c>
      <c r="D37" s="15">
        <f t="shared" si="3"/>
        <v>16300000</v>
      </c>
      <c r="E37" s="49">
        <v>0.0</v>
      </c>
      <c r="F37" s="49">
        <v>91188.0</v>
      </c>
      <c r="G37" s="29"/>
      <c r="H37" s="29"/>
      <c r="I37" s="15">
        <f t="shared" si="4"/>
        <v>91188</v>
      </c>
      <c r="J37" s="15">
        <f t="shared" si="5"/>
        <v>4640983</v>
      </c>
      <c r="K37" s="16">
        <f t="shared" ref="K37:L37" si="44">IF(I37="","",IFERROR(I37/C37,""))</f>
        <v>0.182376</v>
      </c>
      <c r="L37" s="16">
        <f t="shared" si="44"/>
        <v>0.2847228834</v>
      </c>
      <c r="M37" s="15">
        <f t="shared" si="7"/>
        <v>-11659017</v>
      </c>
      <c r="N37" s="39" t="str">
        <f t="shared" si="8"/>
        <v>▲ 遅れ</v>
      </c>
      <c r="O37" s="50">
        <v>4.0</v>
      </c>
      <c r="P37" s="50">
        <v>4.0</v>
      </c>
      <c r="Q37" s="50">
        <v>9.0</v>
      </c>
      <c r="R37" s="50">
        <v>4.0</v>
      </c>
      <c r="S37" s="50">
        <v>7.0</v>
      </c>
      <c r="T37" s="16">
        <f t="shared" si="9"/>
        <v>0.4444444444</v>
      </c>
      <c r="U37" s="15">
        <f t="shared" si="10"/>
        <v>22797</v>
      </c>
      <c r="V37" s="40">
        <f t="shared" si="11"/>
        <v>1</v>
      </c>
      <c r="W37" s="16">
        <f t="shared" si="12"/>
        <v>0.4444444444</v>
      </c>
      <c r="X37" s="31"/>
      <c r="Y37" s="50">
        <v>8695.0</v>
      </c>
      <c r="Z37" s="29"/>
      <c r="AA37" s="33"/>
    </row>
    <row r="38" ht="15.75" customHeight="1">
      <c r="A38" s="44" t="s">
        <v>81</v>
      </c>
      <c r="B38" s="18"/>
      <c r="C38" s="19">
        <f>SUM(C8:C37)</f>
        <v>16300000</v>
      </c>
      <c r="D38" s="19">
        <f>C38</f>
        <v>16300000</v>
      </c>
      <c r="E38" s="19">
        <f t="shared" ref="E38:I38" si="45">SUM(E8:E37)</f>
        <v>1384704</v>
      </c>
      <c r="F38" s="19">
        <f t="shared" si="45"/>
        <v>3228279</v>
      </c>
      <c r="G38" s="19">
        <f t="shared" si="45"/>
        <v>28000</v>
      </c>
      <c r="H38" s="19">
        <f t="shared" si="45"/>
        <v>0</v>
      </c>
      <c r="I38" s="19">
        <f t="shared" si="45"/>
        <v>4640983</v>
      </c>
      <c r="J38" s="19">
        <f>I38</f>
        <v>4640983</v>
      </c>
      <c r="K38" s="20">
        <f>IFERROR(I38/C38,"")</f>
        <v>0.2847228834</v>
      </c>
      <c r="L38" s="20">
        <f>IFERROR(I38/C38,"")</f>
        <v>0.2847228834</v>
      </c>
      <c r="M38" s="19">
        <f>I38-C38</f>
        <v>-11659017</v>
      </c>
      <c r="N38" s="45"/>
      <c r="O38" s="21">
        <f t="shared" ref="O38:S38" si="46">SUM(O8:O37)</f>
        <v>201</v>
      </c>
      <c r="P38" s="21">
        <f t="shared" si="46"/>
        <v>213</v>
      </c>
      <c r="Q38" s="21">
        <f t="shared" si="46"/>
        <v>708</v>
      </c>
      <c r="R38" s="21">
        <f t="shared" si="46"/>
        <v>250</v>
      </c>
      <c r="S38" s="21">
        <f t="shared" si="46"/>
        <v>366</v>
      </c>
      <c r="T38" s="20">
        <f t="shared" si="9"/>
        <v>0.2838983051</v>
      </c>
      <c r="U38" s="19">
        <f t="shared" si="10"/>
        <v>23089.46766</v>
      </c>
      <c r="V38" s="46">
        <f t="shared" si="11"/>
        <v>1.059701493</v>
      </c>
      <c r="W38" s="20">
        <f t="shared" si="12"/>
        <v>0.3531073446</v>
      </c>
      <c r="X38" s="21">
        <f>SUM(X8:X37)</f>
        <v>0</v>
      </c>
      <c r="Y38" s="21">
        <f>IFERROR(LOOKUP(9.99E+307,Y8:Y37),"")</f>
        <v>8695</v>
      </c>
      <c r="Z38" s="19">
        <f>SUM(Z8:Z37)</f>
        <v>1645</v>
      </c>
      <c r="AA38" s="47" t="s">
        <v>82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A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M8:M37">
    <cfRule type="expression" dxfId="0" priority="1">
      <formula>AND($I8&lt;&gt;"",$M8&gt;=0)</formula>
    </cfRule>
  </conditionalFormatting>
  <conditionalFormatting sqref="M8:M37">
    <cfRule type="expression" dxfId="1" priority="2">
      <formula>AND($I8&lt;&gt;"",$M8&lt;0)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0.0"/>
    <col customWidth="1" min="8" max="8" width="11.0"/>
    <col customWidth="1" min="9" max="9" width="12.0"/>
    <col customWidth="1" min="10" max="10" width="13.0"/>
    <col customWidth="1" min="11" max="12" width="9.0"/>
    <col customWidth="1" min="13" max="13" width="13.0"/>
    <col customWidth="1" min="14" max="14" width="11.0"/>
    <col customWidth="1" min="15" max="20" width="8.0"/>
    <col customWidth="1" min="21" max="21" width="11.0"/>
    <col customWidth="1" min="22" max="24" width="8.0"/>
    <col customWidth="1" min="25" max="25" width="10.0"/>
    <col customWidth="1" min="26" max="26" width="9.0"/>
    <col customWidth="1" min="27" max="27" width="28.0"/>
    <col customWidth="1" min="28" max="28" width="3.0"/>
    <col customWidth="1" min="29" max="29" width="5.0"/>
    <col customWidth="1" min="30" max="30" width="13.0"/>
    <col customWidth="1" min="31" max="31" width="12.0"/>
    <col customWidth="1" min="32" max="32" width="9.0"/>
    <col customWidth="1" min="33" max="33" width="11.0"/>
    <col customWidth="1" min="34" max="36" width="9.0"/>
    <col customWidth="1" min="37" max="37" width="8.0"/>
  </cols>
  <sheetData>
    <row r="1" ht="27.75" customHeight="1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123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IF('設定'!$B$14="",SUM(C8:C38),'設定'!$B$14)</f>
        <v>11000000</v>
      </c>
      <c r="B4" s="6"/>
      <c r="C4" s="7">
        <f>SUM(I8:I38)</f>
        <v>1894935</v>
      </c>
      <c r="D4" s="6"/>
      <c r="E4" s="8">
        <f>IFERROR(C4/A4,0)</f>
        <v>0.1722668182</v>
      </c>
      <c r="F4" s="6"/>
      <c r="G4" s="25">
        <f>COUNTIF(I8:I38,"&gt;0")</f>
        <v>18</v>
      </c>
      <c r="H4" s="6"/>
      <c r="I4" s="7">
        <f>A4-C4</f>
        <v>9105065</v>
      </c>
      <c r="J4" s="6"/>
      <c r="K4" s="7">
        <f>IF((31-G4)&gt;0,(A4-C4)/(31-G4),0)</f>
        <v>700389.6154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SUM(C8:C38)</f>
        <v>0</v>
      </c>
      <c r="B6" s="6"/>
      <c r="C6" s="7">
        <f>IFERROR(C4/G4*31,0)</f>
        <v>3263499.167</v>
      </c>
      <c r="D6" s="6"/>
      <c r="E6" s="8">
        <f>IFERROR(O39/Q39,0)</f>
        <v>0.2189973615</v>
      </c>
      <c r="F6" s="6"/>
      <c r="G6" s="7">
        <f>IFERROR(I39/O39,0)</f>
        <v>22830.54217</v>
      </c>
      <c r="H6" s="6"/>
      <c r="I6" s="26">
        <f>IFERROR(P39/O39,0)</f>
        <v>1.048192771</v>
      </c>
      <c r="J6" s="6"/>
      <c r="K6" s="8">
        <f>IFERROR(R39/Q39,0)</f>
        <v>0.3667546174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99</v>
      </c>
      <c r="H7" s="9" t="s">
        <v>124</v>
      </c>
      <c r="I7" s="9" t="s">
        <v>51</v>
      </c>
      <c r="J7" s="9" t="s">
        <v>19</v>
      </c>
      <c r="K7" s="9" t="s">
        <v>52</v>
      </c>
      <c r="L7" s="9" t="s">
        <v>53</v>
      </c>
      <c r="M7" s="9" t="s">
        <v>54</v>
      </c>
      <c r="N7" s="9" t="s">
        <v>55</v>
      </c>
      <c r="O7" s="9" t="s">
        <v>14</v>
      </c>
      <c r="P7" s="9" t="s">
        <v>56</v>
      </c>
      <c r="Q7" s="9" t="s">
        <v>15</v>
      </c>
      <c r="R7" s="9" t="s">
        <v>57</v>
      </c>
      <c r="S7" s="9" t="s">
        <v>58</v>
      </c>
      <c r="T7" s="9" t="s">
        <v>16</v>
      </c>
      <c r="U7" s="9" t="s">
        <v>17</v>
      </c>
      <c r="V7" s="9" t="s">
        <v>43</v>
      </c>
      <c r="W7" s="9" t="s">
        <v>44</v>
      </c>
      <c r="X7" s="9" t="s">
        <v>59</v>
      </c>
      <c r="Y7" s="9" t="s">
        <v>60</v>
      </c>
      <c r="Z7" s="9" t="s">
        <v>61</v>
      </c>
      <c r="AA7" s="9" t="s">
        <v>62</v>
      </c>
      <c r="AC7" s="27" t="s">
        <v>63</v>
      </c>
      <c r="AD7" s="27" t="s">
        <v>64</v>
      </c>
      <c r="AE7" s="27" t="s">
        <v>65</v>
      </c>
      <c r="AF7" s="27" t="s">
        <v>16</v>
      </c>
      <c r="AG7" s="27" t="s">
        <v>17</v>
      </c>
    </row>
    <row r="8">
      <c r="A8" s="28">
        <v>46296.0</v>
      </c>
      <c r="B8" s="10" t="str">
        <f t="shared" ref="B8:B38" si="2">MID("日月火水木金土",WEEKDAY(A8),1)</f>
        <v>木</v>
      </c>
      <c r="C8" s="29"/>
      <c r="D8" s="11">
        <f t="shared" ref="D8:D38" si="3">SUM($C$8:C8)</f>
        <v>0</v>
      </c>
      <c r="E8" s="49">
        <v>69965.0</v>
      </c>
      <c r="F8" s="49">
        <v>42350.0</v>
      </c>
      <c r="G8" s="29"/>
      <c r="H8" s="29"/>
      <c r="I8" s="11">
        <f t="shared" ref="I8:I38" si="4">IF(COUNT(E8:H8)=0,"",SUM(E8:H8))</f>
        <v>112315</v>
      </c>
      <c r="J8" s="11">
        <f t="shared" ref="J8:J38" si="5">IF(I8="","",SUM($I$8:I8))</f>
        <v>112315</v>
      </c>
      <c r="K8" s="12" t="str">
        <f t="shared" ref="K8:L8" si="1">IF(I8="","",IFERROR(I8/C8,""))</f>
        <v/>
      </c>
      <c r="L8" s="12" t="str">
        <f t="shared" si="1"/>
        <v/>
      </c>
      <c r="M8" s="11" t="str">
        <f t="shared" ref="M8:M38" si="7">IF(J8="","",IF(D8=0,"",J8-D8))</f>
        <v/>
      </c>
      <c r="N8" s="30" t="str">
        <f t="shared" ref="N8:N38" si="8">IF(I8="","—",IF(D8=0,"予算未入力",IF(J8&gt;=D8,"◎ ペース内","▲ 遅れ")))</f>
        <v>予算未入力</v>
      </c>
      <c r="O8" s="50">
        <v>5.0</v>
      </c>
      <c r="P8" s="50">
        <v>5.0</v>
      </c>
      <c r="Q8" s="50">
        <v>18.0</v>
      </c>
      <c r="R8" s="50">
        <v>8.0</v>
      </c>
      <c r="S8" s="50">
        <v>13.0</v>
      </c>
      <c r="T8" s="12">
        <f t="shared" ref="T8:T39" si="9">IFERROR(O8/Q8,"")</f>
        <v>0.2777777778</v>
      </c>
      <c r="U8" s="11">
        <f t="shared" ref="U8:U39" si="10">IFERROR(I8/O8,"")</f>
        <v>22463</v>
      </c>
      <c r="V8" s="32">
        <f t="shared" ref="V8:V39" si="11">IFERROR(P8/O8,"")</f>
        <v>1</v>
      </c>
      <c r="W8" s="12">
        <f t="shared" ref="W8:W39" si="12">IFERROR(R8/Q8,"")</f>
        <v>0.4444444444</v>
      </c>
      <c r="X8" s="31"/>
      <c r="Y8" s="50">
        <v>8689.0</v>
      </c>
      <c r="Z8" s="29"/>
      <c r="AA8" s="33"/>
      <c r="AC8" s="34" t="s">
        <v>7</v>
      </c>
      <c r="AD8" s="35">
        <f t="shared" ref="AD8:AD14" si="13">IFERROR(AVERAGEIFS($I$8:$I$38,$B$8:$B$38,AC8,$I$8:$I$38,"&gt;0"),0)</f>
        <v>32065</v>
      </c>
      <c r="AE8" s="36">
        <f t="shared" ref="AE8:AE14" si="14">COUNTIFS($B$8:$B$38,AC8,$I$8:$I$38,"&gt;0")</f>
        <v>2</v>
      </c>
      <c r="AF8" s="37">
        <f t="shared" ref="AF8:AF14" si="15">IFERROR(SUMIF($B$8:$B$38,AC8,$O$8:$O$38)/SUMIF($B$8:$B$38,AC8,$Q$8:$Q$38),0)</f>
        <v>0.09090909091</v>
      </c>
      <c r="AG8" s="35">
        <f t="shared" ref="AG8:AG14" si="16">IFERROR(SUMIF($B$8:$B$38,AC8,$I$8:$I$38)/SUMIF($B$8:$B$38,AC8,$O$8:$O$38),0)</f>
        <v>21376.66667</v>
      </c>
    </row>
    <row r="9">
      <c r="A9" s="38">
        <v>46297.0</v>
      </c>
      <c r="B9" s="14" t="str">
        <f t="shared" si="2"/>
        <v>金</v>
      </c>
      <c r="C9" s="29"/>
      <c r="D9" s="15">
        <f t="shared" si="3"/>
        <v>0</v>
      </c>
      <c r="E9" s="49">
        <v>46420.0</v>
      </c>
      <c r="F9" s="49">
        <v>46420.0</v>
      </c>
      <c r="G9" s="29"/>
      <c r="H9" s="29"/>
      <c r="I9" s="15">
        <f t="shared" si="4"/>
        <v>92840</v>
      </c>
      <c r="J9" s="15">
        <f t="shared" si="5"/>
        <v>205155</v>
      </c>
      <c r="K9" s="16" t="str">
        <f t="shared" ref="K9:L9" si="6">IF(I9="","",IFERROR(I9/C9,""))</f>
        <v/>
      </c>
      <c r="L9" s="16" t="str">
        <f t="shared" si="6"/>
        <v/>
      </c>
      <c r="M9" s="15" t="str">
        <f t="shared" si="7"/>
        <v/>
      </c>
      <c r="N9" s="39" t="str">
        <f t="shared" si="8"/>
        <v>予算未入力</v>
      </c>
      <c r="O9" s="50">
        <v>4.0</v>
      </c>
      <c r="P9" s="50">
        <v>4.0</v>
      </c>
      <c r="Q9" s="50">
        <v>15.0</v>
      </c>
      <c r="R9" s="50">
        <v>6.0</v>
      </c>
      <c r="S9" s="50">
        <v>6.0</v>
      </c>
      <c r="T9" s="16">
        <f t="shared" si="9"/>
        <v>0.2666666667</v>
      </c>
      <c r="U9" s="15">
        <f t="shared" si="10"/>
        <v>23210</v>
      </c>
      <c r="V9" s="40">
        <f t="shared" si="11"/>
        <v>1</v>
      </c>
      <c r="W9" s="16">
        <f t="shared" si="12"/>
        <v>0.4</v>
      </c>
      <c r="X9" s="31"/>
      <c r="Y9" s="50">
        <v>8687.0</v>
      </c>
      <c r="Z9" s="29"/>
      <c r="AA9" s="33"/>
      <c r="AC9" s="34" t="s">
        <v>66</v>
      </c>
      <c r="AD9" s="35">
        <f t="shared" si="13"/>
        <v>101986</v>
      </c>
      <c r="AE9" s="36">
        <f t="shared" si="14"/>
        <v>2</v>
      </c>
      <c r="AF9" s="37">
        <f t="shared" si="15"/>
        <v>0.4</v>
      </c>
      <c r="AG9" s="35">
        <f t="shared" si="16"/>
        <v>20397.2</v>
      </c>
    </row>
    <row r="10">
      <c r="A10" s="28">
        <v>46298.0</v>
      </c>
      <c r="B10" s="10" t="str">
        <f t="shared" si="2"/>
        <v>土</v>
      </c>
      <c r="C10" s="29"/>
      <c r="D10" s="11">
        <f t="shared" si="3"/>
        <v>0</v>
      </c>
      <c r="E10" s="49">
        <v>0.0</v>
      </c>
      <c r="F10" s="49">
        <v>68420.0</v>
      </c>
      <c r="G10" s="29"/>
      <c r="H10" s="29"/>
      <c r="I10" s="11">
        <f t="shared" si="4"/>
        <v>68420</v>
      </c>
      <c r="J10" s="11">
        <f t="shared" si="5"/>
        <v>273575</v>
      </c>
      <c r="K10" s="12" t="str">
        <f t="shared" ref="K10:L10" si="17">IF(I10="","",IFERROR(I10/C10,""))</f>
        <v/>
      </c>
      <c r="L10" s="12" t="str">
        <f t="shared" si="17"/>
        <v/>
      </c>
      <c r="M10" s="11" t="str">
        <f t="shared" si="7"/>
        <v/>
      </c>
      <c r="N10" s="30" t="str">
        <f t="shared" si="8"/>
        <v>予算未入力</v>
      </c>
      <c r="O10" s="50">
        <v>3.0</v>
      </c>
      <c r="P10" s="50">
        <v>3.0</v>
      </c>
      <c r="Q10" s="50">
        <v>25.0</v>
      </c>
      <c r="R10" s="50">
        <v>5.0</v>
      </c>
      <c r="S10" s="50">
        <v>8.0</v>
      </c>
      <c r="T10" s="12">
        <f t="shared" si="9"/>
        <v>0.12</v>
      </c>
      <c r="U10" s="11">
        <f t="shared" si="10"/>
        <v>22806.66667</v>
      </c>
      <c r="V10" s="32">
        <f t="shared" si="11"/>
        <v>1</v>
      </c>
      <c r="W10" s="12">
        <f t="shared" si="12"/>
        <v>0.2</v>
      </c>
      <c r="X10" s="31"/>
      <c r="Y10" s="50">
        <v>8682.0</v>
      </c>
      <c r="Z10" s="29"/>
      <c r="AA10" s="33"/>
      <c r="AC10" s="34" t="s">
        <v>67</v>
      </c>
      <c r="AD10" s="35">
        <f t="shared" si="13"/>
        <v>94930</v>
      </c>
      <c r="AE10" s="36">
        <f t="shared" si="14"/>
        <v>2</v>
      </c>
      <c r="AF10" s="37">
        <f t="shared" si="15"/>
        <v>0.2413793103</v>
      </c>
      <c r="AG10" s="35">
        <f t="shared" si="16"/>
        <v>27122.85714</v>
      </c>
    </row>
    <row r="11">
      <c r="A11" s="38">
        <v>46299.0</v>
      </c>
      <c r="B11" s="14" t="str">
        <f t="shared" si="2"/>
        <v>日</v>
      </c>
      <c r="C11" s="29"/>
      <c r="D11" s="15">
        <f t="shared" si="3"/>
        <v>0</v>
      </c>
      <c r="E11" s="49">
        <v>50820.0</v>
      </c>
      <c r="F11" s="49">
        <v>22584.0</v>
      </c>
      <c r="G11" s="29"/>
      <c r="H11" s="29"/>
      <c r="I11" s="15">
        <f t="shared" si="4"/>
        <v>73404</v>
      </c>
      <c r="J11" s="15">
        <f t="shared" si="5"/>
        <v>346979</v>
      </c>
      <c r="K11" s="16" t="str">
        <f t="shared" ref="K11:L11" si="18">IF(I11="","",IFERROR(I11/C11,""))</f>
        <v/>
      </c>
      <c r="L11" s="16" t="str">
        <f t="shared" si="18"/>
        <v/>
      </c>
      <c r="M11" s="15" t="str">
        <f t="shared" si="7"/>
        <v/>
      </c>
      <c r="N11" s="39" t="str">
        <f t="shared" si="8"/>
        <v>予算未入力</v>
      </c>
      <c r="O11" s="50">
        <v>3.0</v>
      </c>
      <c r="P11" s="50">
        <v>3.0</v>
      </c>
      <c r="Q11" s="50">
        <v>41.0</v>
      </c>
      <c r="R11" s="50">
        <v>14.0</v>
      </c>
      <c r="S11" s="50">
        <v>20.0</v>
      </c>
      <c r="T11" s="16">
        <f t="shared" si="9"/>
        <v>0.07317073171</v>
      </c>
      <c r="U11" s="15">
        <f t="shared" si="10"/>
        <v>24468</v>
      </c>
      <c r="V11" s="40">
        <f t="shared" si="11"/>
        <v>1</v>
      </c>
      <c r="W11" s="16">
        <f t="shared" si="12"/>
        <v>0.3414634146</v>
      </c>
      <c r="X11" s="31"/>
      <c r="Y11" s="50">
        <v>8676.0</v>
      </c>
      <c r="Z11" s="49">
        <v>641.0</v>
      </c>
      <c r="AA11" s="33"/>
      <c r="AC11" s="34" t="s">
        <v>68</v>
      </c>
      <c r="AD11" s="35">
        <f t="shared" si="13"/>
        <v>81915</v>
      </c>
      <c r="AE11" s="36">
        <f t="shared" si="14"/>
        <v>3</v>
      </c>
      <c r="AF11" s="37">
        <f t="shared" si="15"/>
        <v>0.275</v>
      </c>
      <c r="AG11" s="35">
        <f t="shared" si="16"/>
        <v>22340.45455</v>
      </c>
    </row>
    <row r="12">
      <c r="A12" s="28">
        <v>46300.0</v>
      </c>
      <c r="B12" s="10" t="str">
        <f t="shared" si="2"/>
        <v>月</v>
      </c>
      <c r="C12" s="29"/>
      <c r="D12" s="11">
        <f t="shared" si="3"/>
        <v>0</v>
      </c>
      <c r="E12" s="49">
        <v>0.0</v>
      </c>
      <c r="F12" s="49">
        <v>22110.0</v>
      </c>
      <c r="G12" s="29"/>
      <c r="H12" s="29"/>
      <c r="I12" s="11">
        <f t="shared" si="4"/>
        <v>22110</v>
      </c>
      <c r="J12" s="11">
        <f t="shared" si="5"/>
        <v>369089</v>
      </c>
      <c r="K12" s="12" t="str">
        <f t="shared" ref="K12:L12" si="19">IF(I12="","",IFERROR(I12/C12,""))</f>
        <v/>
      </c>
      <c r="L12" s="12" t="str">
        <f t="shared" si="19"/>
        <v/>
      </c>
      <c r="M12" s="11" t="str">
        <f t="shared" si="7"/>
        <v/>
      </c>
      <c r="N12" s="30" t="str">
        <f t="shared" si="8"/>
        <v>予算未入力</v>
      </c>
      <c r="O12" s="50">
        <v>1.0</v>
      </c>
      <c r="P12" s="50">
        <v>1.0</v>
      </c>
      <c r="Q12" s="50">
        <v>10.0</v>
      </c>
      <c r="R12" s="50">
        <v>1.0</v>
      </c>
      <c r="S12" s="50">
        <v>2.0</v>
      </c>
      <c r="T12" s="12">
        <f t="shared" si="9"/>
        <v>0.1</v>
      </c>
      <c r="U12" s="11">
        <f t="shared" si="10"/>
        <v>22110</v>
      </c>
      <c r="V12" s="32">
        <f t="shared" si="11"/>
        <v>1</v>
      </c>
      <c r="W12" s="12">
        <f t="shared" si="12"/>
        <v>0.1</v>
      </c>
      <c r="X12" s="31"/>
      <c r="Y12" s="50">
        <v>8674.0</v>
      </c>
      <c r="Z12" s="29"/>
      <c r="AA12" s="33"/>
      <c r="AC12" s="34" t="s">
        <v>69</v>
      </c>
      <c r="AD12" s="35">
        <f t="shared" si="13"/>
        <v>111686.6667</v>
      </c>
      <c r="AE12" s="36">
        <f t="shared" si="14"/>
        <v>3</v>
      </c>
      <c r="AF12" s="37">
        <f t="shared" si="15"/>
        <v>0.3409090909</v>
      </c>
      <c r="AG12" s="35">
        <f t="shared" si="16"/>
        <v>22337.33333</v>
      </c>
    </row>
    <row r="13">
      <c r="A13" s="38">
        <v>46301.0</v>
      </c>
      <c r="B13" s="14" t="str">
        <f t="shared" si="2"/>
        <v>火</v>
      </c>
      <c r="C13" s="29"/>
      <c r="D13" s="15">
        <f t="shared" si="3"/>
        <v>0</v>
      </c>
      <c r="E13" s="49">
        <v>46628.0</v>
      </c>
      <c r="F13" s="49">
        <v>93214.0</v>
      </c>
      <c r="G13" s="29"/>
      <c r="H13" s="29"/>
      <c r="I13" s="15">
        <f t="shared" si="4"/>
        <v>139842</v>
      </c>
      <c r="J13" s="15">
        <f t="shared" si="5"/>
        <v>508931</v>
      </c>
      <c r="K13" s="16" t="str">
        <f t="shared" ref="K13:L13" si="20">IF(I13="","",IFERROR(I13/C13,""))</f>
        <v/>
      </c>
      <c r="L13" s="16" t="str">
        <f t="shared" si="20"/>
        <v/>
      </c>
      <c r="M13" s="15" t="str">
        <f t="shared" si="7"/>
        <v/>
      </c>
      <c r="N13" s="39" t="str">
        <f t="shared" si="8"/>
        <v>予算未入力</v>
      </c>
      <c r="O13" s="50">
        <v>7.0</v>
      </c>
      <c r="P13" s="50">
        <v>7.0</v>
      </c>
      <c r="Q13" s="50">
        <v>15.0</v>
      </c>
      <c r="R13" s="50">
        <v>11.0</v>
      </c>
      <c r="S13" s="50">
        <v>14.0</v>
      </c>
      <c r="T13" s="16">
        <f t="shared" si="9"/>
        <v>0.4666666667</v>
      </c>
      <c r="U13" s="15">
        <f t="shared" si="10"/>
        <v>19977.42857</v>
      </c>
      <c r="V13" s="40">
        <f t="shared" si="11"/>
        <v>1</v>
      </c>
      <c r="W13" s="16">
        <f t="shared" si="12"/>
        <v>0.7333333333</v>
      </c>
      <c r="X13" s="31"/>
      <c r="Y13" s="50">
        <v>8675.0</v>
      </c>
      <c r="Z13" s="29"/>
      <c r="AA13" s="33"/>
      <c r="AC13" s="34" t="s">
        <v>70</v>
      </c>
      <c r="AD13" s="35">
        <f t="shared" si="13"/>
        <v>114033.3333</v>
      </c>
      <c r="AE13" s="36">
        <f t="shared" si="14"/>
        <v>3</v>
      </c>
      <c r="AF13" s="37">
        <f t="shared" si="15"/>
        <v>0.1797752809</v>
      </c>
      <c r="AG13" s="35">
        <f t="shared" si="16"/>
        <v>21381.25</v>
      </c>
    </row>
    <row r="14">
      <c r="A14" s="28">
        <v>46302.0</v>
      </c>
      <c r="B14" s="10" t="str">
        <f t="shared" si="2"/>
        <v>水</v>
      </c>
      <c r="C14" s="29"/>
      <c r="D14" s="11">
        <f t="shared" si="3"/>
        <v>0</v>
      </c>
      <c r="E14" s="49">
        <v>30705.0</v>
      </c>
      <c r="F14" s="49">
        <v>0.0</v>
      </c>
      <c r="G14" s="49">
        <v>17915.0</v>
      </c>
      <c r="H14" s="29"/>
      <c r="I14" s="11">
        <f t="shared" si="4"/>
        <v>48620</v>
      </c>
      <c r="J14" s="11">
        <f t="shared" si="5"/>
        <v>557551</v>
      </c>
      <c r="K14" s="12" t="str">
        <f t="shared" ref="K14:L14" si="21">IF(I14="","",IFERROR(I14/C14,""))</f>
        <v/>
      </c>
      <c r="L14" s="12" t="str">
        <f t="shared" si="21"/>
        <v/>
      </c>
      <c r="M14" s="11" t="str">
        <f t="shared" si="7"/>
        <v/>
      </c>
      <c r="N14" s="30" t="str">
        <f t="shared" si="8"/>
        <v>予算未入力</v>
      </c>
      <c r="O14" s="50">
        <v>2.0</v>
      </c>
      <c r="P14" s="50">
        <v>2.0</v>
      </c>
      <c r="Q14" s="50">
        <v>13.0</v>
      </c>
      <c r="R14" s="50">
        <v>4.0</v>
      </c>
      <c r="S14" s="50">
        <v>6.0</v>
      </c>
      <c r="T14" s="12">
        <f t="shared" si="9"/>
        <v>0.1538461538</v>
      </c>
      <c r="U14" s="11">
        <f t="shared" si="10"/>
        <v>24310</v>
      </c>
      <c r="V14" s="32">
        <f t="shared" si="11"/>
        <v>1</v>
      </c>
      <c r="W14" s="12">
        <f t="shared" si="12"/>
        <v>0.3076923077</v>
      </c>
      <c r="X14" s="31"/>
      <c r="Y14" s="50">
        <v>8672.0</v>
      </c>
      <c r="Z14" s="29"/>
      <c r="AA14" s="33"/>
      <c r="AC14" s="34" t="s">
        <v>71</v>
      </c>
      <c r="AD14" s="35">
        <f t="shared" si="13"/>
        <v>171356</v>
      </c>
      <c r="AE14" s="36">
        <f t="shared" si="14"/>
        <v>3</v>
      </c>
      <c r="AF14" s="37">
        <f t="shared" si="15"/>
        <v>0.1764705882</v>
      </c>
      <c r="AG14" s="35">
        <f t="shared" si="16"/>
        <v>24479.42857</v>
      </c>
    </row>
    <row r="15">
      <c r="A15" s="38">
        <v>46303.0</v>
      </c>
      <c r="B15" s="14" t="str">
        <f t="shared" si="2"/>
        <v>木</v>
      </c>
      <c r="C15" s="29"/>
      <c r="D15" s="15">
        <f t="shared" si="3"/>
        <v>0</v>
      </c>
      <c r="E15" s="49">
        <v>26400.0</v>
      </c>
      <c r="F15" s="29"/>
      <c r="G15" s="29"/>
      <c r="H15" s="29"/>
      <c r="I15" s="15">
        <f t="shared" si="4"/>
        <v>26400</v>
      </c>
      <c r="J15" s="15">
        <f t="shared" si="5"/>
        <v>583951</v>
      </c>
      <c r="K15" s="16" t="str">
        <f t="shared" ref="K15:L15" si="22">IF(I15="","",IFERROR(I15/C15,""))</f>
        <v/>
      </c>
      <c r="L15" s="16" t="str">
        <f t="shared" si="22"/>
        <v/>
      </c>
      <c r="M15" s="15" t="str">
        <f t="shared" si="7"/>
        <v/>
      </c>
      <c r="N15" s="39" t="str">
        <f t="shared" si="8"/>
        <v>予算未入力</v>
      </c>
      <c r="O15" s="50">
        <v>1.0</v>
      </c>
      <c r="P15" s="50">
        <v>1.0</v>
      </c>
      <c r="Q15" s="50">
        <v>9.0</v>
      </c>
      <c r="R15" s="50">
        <v>3.0</v>
      </c>
      <c r="S15" s="50">
        <v>3.0</v>
      </c>
      <c r="T15" s="16">
        <f t="shared" si="9"/>
        <v>0.1111111111</v>
      </c>
      <c r="U15" s="15">
        <f t="shared" si="10"/>
        <v>26400</v>
      </c>
      <c r="V15" s="40">
        <f t="shared" si="11"/>
        <v>1</v>
      </c>
      <c r="W15" s="16">
        <f t="shared" si="12"/>
        <v>0.3333333333</v>
      </c>
      <c r="X15" s="31"/>
      <c r="Y15" s="50">
        <v>8671.0</v>
      </c>
      <c r="Z15" s="29"/>
      <c r="AA15" s="33"/>
    </row>
    <row r="16">
      <c r="A16" s="28">
        <v>46304.0</v>
      </c>
      <c r="B16" s="10" t="str">
        <f t="shared" si="2"/>
        <v>金</v>
      </c>
      <c r="C16" s="29"/>
      <c r="D16" s="11">
        <f t="shared" si="3"/>
        <v>0</v>
      </c>
      <c r="E16" s="49">
        <v>0.0</v>
      </c>
      <c r="F16" s="49">
        <v>75130.0</v>
      </c>
      <c r="G16" s="49">
        <v>16610.0</v>
      </c>
      <c r="H16" s="29"/>
      <c r="I16" s="11">
        <f t="shared" si="4"/>
        <v>91740</v>
      </c>
      <c r="J16" s="11">
        <f t="shared" si="5"/>
        <v>675691</v>
      </c>
      <c r="K16" s="12" t="str">
        <f t="shared" ref="K16:L16" si="23">IF(I16="","",IFERROR(I16/C16,""))</f>
        <v/>
      </c>
      <c r="L16" s="12" t="str">
        <f t="shared" si="23"/>
        <v/>
      </c>
      <c r="M16" s="11" t="str">
        <f t="shared" si="7"/>
        <v/>
      </c>
      <c r="N16" s="30" t="str">
        <f t="shared" si="8"/>
        <v>予算未入力</v>
      </c>
      <c r="O16" s="50">
        <v>4.0</v>
      </c>
      <c r="P16" s="50">
        <v>4.0</v>
      </c>
      <c r="Q16" s="50">
        <v>11.0</v>
      </c>
      <c r="R16" s="50">
        <v>4.0</v>
      </c>
      <c r="S16" s="50">
        <v>5.0</v>
      </c>
      <c r="T16" s="12">
        <f t="shared" si="9"/>
        <v>0.3636363636</v>
      </c>
      <c r="U16" s="11">
        <f t="shared" si="10"/>
        <v>22935</v>
      </c>
      <c r="V16" s="32">
        <f t="shared" si="11"/>
        <v>1</v>
      </c>
      <c r="W16" s="12">
        <f t="shared" si="12"/>
        <v>0.3636363636</v>
      </c>
      <c r="X16" s="31"/>
      <c r="Y16" s="50">
        <v>8674.0</v>
      </c>
      <c r="Z16" s="29"/>
      <c r="AA16" s="33"/>
      <c r="AC16" s="22" t="s">
        <v>72</v>
      </c>
    </row>
    <row r="17">
      <c r="A17" s="38">
        <v>46305.0</v>
      </c>
      <c r="B17" s="14" t="str">
        <f t="shared" si="2"/>
        <v>土</v>
      </c>
      <c r="C17" s="29"/>
      <c r="D17" s="15">
        <f t="shared" si="3"/>
        <v>0</v>
      </c>
      <c r="E17" s="49">
        <v>24310.0</v>
      </c>
      <c r="F17" s="49">
        <v>113850.0</v>
      </c>
      <c r="G17" s="29"/>
      <c r="H17" s="29"/>
      <c r="I17" s="15">
        <f t="shared" si="4"/>
        <v>138160</v>
      </c>
      <c r="J17" s="15">
        <f t="shared" si="5"/>
        <v>813851</v>
      </c>
      <c r="K17" s="16" t="str">
        <f t="shared" ref="K17:L17" si="24">IF(I17="","",IFERROR(I17/C17,""))</f>
        <v/>
      </c>
      <c r="L17" s="16" t="str">
        <f t="shared" si="24"/>
        <v/>
      </c>
      <c r="M17" s="15" t="str">
        <f t="shared" si="7"/>
        <v/>
      </c>
      <c r="N17" s="39" t="str">
        <f t="shared" si="8"/>
        <v>予算未入力</v>
      </c>
      <c r="O17" s="50">
        <v>6.0</v>
      </c>
      <c r="P17" s="50">
        <v>6.0</v>
      </c>
      <c r="Q17" s="50">
        <v>29.0</v>
      </c>
      <c r="R17" s="50">
        <v>12.0</v>
      </c>
      <c r="S17" s="50">
        <v>14.0</v>
      </c>
      <c r="T17" s="16">
        <f t="shared" si="9"/>
        <v>0.2068965517</v>
      </c>
      <c r="U17" s="15">
        <f t="shared" si="10"/>
        <v>23026.66667</v>
      </c>
      <c r="V17" s="40">
        <f t="shared" si="11"/>
        <v>1</v>
      </c>
      <c r="W17" s="16">
        <f t="shared" si="12"/>
        <v>0.4137931034</v>
      </c>
      <c r="X17" s="31"/>
      <c r="Y17" s="50">
        <v>8683.0</v>
      </c>
      <c r="Z17" s="29"/>
      <c r="AA17" s="33"/>
    </row>
    <row r="18">
      <c r="A18" s="28">
        <v>46306.0</v>
      </c>
      <c r="B18" s="10" t="str">
        <f t="shared" si="2"/>
        <v>日</v>
      </c>
      <c r="C18" s="29"/>
      <c r="D18" s="11">
        <f t="shared" si="3"/>
        <v>0</v>
      </c>
      <c r="E18" s="49">
        <v>53130.0</v>
      </c>
      <c r="F18" s="49">
        <v>194260.0</v>
      </c>
      <c r="G18" s="29"/>
      <c r="H18" s="29"/>
      <c r="I18" s="11">
        <f t="shared" si="4"/>
        <v>247390</v>
      </c>
      <c r="J18" s="11">
        <f t="shared" si="5"/>
        <v>1061241</v>
      </c>
      <c r="K18" s="12" t="str">
        <f t="shared" ref="K18:L18" si="25">IF(I18="","",IFERROR(I18/C18,""))</f>
        <v/>
      </c>
      <c r="L18" s="12" t="str">
        <f t="shared" si="25"/>
        <v/>
      </c>
      <c r="M18" s="11" t="str">
        <f t="shared" si="7"/>
        <v/>
      </c>
      <c r="N18" s="30" t="str">
        <f t="shared" si="8"/>
        <v>予算未入力</v>
      </c>
      <c r="O18" s="50">
        <v>9.0</v>
      </c>
      <c r="P18" s="50">
        <v>11.0</v>
      </c>
      <c r="Q18" s="50">
        <v>44.0</v>
      </c>
      <c r="R18" s="50">
        <v>15.0</v>
      </c>
      <c r="S18" s="50">
        <v>21.0</v>
      </c>
      <c r="T18" s="12">
        <f t="shared" si="9"/>
        <v>0.2045454545</v>
      </c>
      <c r="U18" s="11">
        <f t="shared" si="10"/>
        <v>27487.77778</v>
      </c>
      <c r="V18" s="32">
        <f t="shared" si="11"/>
        <v>1.222222222</v>
      </c>
      <c r="W18" s="12">
        <f t="shared" si="12"/>
        <v>0.3409090909</v>
      </c>
      <c r="X18" s="31"/>
      <c r="Y18" s="50">
        <v>8685.0</v>
      </c>
      <c r="Z18" s="49">
        <v>214.0</v>
      </c>
      <c r="AA18" s="52" t="s">
        <v>117</v>
      </c>
      <c r="AC18" s="23" t="s">
        <v>205</v>
      </c>
      <c r="AJ18" s="53" t="s">
        <v>125</v>
      </c>
      <c r="AK18" s="41">
        <f>$A$8+MOD(1-WEEKDAY($A$8,2)+7,7)</f>
        <v>46300</v>
      </c>
    </row>
    <row r="19">
      <c r="A19" s="38">
        <v>46307.0</v>
      </c>
      <c r="B19" s="14" t="str">
        <f t="shared" si="2"/>
        <v>月</v>
      </c>
      <c r="C19" s="29"/>
      <c r="D19" s="15">
        <f t="shared" si="3"/>
        <v>0</v>
      </c>
      <c r="E19" s="49">
        <v>24310.0</v>
      </c>
      <c r="F19" s="49">
        <v>17710.0</v>
      </c>
      <c r="G19" s="29"/>
      <c r="H19" s="29"/>
      <c r="I19" s="15">
        <f t="shared" si="4"/>
        <v>42020</v>
      </c>
      <c r="J19" s="15">
        <f t="shared" si="5"/>
        <v>1103261</v>
      </c>
      <c r="K19" s="16" t="str">
        <f t="shared" ref="K19:L19" si="26">IF(I19="","",IFERROR(I19/C19,""))</f>
        <v/>
      </c>
      <c r="L19" s="16" t="str">
        <f t="shared" si="26"/>
        <v/>
      </c>
      <c r="M19" s="15" t="str">
        <f t="shared" si="7"/>
        <v/>
      </c>
      <c r="N19" s="39" t="str">
        <f t="shared" si="8"/>
        <v>予算未入力</v>
      </c>
      <c r="O19" s="50">
        <v>2.0</v>
      </c>
      <c r="P19" s="50">
        <v>2.0</v>
      </c>
      <c r="Q19" s="50">
        <v>23.0</v>
      </c>
      <c r="R19" s="50">
        <v>11.0</v>
      </c>
      <c r="S19" s="50">
        <v>15.0</v>
      </c>
      <c r="T19" s="16">
        <f t="shared" si="9"/>
        <v>0.08695652174</v>
      </c>
      <c r="U19" s="15">
        <f t="shared" si="10"/>
        <v>21010</v>
      </c>
      <c r="V19" s="40">
        <f t="shared" si="11"/>
        <v>1</v>
      </c>
      <c r="W19" s="16">
        <f t="shared" si="12"/>
        <v>0.4782608696</v>
      </c>
      <c r="X19" s="31"/>
      <c r="Y19" s="50">
        <v>8685.0</v>
      </c>
      <c r="Z19" s="29"/>
      <c r="AA19" s="33"/>
      <c r="AC19" s="27" t="s">
        <v>75</v>
      </c>
      <c r="AD19" s="27" t="s">
        <v>76</v>
      </c>
      <c r="AE19" s="27" t="s">
        <v>77</v>
      </c>
      <c r="AF19" s="27" t="s">
        <v>16</v>
      </c>
      <c r="AG19" s="27" t="s">
        <v>17</v>
      </c>
      <c r="AH19" s="27" t="s">
        <v>43</v>
      </c>
      <c r="AI19" s="27" t="s">
        <v>44</v>
      </c>
    </row>
    <row r="20">
      <c r="A20" s="28">
        <v>46308.0</v>
      </c>
      <c r="B20" s="10" t="str">
        <f t="shared" si="2"/>
        <v>火</v>
      </c>
      <c r="C20" s="29"/>
      <c r="D20" s="11">
        <f t="shared" si="3"/>
        <v>0</v>
      </c>
      <c r="E20" s="49">
        <v>22110.0</v>
      </c>
      <c r="F20" s="49">
        <v>42020.0</v>
      </c>
      <c r="G20" s="29"/>
      <c r="H20" s="29"/>
      <c r="I20" s="11">
        <f t="shared" si="4"/>
        <v>64130</v>
      </c>
      <c r="J20" s="11">
        <f t="shared" si="5"/>
        <v>1167391</v>
      </c>
      <c r="K20" s="12" t="str">
        <f t="shared" ref="K20:L20" si="27">IF(I20="","",IFERROR(I20/C20,""))</f>
        <v/>
      </c>
      <c r="L20" s="12" t="str">
        <f t="shared" si="27"/>
        <v/>
      </c>
      <c r="M20" s="11" t="str">
        <f t="shared" si="7"/>
        <v/>
      </c>
      <c r="N20" s="30" t="str">
        <f t="shared" si="8"/>
        <v>予算未入力</v>
      </c>
      <c r="O20" s="50">
        <v>3.0</v>
      </c>
      <c r="P20" s="50">
        <v>3.0</v>
      </c>
      <c r="Q20" s="50">
        <v>10.0</v>
      </c>
      <c r="R20" s="50">
        <v>4.0</v>
      </c>
      <c r="S20" s="50">
        <v>5.0</v>
      </c>
      <c r="T20" s="12">
        <f t="shared" si="9"/>
        <v>0.3</v>
      </c>
      <c r="U20" s="11">
        <f t="shared" si="10"/>
        <v>21376.66667</v>
      </c>
      <c r="V20" s="32">
        <f t="shared" si="11"/>
        <v>1</v>
      </c>
      <c r="W20" s="12">
        <f t="shared" si="12"/>
        <v>0.4</v>
      </c>
      <c r="X20" s="31"/>
      <c r="Y20" s="50">
        <v>8682.0</v>
      </c>
      <c r="Z20" s="29"/>
      <c r="AA20" s="33"/>
      <c r="AC20" s="36">
        <v>1.0</v>
      </c>
      <c r="AD20" s="42" t="str">
        <f>IF($AK$18+7*(1-1)&gt;$A$38,"",TEXT($AK$18+7*(1-1),"m/d")&amp;"-"&amp;TEXT($AK$18+7*(1-1)+6,"m/d"))</f>
        <v>10/5-10/11</v>
      </c>
      <c r="AE20" s="35">
        <f>IF($AD20="","",(SUMIFS($I$8:$I$38,$A$8:$A$38,"&gt;="&amp;$AK$18+7*(1-1),$A$8:$A$38,"&lt;="&amp;$AK$18+7*(1-1)+6)+SUMIFS('2026年11月'!$I$8:$I$37,'2026年11月'!$A$8:$A$37,"&gt;="&amp;$AK$18+7*(1-1),'2026年11月'!$A$8:$A$37,"&lt;="&amp;$AK$18+7*(1-1)+6)))</f>
        <v>714262</v>
      </c>
      <c r="AF20" s="37">
        <f>IF($AD20="","",IFERROR((SUMIFS($O$8:$O$38,$A$8:$A$38,"&gt;="&amp;$AK$18+7*(1-1),$A$8:$A$38,"&lt;="&amp;$AK$18+7*(1-1)+6)+SUMIFS('2026年11月'!$O$8:$O$37,'2026年11月'!$A$8:$A$37,"&gt;="&amp;$AK$18+7*(1-1),'2026年11月'!$A$8:$A$37,"&lt;="&amp;$AK$18+7*(1-1)+6))/(SUMIFS($Q$8:$Q$38,$A$8:$A$38,"&gt;="&amp;$AK$18+7*(1-1),$A$8:$A$38,"&lt;="&amp;$AK$18+7*(1-1)+6)+SUMIFS('2026年11月'!$Q$8:$Q$37,'2026年11月'!$A$8:$A$37,"&gt;="&amp;$AK$18+7*(1-1),'2026年11月'!$A$8:$A$37,"&lt;="&amp;$AK$18+7*(1-1)+6)),""))</f>
        <v>0.2290076336</v>
      </c>
      <c r="AG20" s="35">
        <f>IF($AD20="","",IFERROR((SUMIFS($I$8:$I$38,$A$8:$A$38,"&gt;="&amp;$AK$18+7*(1-1),$A$8:$A$38,"&lt;="&amp;$AK$18+7*(1-1)+6)+SUMIFS('2026年11月'!$I$8:$I$37,'2026年11月'!$A$8:$A$37,"&gt;="&amp;$AK$18+7*(1-1),'2026年11月'!$A$8:$A$37,"&lt;="&amp;$AK$18+7*(1-1)+6))/(SUMIFS($O$8:$O$38,$A$8:$A$38,"&gt;="&amp;$AK$18+7*(1-1),$A$8:$A$38,"&lt;="&amp;$AK$18+7*(1-1)+6)+SUMIFS('2026年11月'!$O$8:$O$37,'2026年11月'!$A$8:$A$37,"&gt;="&amp;$AK$18+7*(1-1),'2026年11月'!$A$8:$A$37,"&lt;="&amp;$AK$18+7*(1-1)+6)),""))</f>
        <v>23808.73333</v>
      </c>
      <c r="AH20" s="43">
        <f>IF($AD20="","",IFERROR((SUMIFS($P$8:$P$38,$A$8:$A$38,"&gt;="&amp;$AK$18+7*(1-1),$A$8:$A$38,"&lt;="&amp;$AK$18+7*(1-1)+6)+SUMIFS('2026年11月'!$P$8:$P$37,'2026年11月'!$A$8:$A$37,"&gt;="&amp;$AK$18+7*(1-1),'2026年11月'!$A$8:$A$37,"&lt;="&amp;$AK$18+7*(1-1)+6))/(SUMIFS($O$8:$O$38,$A$8:$A$38,"&gt;="&amp;$AK$18+7*(1-1),$A$8:$A$38,"&lt;="&amp;$AK$18+7*(1-1)+6)+SUMIFS('2026年11月'!$O$8:$O$37,'2026年11月'!$A$8:$A$37,"&gt;="&amp;$AK$18+7*(1-1),'2026年11月'!$A$8:$A$37,"&lt;="&amp;$AK$18+7*(1-1)+6)),""))</f>
        <v>1.066666667</v>
      </c>
      <c r="AI20" s="37">
        <f>IF($AD20="","",IFERROR((SUMIFS($R$8:$R$38,$A$8:$A$38,"&gt;="&amp;$AK$18+7*(1-1),$A$8:$A$38,"&lt;="&amp;$AK$18+7*(1-1)+6)+SUMIFS('2026年11月'!$R$8:$R$37,'2026年11月'!$A$8:$A$37,"&gt;="&amp;$AK$18+7*(1-1),'2026年11月'!$A$8:$A$37,"&lt;="&amp;$AK$18+7*(1-1)+6))/(SUMIFS($Q$8:$Q$38,$A$8:$A$38,"&gt;="&amp;$AK$18+7*(1-1),$A$8:$A$38,"&lt;="&amp;$AK$18+7*(1-1)+6)+SUMIFS('2026年11月'!$Q$8:$Q$37,'2026年11月'!$A$8:$A$37,"&gt;="&amp;$AK$18+7*(1-1),'2026年11月'!$A$8:$A$37,"&lt;="&amp;$AK$18+7*(1-1)+6)),""))</f>
        <v>0.3816793893</v>
      </c>
    </row>
    <row r="21" ht="15.75" customHeight="1">
      <c r="A21" s="38">
        <v>46309.0</v>
      </c>
      <c r="B21" s="14" t="str">
        <f t="shared" si="2"/>
        <v>水</v>
      </c>
      <c r="C21" s="29"/>
      <c r="D21" s="15">
        <f t="shared" si="3"/>
        <v>0</v>
      </c>
      <c r="E21" s="49">
        <v>44220.0</v>
      </c>
      <c r="F21" s="49">
        <v>97020.0</v>
      </c>
      <c r="G21" s="29"/>
      <c r="H21" s="29"/>
      <c r="I21" s="15">
        <f t="shared" si="4"/>
        <v>141240</v>
      </c>
      <c r="J21" s="15">
        <f t="shared" si="5"/>
        <v>1308631</v>
      </c>
      <c r="K21" s="16" t="str">
        <f t="shared" ref="K21:L21" si="28">IF(I21="","",IFERROR(I21/C21,""))</f>
        <v/>
      </c>
      <c r="L21" s="16" t="str">
        <f t="shared" si="28"/>
        <v/>
      </c>
      <c r="M21" s="15" t="str">
        <f t="shared" si="7"/>
        <v/>
      </c>
      <c r="N21" s="39" t="str">
        <f t="shared" si="8"/>
        <v>予算未入力</v>
      </c>
      <c r="O21" s="50">
        <v>5.0</v>
      </c>
      <c r="P21" s="50">
        <v>6.0</v>
      </c>
      <c r="Q21" s="50">
        <v>16.0</v>
      </c>
      <c r="R21" s="50">
        <v>6.0</v>
      </c>
      <c r="S21" s="50">
        <v>16.0</v>
      </c>
      <c r="T21" s="16">
        <f t="shared" si="9"/>
        <v>0.3125</v>
      </c>
      <c r="U21" s="15">
        <f t="shared" si="10"/>
        <v>28248</v>
      </c>
      <c r="V21" s="40">
        <f t="shared" si="11"/>
        <v>1.2</v>
      </c>
      <c r="W21" s="16">
        <f t="shared" si="12"/>
        <v>0.375</v>
      </c>
      <c r="X21" s="31"/>
      <c r="Y21" s="50">
        <v>8714.0</v>
      </c>
      <c r="Z21" s="29"/>
      <c r="AA21" s="52" t="s">
        <v>126</v>
      </c>
      <c r="AC21" s="36">
        <v>2.0</v>
      </c>
      <c r="AD21" s="42" t="str">
        <f>IF($AK$18+7*(2-1)&gt;$A$38,"",TEXT($AK$18+7*(2-1),"m/d")&amp;"-"&amp;TEXT($AK$18+7*(2-1)+6,"m/d"))</f>
        <v>10/12-10/18</v>
      </c>
      <c r="AE21" s="35">
        <f>IF($AD21="","",(SUMIFS($I$8:$I$38,$A$8:$A$38,"&gt;="&amp;$AK$18+7*(2-1),$A$8:$A$38,"&lt;="&amp;$AK$18+7*(2-1)+6)+SUMIFS('2026年11月'!$I$8:$I$37,'2026年11月'!$A$8:$A$37,"&gt;="&amp;$AK$18+7*(2-1),'2026年11月'!$A$8:$A$37,"&lt;="&amp;$AK$18+7*(2-1)+6)))</f>
        <v>833694</v>
      </c>
      <c r="AF21" s="37">
        <f>IF($AD21="","",IFERROR((SUMIFS($O$8:$O$38,$A$8:$A$38,"&gt;="&amp;$AK$18+7*(2-1),$A$8:$A$38,"&lt;="&amp;$AK$18+7*(2-1)+6)+SUMIFS('2026年11月'!$O$8:$O$37,'2026年11月'!$A$8:$A$37,"&gt;="&amp;$AK$18+7*(2-1),'2026年11月'!$A$8:$A$37,"&lt;="&amp;$AK$18+7*(2-1)+6))/(SUMIFS($Q$8:$Q$38,$A$8:$A$38,"&gt;="&amp;$AK$18+7*(2-1),$A$8:$A$38,"&lt;="&amp;$AK$18+7*(2-1)+6)+SUMIFS('2026年11月'!$Q$8:$Q$37,'2026年11月'!$A$8:$A$37,"&gt;="&amp;$AK$18+7*(2-1),'2026年11月'!$A$8:$A$37,"&lt;="&amp;$AK$18+7*(2-1)+6)),""))</f>
        <v>0.255033557</v>
      </c>
      <c r="AG21" s="35">
        <f>IF($AD21="","",IFERROR((SUMIFS($I$8:$I$38,$A$8:$A$38,"&gt;="&amp;$AK$18+7*(2-1),$A$8:$A$38,"&lt;="&amp;$AK$18+7*(2-1)+6)+SUMIFS('2026年11月'!$I$8:$I$37,'2026年11月'!$A$8:$A$37,"&gt;="&amp;$AK$18+7*(2-1),'2026年11月'!$A$8:$A$37,"&lt;="&amp;$AK$18+7*(2-1)+6))/(SUMIFS($O$8:$O$38,$A$8:$A$38,"&gt;="&amp;$AK$18+7*(2-1),$A$8:$A$38,"&lt;="&amp;$AK$18+7*(2-1)+6)+SUMIFS('2026年11月'!$O$8:$O$37,'2026年11月'!$A$8:$A$37,"&gt;="&amp;$AK$18+7*(2-1),'2026年11月'!$A$8:$A$37,"&lt;="&amp;$AK$18+7*(2-1)+6)),""))</f>
        <v>21939.31579</v>
      </c>
      <c r="AH21" s="43">
        <f>IF($AD21="","",IFERROR((SUMIFS($P$8:$P$38,$A$8:$A$38,"&gt;="&amp;$AK$18+7*(2-1),$A$8:$A$38,"&lt;="&amp;$AK$18+7*(2-1)+6)+SUMIFS('2026年11月'!$P$8:$P$37,'2026年11月'!$A$8:$A$37,"&gt;="&amp;$AK$18+7*(2-1),'2026年11月'!$A$8:$A$37,"&lt;="&amp;$AK$18+7*(2-1)+6))/(SUMIFS($O$8:$O$38,$A$8:$A$38,"&gt;="&amp;$AK$18+7*(2-1),$A$8:$A$38,"&lt;="&amp;$AK$18+7*(2-1)+6)+SUMIFS('2026年11月'!$O$8:$O$37,'2026年11月'!$A$8:$A$37,"&gt;="&amp;$AK$18+7*(2-1),'2026年11月'!$A$8:$A$37,"&lt;="&amp;$AK$18+7*(2-1)+6)),""))</f>
        <v>1.052631579</v>
      </c>
      <c r="AI21" s="37">
        <f>IF($AD21="","",IFERROR((SUMIFS($R$8:$R$38,$A$8:$A$38,"&gt;="&amp;$AK$18+7*(2-1),$A$8:$A$38,"&lt;="&amp;$AK$18+7*(2-1)+6)+SUMIFS('2026年11月'!$R$8:$R$37,'2026年11月'!$A$8:$A$37,"&gt;="&amp;$AK$18+7*(2-1),'2026年11月'!$A$8:$A$37,"&lt;="&amp;$AK$18+7*(2-1)+6))/(SUMIFS($Q$8:$Q$38,$A$8:$A$38,"&gt;="&amp;$AK$18+7*(2-1),$A$8:$A$38,"&lt;="&amp;$AK$18+7*(2-1)+6)+SUMIFS('2026年11月'!$Q$8:$Q$37,'2026年11月'!$A$8:$A$37,"&gt;="&amp;$AK$18+7*(2-1),'2026年11月'!$A$8:$A$37,"&lt;="&amp;$AK$18+7*(2-1)+6)),""))</f>
        <v>0.3758389262</v>
      </c>
    </row>
    <row r="22" ht="15.75" customHeight="1">
      <c r="A22" s="28">
        <v>46310.0</v>
      </c>
      <c r="B22" s="10" t="str">
        <f t="shared" si="2"/>
        <v>木</v>
      </c>
      <c r="C22" s="29"/>
      <c r="D22" s="11">
        <f t="shared" si="3"/>
        <v>0</v>
      </c>
      <c r="E22" s="49">
        <v>39820.0</v>
      </c>
      <c r="F22" s="49">
        <v>67210.0</v>
      </c>
      <c r="G22" s="29"/>
      <c r="H22" s="29"/>
      <c r="I22" s="11">
        <f t="shared" si="4"/>
        <v>107030</v>
      </c>
      <c r="J22" s="11">
        <f t="shared" si="5"/>
        <v>1415661</v>
      </c>
      <c r="K22" s="12" t="str">
        <f t="shared" ref="K22:L22" si="29">IF(I22="","",IFERROR(I22/C22,""))</f>
        <v/>
      </c>
      <c r="L22" s="12" t="str">
        <f t="shared" si="29"/>
        <v/>
      </c>
      <c r="M22" s="11" t="str">
        <f t="shared" si="7"/>
        <v/>
      </c>
      <c r="N22" s="30" t="str">
        <f t="shared" si="8"/>
        <v>予算未入力</v>
      </c>
      <c r="O22" s="50">
        <v>5.0</v>
      </c>
      <c r="P22" s="50">
        <v>5.0</v>
      </c>
      <c r="Q22" s="50">
        <v>13.0</v>
      </c>
      <c r="R22" s="50">
        <v>6.0</v>
      </c>
      <c r="S22" s="50">
        <v>13.0</v>
      </c>
      <c r="T22" s="12">
        <f t="shared" si="9"/>
        <v>0.3846153846</v>
      </c>
      <c r="U22" s="11">
        <f t="shared" si="10"/>
        <v>21406</v>
      </c>
      <c r="V22" s="32">
        <f t="shared" si="11"/>
        <v>1</v>
      </c>
      <c r="W22" s="12">
        <f t="shared" si="12"/>
        <v>0.4615384615</v>
      </c>
      <c r="X22" s="31"/>
      <c r="Y22" s="50">
        <v>8738.0</v>
      </c>
      <c r="Z22" s="29"/>
      <c r="AA22" s="33"/>
      <c r="AC22" s="36">
        <v>3.0</v>
      </c>
      <c r="AD22" s="42" t="str">
        <f>IF($AK$18+7*(3-1)&gt;$A$38,"",TEXT($AK$18+7*(3-1),"m/d")&amp;"-"&amp;TEXT($AK$18+7*(3-1)+6,"m/d"))</f>
        <v>10/19-10/25</v>
      </c>
      <c r="AE22" s="35">
        <f>IF($AD22="","",(SUMIFS($I$8:$I$38,$A$8:$A$38,"&gt;="&amp;$AK$18+7*(3-1),$A$8:$A$38,"&lt;="&amp;$AK$18+7*(3-1)+6)+SUMIFS('2026年11月'!$I$8:$I$37,'2026年11月'!$A$8:$A$37,"&gt;="&amp;$AK$18+7*(3-1),'2026年11月'!$A$8:$A$37,"&lt;="&amp;$AK$18+7*(3-1)+6)))</f>
        <v>0</v>
      </c>
      <c r="AF22" s="37" t="str">
        <f>IF($AD22="","",IFERROR((SUMIFS($O$8:$O$38,$A$8:$A$38,"&gt;="&amp;$AK$18+7*(3-1),$A$8:$A$38,"&lt;="&amp;$AK$18+7*(3-1)+6)+SUMIFS('2026年11月'!$O$8:$O$37,'2026年11月'!$A$8:$A$37,"&gt;="&amp;$AK$18+7*(3-1),'2026年11月'!$A$8:$A$37,"&lt;="&amp;$AK$18+7*(3-1)+6))/(SUMIFS($Q$8:$Q$38,$A$8:$A$38,"&gt;="&amp;$AK$18+7*(3-1),$A$8:$A$38,"&lt;="&amp;$AK$18+7*(3-1)+6)+SUMIFS('2026年11月'!$Q$8:$Q$37,'2026年11月'!$A$8:$A$37,"&gt;="&amp;$AK$18+7*(3-1),'2026年11月'!$A$8:$A$37,"&lt;="&amp;$AK$18+7*(3-1)+6)),""))</f>
        <v/>
      </c>
      <c r="AG22" s="35" t="str">
        <f>IF($AD22="","",IFERROR((SUMIFS($I$8:$I$38,$A$8:$A$38,"&gt;="&amp;$AK$18+7*(3-1),$A$8:$A$38,"&lt;="&amp;$AK$18+7*(3-1)+6)+SUMIFS('2026年11月'!$I$8:$I$37,'2026年11月'!$A$8:$A$37,"&gt;="&amp;$AK$18+7*(3-1),'2026年11月'!$A$8:$A$37,"&lt;="&amp;$AK$18+7*(3-1)+6))/(SUMIFS($O$8:$O$38,$A$8:$A$38,"&gt;="&amp;$AK$18+7*(3-1),$A$8:$A$38,"&lt;="&amp;$AK$18+7*(3-1)+6)+SUMIFS('2026年11月'!$O$8:$O$37,'2026年11月'!$A$8:$A$37,"&gt;="&amp;$AK$18+7*(3-1),'2026年11月'!$A$8:$A$37,"&lt;="&amp;$AK$18+7*(3-1)+6)),""))</f>
        <v/>
      </c>
      <c r="AH22" s="43" t="str">
        <f>IF($AD22="","",IFERROR((SUMIFS($P$8:$P$38,$A$8:$A$38,"&gt;="&amp;$AK$18+7*(3-1),$A$8:$A$38,"&lt;="&amp;$AK$18+7*(3-1)+6)+SUMIFS('2026年11月'!$P$8:$P$37,'2026年11月'!$A$8:$A$37,"&gt;="&amp;$AK$18+7*(3-1),'2026年11月'!$A$8:$A$37,"&lt;="&amp;$AK$18+7*(3-1)+6))/(SUMIFS($O$8:$O$38,$A$8:$A$38,"&gt;="&amp;$AK$18+7*(3-1),$A$8:$A$38,"&lt;="&amp;$AK$18+7*(3-1)+6)+SUMIFS('2026年11月'!$O$8:$O$37,'2026年11月'!$A$8:$A$37,"&gt;="&amp;$AK$18+7*(3-1),'2026年11月'!$A$8:$A$37,"&lt;="&amp;$AK$18+7*(3-1)+6)),""))</f>
        <v/>
      </c>
      <c r="AI22" s="37" t="str">
        <f>IF($AD22="","",IFERROR((SUMIFS($R$8:$R$38,$A$8:$A$38,"&gt;="&amp;$AK$18+7*(3-1),$A$8:$A$38,"&lt;="&amp;$AK$18+7*(3-1)+6)+SUMIFS('2026年11月'!$R$8:$R$37,'2026年11月'!$A$8:$A$37,"&gt;="&amp;$AK$18+7*(3-1),'2026年11月'!$A$8:$A$37,"&lt;="&amp;$AK$18+7*(3-1)+6))/(SUMIFS($Q$8:$Q$38,$A$8:$A$38,"&gt;="&amp;$AK$18+7*(3-1),$A$8:$A$38,"&lt;="&amp;$AK$18+7*(3-1)+6)+SUMIFS('2026年11月'!$Q$8:$Q$37,'2026年11月'!$A$8:$A$37,"&gt;="&amp;$AK$18+7*(3-1),'2026年11月'!$A$8:$A$37,"&lt;="&amp;$AK$18+7*(3-1)+6)),""))</f>
        <v/>
      </c>
    </row>
    <row r="23" ht="15.75" customHeight="1">
      <c r="A23" s="38">
        <v>46311.0</v>
      </c>
      <c r="B23" s="14" t="str">
        <f t="shared" si="2"/>
        <v>金</v>
      </c>
      <c r="C23" s="29"/>
      <c r="D23" s="15">
        <f t="shared" si="3"/>
        <v>0</v>
      </c>
      <c r="E23" s="49">
        <v>97240.0</v>
      </c>
      <c r="F23" s="49">
        <v>53240.0</v>
      </c>
      <c r="G23" s="29"/>
      <c r="H23" s="29"/>
      <c r="I23" s="15">
        <f t="shared" si="4"/>
        <v>150480</v>
      </c>
      <c r="J23" s="15">
        <f t="shared" si="5"/>
        <v>1566141</v>
      </c>
      <c r="K23" s="16" t="str">
        <f t="shared" ref="K23:L23" si="30">IF(I23="","",IFERROR(I23/C23,""))</f>
        <v/>
      </c>
      <c r="L23" s="16" t="str">
        <f t="shared" si="30"/>
        <v/>
      </c>
      <c r="M23" s="15" t="str">
        <f t="shared" si="7"/>
        <v/>
      </c>
      <c r="N23" s="39" t="str">
        <f t="shared" si="8"/>
        <v>予算未入力</v>
      </c>
      <c r="O23" s="50">
        <v>7.0</v>
      </c>
      <c r="P23" s="50">
        <v>7.0</v>
      </c>
      <c r="Q23" s="50">
        <v>18.0</v>
      </c>
      <c r="R23" s="50">
        <v>7.0</v>
      </c>
      <c r="S23" s="50">
        <v>8.0</v>
      </c>
      <c r="T23" s="16">
        <f t="shared" si="9"/>
        <v>0.3888888889</v>
      </c>
      <c r="U23" s="15">
        <f t="shared" si="10"/>
        <v>21497.14286</v>
      </c>
      <c r="V23" s="40">
        <f t="shared" si="11"/>
        <v>1</v>
      </c>
      <c r="W23" s="16">
        <f t="shared" si="12"/>
        <v>0.3888888889</v>
      </c>
      <c r="X23" s="31"/>
      <c r="Y23" s="50">
        <v>8768.0</v>
      </c>
      <c r="Z23" s="29"/>
      <c r="AA23" s="33"/>
      <c r="AC23" s="36">
        <v>4.0</v>
      </c>
      <c r="AD23" s="42" t="str">
        <f>IF($AK$18+7*(4-1)&gt;$A$38,"",TEXT($AK$18+7*(4-1),"m/d")&amp;"-"&amp;TEXT($AK$18+7*(4-1)+6,"m/d"))</f>
        <v>10/26-11/1</v>
      </c>
      <c r="AE23" s="35">
        <f>IF($AD23="","",(SUMIFS($I$8:$I$38,$A$8:$A$38,"&gt;="&amp;$AK$18+7*(4-1),$A$8:$A$38,"&lt;="&amp;$AK$18+7*(4-1)+6)+SUMIFS('2026年11月'!$I$8:$I$37,'2026年11月'!$A$8:$A$37,"&gt;="&amp;$AK$18+7*(4-1),'2026年11月'!$A$8:$A$37,"&lt;="&amp;$AK$18+7*(4-1)+6)))</f>
        <v>0</v>
      </c>
      <c r="AF23" s="37" t="str">
        <f>IF($AD23="","",IFERROR((SUMIFS($O$8:$O$38,$A$8:$A$38,"&gt;="&amp;$AK$18+7*(4-1),$A$8:$A$38,"&lt;="&amp;$AK$18+7*(4-1)+6)+SUMIFS('2026年11月'!$O$8:$O$37,'2026年11月'!$A$8:$A$37,"&gt;="&amp;$AK$18+7*(4-1),'2026年11月'!$A$8:$A$37,"&lt;="&amp;$AK$18+7*(4-1)+6))/(SUMIFS($Q$8:$Q$38,$A$8:$A$38,"&gt;="&amp;$AK$18+7*(4-1),$A$8:$A$38,"&lt;="&amp;$AK$18+7*(4-1)+6)+SUMIFS('2026年11月'!$Q$8:$Q$37,'2026年11月'!$A$8:$A$37,"&gt;="&amp;$AK$18+7*(4-1),'2026年11月'!$A$8:$A$37,"&lt;="&amp;$AK$18+7*(4-1)+6)),""))</f>
        <v/>
      </c>
      <c r="AG23" s="35" t="str">
        <f>IF($AD23="","",IFERROR((SUMIFS($I$8:$I$38,$A$8:$A$38,"&gt;="&amp;$AK$18+7*(4-1),$A$8:$A$38,"&lt;="&amp;$AK$18+7*(4-1)+6)+SUMIFS('2026年11月'!$I$8:$I$37,'2026年11月'!$A$8:$A$37,"&gt;="&amp;$AK$18+7*(4-1),'2026年11月'!$A$8:$A$37,"&lt;="&amp;$AK$18+7*(4-1)+6))/(SUMIFS($O$8:$O$38,$A$8:$A$38,"&gt;="&amp;$AK$18+7*(4-1),$A$8:$A$38,"&lt;="&amp;$AK$18+7*(4-1)+6)+SUMIFS('2026年11月'!$O$8:$O$37,'2026年11月'!$A$8:$A$37,"&gt;="&amp;$AK$18+7*(4-1),'2026年11月'!$A$8:$A$37,"&lt;="&amp;$AK$18+7*(4-1)+6)),""))</f>
        <v/>
      </c>
      <c r="AH23" s="43" t="str">
        <f>IF($AD23="","",IFERROR((SUMIFS($P$8:$P$38,$A$8:$A$38,"&gt;="&amp;$AK$18+7*(4-1),$A$8:$A$38,"&lt;="&amp;$AK$18+7*(4-1)+6)+SUMIFS('2026年11月'!$P$8:$P$37,'2026年11月'!$A$8:$A$37,"&gt;="&amp;$AK$18+7*(4-1),'2026年11月'!$A$8:$A$37,"&lt;="&amp;$AK$18+7*(4-1)+6))/(SUMIFS($O$8:$O$38,$A$8:$A$38,"&gt;="&amp;$AK$18+7*(4-1),$A$8:$A$38,"&lt;="&amp;$AK$18+7*(4-1)+6)+SUMIFS('2026年11月'!$O$8:$O$37,'2026年11月'!$A$8:$A$37,"&gt;="&amp;$AK$18+7*(4-1),'2026年11月'!$A$8:$A$37,"&lt;="&amp;$AK$18+7*(4-1)+6)),""))</f>
        <v/>
      </c>
      <c r="AI23" s="37" t="str">
        <f>IF($AD23="","",IFERROR((SUMIFS($R$8:$R$38,$A$8:$A$38,"&gt;="&amp;$AK$18+7*(4-1),$A$8:$A$38,"&lt;="&amp;$AK$18+7*(4-1)+6)+SUMIFS('2026年11月'!$R$8:$R$37,'2026年11月'!$A$8:$A$37,"&gt;="&amp;$AK$18+7*(4-1),'2026年11月'!$A$8:$A$37,"&lt;="&amp;$AK$18+7*(4-1)+6))/(SUMIFS($Q$8:$Q$38,$A$8:$A$38,"&gt;="&amp;$AK$18+7*(4-1),$A$8:$A$38,"&lt;="&amp;$AK$18+7*(4-1)+6)+SUMIFS('2026年11月'!$Q$8:$Q$37,'2026年11月'!$A$8:$A$37,"&gt;="&amp;$AK$18+7*(4-1),'2026年11月'!$A$8:$A$37,"&lt;="&amp;$AK$18+7*(4-1)+6)),""))</f>
        <v/>
      </c>
    </row>
    <row r="24" ht="15.75" customHeight="1">
      <c r="A24" s="28">
        <v>46312.0</v>
      </c>
      <c r="B24" s="10" t="str">
        <f t="shared" si="2"/>
        <v>土</v>
      </c>
      <c r="C24" s="29"/>
      <c r="D24" s="11">
        <f t="shared" si="3"/>
        <v>0</v>
      </c>
      <c r="E24" s="49">
        <v>0.0</v>
      </c>
      <c r="F24" s="49">
        <v>135520.0</v>
      </c>
      <c r="G24" s="29"/>
      <c r="H24" s="29"/>
      <c r="I24" s="11">
        <f t="shared" si="4"/>
        <v>135520</v>
      </c>
      <c r="J24" s="11">
        <f t="shared" si="5"/>
        <v>1701661</v>
      </c>
      <c r="K24" s="12" t="str">
        <f t="shared" ref="K24:L24" si="31">IF(I24="","",IFERROR(I24/C24,""))</f>
        <v/>
      </c>
      <c r="L24" s="12" t="str">
        <f t="shared" si="31"/>
        <v/>
      </c>
      <c r="M24" s="11" t="str">
        <f t="shared" si="7"/>
        <v/>
      </c>
      <c r="N24" s="30" t="str">
        <f t="shared" si="8"/>
        <v>予算未入力</v>
      </c>
      <c r="O24" s="50">
        <v>7.0</v>
      </c>
      <c r="P24" s="50">
        <v>7.0</v>
      </c>
      <c r="Q24" s="50">
        <v>35.0</v>
      </c>
      <c r="R24" s="50">
        <v>13.0</v>
      </c>
      <c r="S24" s="50">
        <v>17.0</v>
      </c>
      <c r="T24" s="12">
        <f t="shared" si="9"/>
        <v>0.2</v>
      </c>
      <c r="U24" s="11">
        <f t="shared" si="10"/>
        <v>19360</v>
      </c>
      <c r="V24" s="32">
        <f t="shared" si="11"/>
        <v>1</v>
      </c>
      <c r="W24" s="12">
        <f t="shared" si="12"/>
        <v>0.3714285714</v>
      </c>
      <c r="X24" s="31"/>
      <c r="Y24" s="50">
        <v>8792.0</v>
      </c>
      <c r="Z24" s="29"/>
      <c r="AA24" s="33"/>
      <c r="AC24" s="36">
        <v>5.0</v>
      </c>
      <c r="AD24" s="42" t="str">
        <f>IF($AK$18+7*(5-1)&gt;$A$38,"",TEXT($AK$18+7*(5-1),"m/d")&amp;"-"&amp;TEXT($AK$18+7*(5-1)+6,"m/d"))</f>
        <v/>
      </c>
      <c r="AE24" s="35" t="str">
        <f>IF($AD24="","",(SUMIFS($I$8:$I$38,$A$8:$A$38,"&gt;="&amp;$AK$18+7*(5-1),$A$8:$A$38,"&lt;="&amp;$AK$18+7*(5-1)+6)+SUMIFS('2026年11月'!$I$8:$I$37,'2026年11月'!$A$8:$A$37,"&gt;="&amp;$AK$18+7*(5-1),'2026年11月'!$A$8:$A$37,"&lt;="&amp;$AK$18+7*(5-1)+6)))</f>
        <v/>
      </c>
      <c r="AF24" s="37" t="str">
        <f>IF($AD24="","",IFERROR((SUMIFS($O$8:$O$38,$A$8:$A$38,"&gt;="&amp;$AK$18+7*(5-1),$A$8:$A$38,"&lt;="&amp;$AK$18+7*(5-1)+6)+SUMIFS('2026年11月'!$O$8:$O$37,'2026年11月'!$A$8:$A$37,"&gt;="&amp;$AK$18+7*(5-1),'2026年11月'!$A$8:$A$37,"&lt;="&amp;$AK$18+7*(5-1)+6))/(SUMIFS($Q$8:$Q$38,$A$8:$A$38,"&gt;="&amp;$AK$18+7*(5-1),$A$8:$A$38,"&lt;="&amp;$AK$18+7*(5-1)+6)+SUMIFS('2026年11月'!$Q$8:$Q$37,'2026年11月'!$A$8:$A$37,"&gt;="&amp;$AK$18+7*(5-1),'2026年11月'!$A$8:$A$37,"&lt;="&amp;$AK$18+7*(5-1)+6)),""))</f>
        <v/>
      </c>
      <c r="AG24" s="35" t="str">
        <f>IF($AD24="","",IFERROR((SUMIFS($I$8:$I$38,$A$8:$A$38,"&gt;="&amp;$AK$18+7*(5-1),$A$8:$A$38,"&lt;="&amp;$AK$18+7*(5-1)+6)+SUMIFS('2026年11月'!$I$8:$I$37,'2026年11月'!$A$8:$A$37,"&gt;="&amp;$AK$18+7*(5-1),'2026年11月'!$A$8:$A$37,"&lt;="&amp;$AK$18+7*(5-1)+6))/(SUMIFS($O$8:$O$38,$A$8:$A$38,"&gt;="&amp;$AK$18+7*(5-1),$A$8:$A$38,"&lt;="&amp;$AK$18+7*(5-1)+6)+SUMIFS('2026年11月'!$O$8:$O$37,'2026年11月'!$A$8:$A$37,"&gt;="&amp;$AK$18+7*(5-1),'2026年11月'!$A$8:$A$37,"&lt;="&amp;$AK$18+7*(5-1)+6)),""))</f>
        <v/>
      </c>
      <c r="AH24" s="43" t="str">
        <f>IF($AD24="","",IFERROR((SUMIFS($P$8:$P$38,$A$8:$A$38,"&gt;="&amp;$AK$18+7*(5-1),$A$8:$A$38,"&lt;="&amp;$AK$18+7*(5-1)+6)+SUMIFS('2026年11月'!$P$8:$P$37,'2026年11月'!$A$8:$A$37,"&gt;="&amp;$AK$18+7*(5-1),'2026年11月'!$A$8:$A$37,"&lt;="&amp;$AK$18+7*(5-1)+6))/(SUMIFS($O$8:$O$38,$A$8:$A$38,"&gt;="&amp;$AK$18+7*(5-1),$A$8:$A$38,"&lt;="&amp;$AK$18+7*(5-1)+6)+SUMIFS('2026年11月'!$O$8:$O$37,'2026年11月'!$A$8:$A$37,"&gt;="&amp;$AK$18+7*(5-1),'2026年11月'!$A$8:$A$37,"&lt;="&amp;$AK$18+7*(5-1)+6)),""))</f>
        <v/>
      </c>
      <c r="AI24" s="37" t="str">
        <f>IF($AD24="","",IFERROR((SUMIFS($R$8:$R$38,$A$8:$A$38,"&gt;="&amp;$AK$18+7*(5-1),$A$8:$A$38,"&lt;="&amp;$AK$18+7*(5-1)+6)+SUMIFS('2026年11月'!$R$8:$R$37,'2026年11月'!$A$8:$A$37,"&gt;="&amp;$AK$18+7*(5-1),'2026年11月'!$A$8:$A$37,"&lt;="&amp;$AK$18+7*(5-1)+6))/(SUMIFS($Q$8:$Q$38,$A$8:$A$38,"&gt;="&amp;$AK$18+7*(5-1),$A$8:$A$38,"&lt;="&amp;$AK$18+7*(5-1)+6)+SUMIFS('2026年11月'!$Q$8:$Q$37,'2026年11月'!$A$8:$A$37,"&gt;="&amp;$AK$18+7*(5-1),'2026年11月'!$A$8:$A$37,"&lt;="&amp;$AK$18+7*(5-1)+6)),""))</f>
        <v/>
      </c>
    </row>
    <row r="25" ht="15.75" customHeight="1">
      <c r="A25" s="38">
        <v>46313.0</v>
      </c>
      <c r="B25" s="14" t="str">
        <f t="shared" si="2"/>
        <v>日</v>
      </c>
      <c r="C25" s="29"/>
      <c r="D25" s="15">
        <f t="shared" si="3"/>
        <v>0</v>
      </c>
      <c r="E25" s="49">
        <v>72076.0</v>
      </c>
      <c r="F25" s="49">
        <v>111198.0</v>
      </c>
      <c r="G25" s="49">
        <v>10000.0</v>
      </c>
      <c r="H25" s="29"/>
      <c r="I25" s="15">
        <f t="shared" si="4"/>
        <v>193274</v>
      </c>
      <c r="J25" s="15">
        <f t="shared" si="5"/>
        <v>1894935</v>
      </c>
      <c r="K25" s="16" t="str">
        <f t="shared" ref="K25:L25" si="32">IF(I25="","",IFERROR(I25/C25,""))</f>
        <v/>
      </c>
      <c r="L25" s="16" t="str">
        <f t="shared" si="32"/>
        <v/>
      </c>
      <c r="M25" s="15" t="str">
        <f t="shared" si="7"/>
        <v/>
      </c>
      <c r="N25" s="39" t="str">
        <f t="shared" si="8"/>
        <v>予算未入力</v>
      </c>
      <c r="O25" s="50">
        <v>9.0</v>
      </c>
      <c r="P25" s="50">
        <v>10.0</v>
      </c>
      <c r="Q25" s="50">
        <v>34.0</v>
      </c>
      <c r="R25" s="50">
        <v>9.0</v>
      </c>
      <c r="S25" s="50">
        <v>15.0</v>
      </c>
      <c r="T25" s="16">
        <f t="shared" si="9"/>
        <v>0.2647058824</v>
      </c>
      <c r="U25" s="15">
        <f t="shared" si="10"/>
        <v>21474.88889</v>
      </c>
      <c r="V25" s="40">
        <f t="shared" si="11"/>
        <v>1.111111111</v>
      </c>
      <c r="W25" s="16">
        <f t="shared" si="12"/>
        <v>0.2647058824</v>
      </c>
      <c r="X25" s="31"/>
      <c r="Y25" s="50">
        <v>8808.0</v>
      </c>
      <c r="Z25" s="29"/>
      <c r="AA25" s="33"/>
      <c r="AC25" s="36">
        <v>6.0</v>
      </c>
      <c r="AD25" s="42" t="str">
        <f>IF($AK$18+7*(6-1)&gt;$A$38,"",TEXT($AK$18+7*(6-1),"m/d")&amp;"-"&amp;TEXT($AK$18+7*(6-1)+6,"m/d"))</f>
        <v/>
      </c>
      <c r="AE25" s="35" t="str">
        <f>IF($AD25="","",(SUMIFS($I$8:$I$38,$A$8:$A$38,"&gt;="&amp;$AK$18+7*(6-1),$A$8:$A$38,"&lt;="&amp;$AK$18+7*(6-1)+6)+SUMIFS('2026年11月'!$I$8:$I$37,'2026年11月'!$A$8:$A$37,"&gt;="&amp;$AK$18+7*(6-1),'2026年11月'!$A$8:$A$37,"&lt;="&amp;$AK$18+7*(6-1)+6)))</f>
        <v/>
      </c>
      <c r="AF25" s="37" t="str">
        <f>IF($AD25="","",IFERROR((SUMIFS($O$8:$O$38,$A$8:$A$38,"&gt;="&amp;$AK$18+7*(6-1),$A$8:$A$38,"&lt;="&amp;$AK$18+7*(6-1)+6)+SUMIFS('2026年11月'!$O$8:$O$37,'2026年11月'!$A$8:$A$37,"&gt;="&amp;$AK$18+7*(6-1),'2026年11月'!$A$8:$A$37,"&lt;="&amp;$AK$18+7*(6-1)+6))/(SUMIFS($Q$8:$Q$38,$A$8:$A$38,"&gt;="&amp;$AK$18+7*(6-1),$A$8:$A$38,"&lt;="&amp;$AK$18+7*(6-1)+6)+SUMIFS('2026年11月'!$Q$8:$Q$37,'2026年11月'!$A$8:$A$37,"&gt;="&amp;$AK$18+7*(6-1),'2026年11月'!$A$8:$A$37,"&lt;="&amp;$AK$18+7*(6-1)+6)),""))</f>
        <v/>
      </c>
      <c r="AG25" s="35" t="str">
        <f>IF($AD25="","",IFERROR((SUMIFS($I$8:$I$38,$A$8:$A$38,"&gt;="&amp;$AK$18+7*(6-1),$A$8:$A$38,"&lt;="&amp;$AK$18+7*(6-1)+6)+SUMIFS('2026年11月'!$I$8:$I$37,'2026年11月'!$A$8:$A$37,"&gt;="&amp;$AK$18+7*(6-1),'2026年11月'!$A$8:$A$37,"&lt;="&amp;$AK$18+7*(6-1)+6))/(SUMIFS($O$8:$O$38,$A$8:$A$38,"&gt;="&amp;$AK$18+7*(6-1),$A$8:$A$38,"&lt;="&amp;$AK$18+7*(6-1)+6)+SUMIFS('2026年11月'!$O$8:$O$37,'2026年11月'!$A$8:$A$37,"&gt;="&amp;$AK$18+7*(6-1),'2026年11月'!$A$8:$A$37,"&lt;="&amp;$AK$18+7*(6-1)+6)),""))</f>
        <v/>
      </c>
      <c r="AH25" s="43" t="str">
        <f>IF($AD25="","",IFERROR((SUMIFS($P$8:$P$38,$A$8:$A$38,"&gt;="&amp;$AK$18+7*(6-1),$A$8:$A$38,"&lt;="&amp;$AK$18+7*(6-1)+6)+SUMIFS('2026年11月'!$P$8:$P$37,'2026年11月'!$A$8:$A$37,"&gt;="&amp;$AK$18+7*(6-1),'2026年11月'!$A$8:$A$37,"&lt;="&amp;$AK$18+7*(6-1)+6))/(SUMIFS($O$8:$O$38,$A$8:$A$38,"&gt;="&amp;$AK$18+7*(6-1),$A$8:$A$38,"&lt;="&amp;$AK$18+7*(6-1)+6)+SUMIFS('2026年11月'!$O$8:$O$37,'2026年11月'!$A$8:$A$37,"&gt;="&amp;$AK$18+7*(6-1),'2026年11月'!$A$8:$A$37,"&lt;="&amp;$AK$18+7*(6-1)+6)),""))</f>
        <v/>
      </c>
      <c r="AI25" s="37" t="str">
        <f>IF($AD25="","",IFERROR((SUMIFS($R$8:$R$38,$A$8:$A$38,"&gt;="&amp;$AK$18+7*(6-1),$A$8:$A$38,"&lt;="&amp;$AK$18+7*(6-1)+6)+SUMIFS('2026年11月'!$R$8:$R$37,'2026年11月'!$A$8:$A$37,"&gt;="&amp;$AK$18+7*(6-1),'2026年11月'!$A$8:$A$37,"&lt;="&amp;$AK$18+7*(6-1)+6))/(SUMIFS($Q$8:$Q$38,$A$8:$A$38,"&gt;="&amp;$AK$18+7*(6-1),$A$8:$A$38,"&lt;="&amp;$AK$18+7*(6-1)+6)+SUMIFS('2026年11月'!$Q$8:$Q$37,'2026年11月'!$A$8:$A$37,"&gt;="&amp;$AK$18+7*(6-1),'2026年11月'!$A$8:$A$37,"&lt;="&amp;$AK$18+7*(6-1)+6)),""))</f>
        <v/>
      </c>
    </row>
    <row r="26" ht="15.75" customHeight="1">
      <c r="A26" s="28">
        <v>46314.0</v>
      </c>
      <c r="B26" s="10" t="str">
        <f t="shared" si="2"/>
        <v>月</v>
      </c>
      <c r="C26" s="29"/>
      <c r="D26" s="11">
        <f t="shared" si="3"/>
        <v>0</v>
      </c>
      <c r="E26" s="29"/>
      <c r="F26" s="29"/>
      <c r="G26" s="29"/>
      <c r="H26" s="29"/>
      <c r="I26" s="11" t="str">
        <f t="shared" si="4"/>
        <v/>
      </c>
      <c r="J26" s="11" t="str">
        <f t="shared" si="5"/>
        <v/>
      </c>
      <c r="K26" s="12" t="str">
        <f t="shared" ref="K26:L26" si="33">IF(I26="","",IFERROR(I26/C26,""))</f>
        <v/>
      </c>
      <c r="L26" s="12" t="str">
        <f t="shared" si="33"/>
        <v/>
      </c>
      <c r="M26" s="11" t="str">
        <f t="shared" si="7"/>
        <v/>
      </c>
      <c r="N26" s="30" t="str">
        <f t="shared" si="8"/>
        <v>—</v>
      </c>
      <c r="O26" s="31"/>
      <c r="P26" s="31"/>
      <c r="Q26" s="31"/>
      <c r="R26" s="31"/>
      <c r="S26" s="31"/>
      <c r="T26" s="12" t="str">
        <f t="shared" si="9"/>
        <v/>
      </c>
      <c r="U26" s="11" t="str">
        <f t="shared" si="10"/>
        <v/>
      </c>
      <c r="V26" s="32" t="str">
        <f t="shared" si="11"/>
        <v/>
      </c>
      <c r="W26" s="12" t="str">
        <f t="shared" si="12"/>
        <v/>
      </c>
      <c r="X26" s="31"/>
      <c r="Y26" s="31"/>
      <c r="Z26" s="29"/>
      <c r="AA26" s="33"/>
      <c r="AC26" s="22" t="s">
        <v>127</v>
      </c>
    </row>
    <row r="27" ht="15.75" customHeight="1">
      <c r="A27" s="38">
        <v>46315.0</v>
      </c>
      <c r="B27" s="14" t="str">
        <f t="shared" si="2"/>
        <v>火</v>
      </c>
      <c r="C27" s="29"/>
      <c r="D27" s="15">
        <f t="shared" si="3"/>
        <v>0</v>
      </c>
      <c r="E27" s="29"/>
      <c r="F27" s="29"/>
      <c r="G27" s="29"/>
      <c r="H27" s="29"/>
      <c r="I27" s="15" t="str">
        <f t="shared" si="4"/>
        <v/>
      </c>
      <c r="J27" s="15" t="str">
        <f t="shared" si="5"/>
        <v/>
      </c>
      <c r="K27" s="16" t="str">
        <f t="shared" ref="K27:L27" si="34">IF(I27="","",IFERROR(I27/C27,""))</f>
        <v/>
      </c>
      <c r="L27" s="16" t="str">
        <f t="shared" si="34"/>
        <v/>
      </c>
      <c r="M27" s="15" t="str">
        <f t="shared" si="7"/>
        <v/>
      </c>
      <c r="N27" s="39" t="str">
        <f t="shared" si="8"/>
        <v>—</v>
      </c>
      <c r="O27" s="31"/>
      <c r="P27" s="31"/>
      <c r="Q27" s="31"/>
      <c r="R27" s="31"/>
      <c r="S27" s="31"/>
      <c r="T27" s="16" t="str">
        <f t="shared" si="9"/>
        <v/>
      </c>
      <c r="U27" s="15" t="str">
        <f t="shared" si="10"/>
        <v/>
      </c>
      <c r="V27" s="40" t="str">
        <f t="shared" si="11"/>
        <v/>
      </c>
      <c r="W27" s="16" t="str">
        <f t="shared" si="12"/>
        <v/>
      </c>
      <c r="X27" s="31"/>
      <c r="Y27" s="31"/>
      <c r="Z27" s="29"/>
      <c r="AA27" s="33"/>
      <c r="AC27" s="22" t="s">
        <v>128</v>
      </c>
    </row>
    <row r="28" ht="15.75" customHeight="1">
      <c r="A28" s="28">
        <v>46316.0</v>
      </c>
      <c r="B28" s="10" t="str">
        <f t="shared" si="2"/>
        <v>水</v>
      </c>
      <c r="C28" s="29"/>
      <c r="D28" s="11">
        <f t="shared" si="3"/>
        <v>0</v>
      </c>
      <c r="E28" s="29"/>
      <c r="F28" s="29"/>
      <c r="G28" s="29"/>
      <c r="H28" s="29"/>
      <c r="I28" s="11" t="str">
        <f t="shared" si="4"/>
        <v/>
      </c>
      <c r="J28" s="11" t="str">
        <f t="shared" si="5"/>
        <v/>
      </c>
      <c r="K28" s="12" t="str">
        <f t="shared" ref="K28:L28" si="35">IF(I28="","",IFERROR(I28/C28,""))</f>
        <v/>
      </c>
      <c r="L28" s="12" t="str">
        <f t="shared" si="35"/>
        <v/>
      </c>
      <c r="M28" s="11" t="str">
        <f t="shared" si="7"/>
        <v/>
      </c>
      <c r="N28" s="30" t="str">
        <f t="shared" si="8"/>
        <v>—</v>
      </c>
      <c r="O28" s="31"/>
      <c r="P28" s="31"/>
      <c r="Q28" s="31"/>
      <c r="R28" s="31"/>
      <c r="S28" s="31"/>
      <c r="T28" s="12" t="str">
        <f t="shared" si="9"/>
        <v/>
      </c>
      <c r="U28" s="11" t="str">
        <f t="shared" si="10"/>
        <v/>
      </c>
      <c r="V28" s="32" t="str">
        <f t="shared" si="11"/>
        <v/>
      </c>
      <c r="W28" s="12" t="str">
        <f t="shared" si="12"/>
        <v/>
      </c>
      <c r="X28" s="31"/>
      <c r="Y28" s="31"/>
      <c r="Z28" s="29"/>
      <c r="AA28" s="33"/>
      <c r="AC28" s="22" t="s">
        <v>129</v>
      </c>
    </row>
    <row r="29" ht="15.75" customHeight="1">
      <c r="A29" s="38">
        <v>46317.0</v>
      </c>
      <c r="B29" s="14" t="str">
        <f t="shared" si="2"/>
        <v>木</v>
      </c>
      <c r="C29" s="29"/>
      <c r="D29" s="15">
        <f t="shared" si="3"/>
        <v>0</v>
      </c>
      <c r="E29" s="29"/>
      <c r="F29" s="29"/>
      <c r="G29" s="29"/>
      <c r="H29" s="29"/>
      <c r="I29" s="15" t="str">
        <f t="shared" si="4"/>
        <v/>
      </c>
      <c r="J29" s="15" t="str">
        <f t="shared" si="5"/>
        <v/>
      </c>
      <c r="K29" s="16" t="str">
        <f t="shared" ref="K29:L29" si="36">IF(I29="","",IFERROR(I29/C29,""))</f>
        <v/>
      </c>
      <c r="L29" s="16" t="str">
        <f t="shared" si="36"/>
        <v/>
      </c>
      <c r="M29" s="15" t="str">
        <f t="shared" si="7"/>
        <v/>
      </c>
      <c r="N29" s="39" t="str">
        <f t="shared" si="8"/>
        <v>—</v>
      </c>
      <c r="O29" s="31"/>
      <c r="P29" s="31"/>
      <c r="Q29" s="31"/>
      <c r="R29" s="31"/>
      <c r="S29" s="31"/>
      <c r="T29" s="16" t="str">
        <f t="shared" si="9"/>
        <v/>
      </c>
      <c r="U29" s="15" t="str">
        <f t="shared" si="10"/>
        <v/>
      </c>
      <c r="V29" s="40" t="str">
        <f t="shared" si="11"/>
        <v/>
      </c>
      <c r="W29" s="16" t="str">
        <f t="shared" si="12"/>
        <v/>
      </c>
      <c r="X29" s="31"/>
      <c r="Y29" s="31"/>
      <c r="Z29" s="29"/>
      <c r="AA29" s="33"/>
    </row>
    <row r="30" ht="15.75" customHeight="1">
      <c r="A30" s="28">
        <v>46318.0</v>
      </c>
      <c r="B30" s="10" t="str">
        <f t="shared" si="2"/>
        <v>金</v>
      </c>
      <c r="C30" s="29"/>
      <c r="D30" s="11">
        <f t="shared" si="3"/>
        <v>0</v>
      </c>
      <c r="E30" s="29"/>
      <c r="F30" s="29"/>
      <c r="G30" s="29"/>
      <c r="H30" s="29"/>
      <c r="I30" s="11" t="str">
        <f t="shared" si="4"/>
        <v/>
      </c>
      <c r="J30" s="11" t="str">
        <f t="shared" si="5"/>
        <v/>
      </c>
      <c r="K30" s="12" t="str">
        <f t="shared" ref="K30:L30" si="37">IF(I30="","",IFERROR(I30/C30,""))</f>
        <v/>
      </c>
      <c r="L30" s="12" t="str">
        <f t="shared" si="37"/>
        <v/>
      </c>
      <c r="M30" s="11" t="str">
        <f t="shared" si="7"/>
        <v/>
      </c>
      <c r="N30" s="30" t="str">
        <f t="shared" si="8"/>
        <v>—</v>
      </c>
      <c r="O30" s="31"/>
      <c r="P30" s="31"/>
      <c r="Q30" s="31"/>
      <c r="R30" s="31"/>
      <c r="S30" s="31"/>
      <c r="T30" s="12" t="str">
        <f t="shared" si="9"/>
        <v/>
      </c>
      <c r="U30" s="11" t="str">
        <f t="shared" si="10"/>
        <v/>
      </c>
      <c r="V30" s="32" t="str">
        <f t="shared" si="11"/>
        <v/>
      </c>
      <c r="W30" s="12" t="str">
        <f t="shared" si="12"/>
        <v/>
      </c>
      <c r="X30" s="31"/>
      <c r="Y30" s="31"/>
      <c r="Z30" s="29"/>
      <c r="AA30" s="33"/>
    </row>
    <row r="31" ht="15.75" customHeight="1">
      <c r="A31" s="38">
        <v>46319.0</v>
      </c>
      <c r="B31" s="14" t="str">
        <f t="shared" si="2"/>
        <v>土</v>
      </c>
      <c r="C31" s="29"/>
      <c r="D31" s="15">
        <f t="shared" si="3"/>
        <v>0</v>
      </c>
      <c r="E31" s="29"/>
      <c r="F31" s="29"/>
      <c r="G31" s="29"/>
      <c r="H31" s="29"/>
      <c r="I31" s="15" t="str">
        <f t="shared" si="4"/>
        <v/>
      </c>
      <c r="J31" s="15" t="str">
        <f t="shared" si="5"/>
        <v/>
      </c>
      <c r="K31" s="16" t="str">
        <f t="shared" ref="K31:L31" si="38">IF(I31="","",IFERROR(I31/C31,""))</f>
        <v/>
      </c>
      <c r="L31" s="16" t="str">
        <f t="shared" si="38"/>
        <v/>
      </c>
      <c r="M31" s="15" t="str">
        <f t="shared" si="7"/>
        <v/>
      </c>
      <c r="N31" s="39" t="str">
        <f t="shared" si="8"/>
        <v>—</v>
      </c>
      <c r="O31" s="31"/>
      <c r="P31" s="31"/>
      <c r="Q31" s="31"/>
      <c r="R31" s="31"/>
      <c r="S31" s="31"/>
      <c r="T31" s="16" t="str">
        <f t="shared" si="9"/>
        <v/>
      </c>
      <c r="U31" s="15" t="str">
        <f t="shared" si="10"/>
        <v/>
      </c>
      <c r="V31" s="40" t="str">
        <f t="shared" si="11"/>
        <v/>
      </c>
      <c r="W31" s="16" t="str">
        <f t="shared" si="12"/>
        <v/>
      </c>
      <c r="X31" s="31"/>
      <c r="Y31" s="31"/>
      <c r="Z31" s="29"/>
      <c r="AA31" s="33"/>
    </row>
    <row r="32" ht="15.75" customHeight="1">
      <c r="A32" s="28">
        <v>46320.0</v>
      </c>
      <c r="B32" s="10" t="str">
        <f t="shared" si="2"/>
        <v>日</v>
      </c>
      <c r="C32" s="29"/>
      <c r="D32" s="11">
        <f t="shared" si="3"/>
        <v>0</v>
      </c>
      <c r="E32" s="29"/>
      <c r="F32" s="29"/>
      <c r="G32" s="29"/>
      <c r="H32" s="29"/>
      <c r="I32" s="11" t="str">
        <f t="shared" si="4"/>
        <v/>
      </c>
      <c r="J32" s="11" t="str">
        <f t="shared" si="5"/>
        <v/>
      </c>
      <c r="K32" s="12" t="str">
        <f t="shared" ref="K32:L32" si="39">IF(I32="","",IFERROR(I32/C32,""))</f>
        <v/>
      </c>
      <c r="L32" s="12" t="str">
        <f t="shared" si="39"/>
        <v/>
      </c>
      <c r="M32" s="11" t="str">
        <f t="shared" si="7"/>
        <v/>
      </c>
      <c r="N32" s="30" t="str">
        <f t="shared" si="8"/>
        <v>—</v>
      </c>
      <c r="O32" s="31"/>
      <c r="P32" s="31"/>
      <c r="Q32" s="31"/>
      <c r="R32" s="31"/>
      <c r="S32" s="31"/>
      <c r="T32" s="12" t="str">
        <f t="shared" si="9"/>
        <v/>
      </c>
      <c r="U32" s="11" t="str">
        <f t="shared" si="10"/>
        <v/>
      </c>
      <c r="V32" s="32" t="str">
        <f t="shared" si="11"/>
        <v/>
      </c>
      <c r="W32" s="12" t="str">
        <f t="shared" si="12"/>
        <v/>
      </c>
      <c r="X32" s="31"/>
      <c r="Y32" s="31"/>
      <c r="Z32" s="29"/>
      <c r="AA32" s="33"/>
    </row>
    <row r="33" ht="15.75" customHeight="1">
      <c r="A33" s="38">
        <v>46321.0</v>
      </c>
      <c r="B33" s="14" t="str">
        <f t="shared" si="2"/>
        <v>月</v>
      </c>
      <c r="C33" s="29"/>
      <c r="D33" s="15">
        <f t="shared" si="3"/>
        <v>0</v>
      </c>
      <c r="E33" s="29"/>
      <c r="F33" s="29"/>
      <c r="G33" s="29"/>
      <c r="H33" s="29"/>
      <c r="I33" s="15" t="str">
        <f t="shared" si="4"/>
        <v/>
      </c>
      <c r="J33" s="15" t="str">
        <f t="shared" si="5"/>
        <v/>
      </c>
      <c r="K33" s="16" t="str">
        <f t="shared" ref="K33:L33" si="40">IF(I33="","",IFERROR(I33/C33,""))</f>
        <v/>
      </c>
      <c r="L33" s="16" t="str">
        <f t="shared" si="40"/>
        <v/>
      </c>
      <c r="M33" s="15" t="str">
        <f t="shared" si="7"/>
        <v/>
      </c>
      <c r="N33" s="39" t="str">
        <f t="shared" si="8"/>
        <v>—</v>
      </c>
      <c r="O33" s="31"/>
      <c r="P33" s="31"/>
      <c r="Q33" s="31"/>
      <c r="R33" s="31"/>
      <c r="S33" s="31"/>
      <c r="T33" s="16" t="str">
        <f t="shared" si="9"/>
        <v/>
      </c>
      <c r="U33" s="15" t="str">
        <f t="shared" si="10"/>
        <v/>
      </c>
      <c r="V33" s="40" t="str">
        <f t="shared" si="11"/>
        <v/>
      </c>
      <c r="W33" s="16" t="str">
        <f t="shared" si="12"/>
        <v/>
      </c>
      <c r="X33" s="31"/>
      <c r="Y33" s="31"/>
      <c r="Z33" s="29"/>
      <c r="AA33" s="33"/>
    </row>
    <row r="34" ht="15.75" customHeight="1">
      <c r="A34" s="28">
        <v>46322.0</v>
      </c>
      <c r="B34" s="10" t="str">
        <f t="shared" si="2"/>
        <v>火</v>
      </c>
      <c r="C34" s="29"/>
      <c r="D34" s="11">
        <f t="shared" si="3"/>
        <v>0</v>
      </c>
      <c r="E34" s="29"/>
      <c r="F34" s="29"/>
      <c r="G34" s="29"/>
      <c r="H34" s="29"/>
      <c r="I34" s="11" t="str">
        <f t="shared" si="4"/>
        <v/>
      </c>
      <c r="J34" s="11" t="str">
        <f t="shared" si="5"/>
        <v/>
      </c>
      <c r="K34" s="12" t="str">
        <f t="shared" ref="K34:L34" si="41">IF(I34="","",IFERROR(I34/C34,""))</f>
        <v/>
      </c>
      <c r="L34" s="12" t="str">
        <f t="shared" si="41"/>
        <v/>
      </c>
      <c r="M34" s="11" t="str">
        <f t="shared" si="7"/>
        <v/>
      </c>
      <c r="N34" s="30" t="str">
        <f t="shared" si="8"/>
        <v>—</v>
      </c>
      <c r="O34" s="31"/>
      <c r="P34" s="31"/>
      <c r="Q34" s="31"/>
      <c r="R34" s="31"/>
      <c r="S34" s="31"/>
      <c r="T34" s="12" t="str">
        <f t="shared" si="9"/>
        <v/>
      </c>
      <c r="U34" s="11" t="str">
        <f t="shared" si="10"/>
        <v/>
      </c>
      <c r="V34" s="32" t="str">
        <f t="shared" si="11"/>
        <v/>
      </c>
      <c r="W34" s="12" t="str">
        <f t="shared" si="12"/>
        <v/>
      </c>
      <c r="X34" s="31"/>
      <c r="Y34" s="31"/>
      <c r="Z34" s="29"/>
      <c r="AA34" s="33"/>
    </row>
    <row r="35" ht="15.75" customHeight="1">
      <c r="A35" s="38">
        <v>46323.0</v>
      </c>
      <c r="B35" s="14" t="str">
        <f t="shared" si="2"/>
        <v>水</v>
      </c>
      <c r="C35" s="29"/>
      <c r="D35" s="15">
        <f t="shared" si="3"/>
        <v>0</v>
      </c>
      <c r="E35" s="29"/>
      <c r="F35" s="29"/>
      <c r="G35" s="29"/>
      <c r="H35" s="29"/>
      <c r="I35" s="15" t="str">
        <f t="shared" si="4"/>
        <v/>
      </c>
      <c r="J35" s="15" t="str">
        <f t="shared" si="5"/>
        <v/>
      </c>
      <c r="K35" s="16" t="str">
        <f t="shared" ref="K35:L35" si="42">IF(I35="","",IFERROR(I35/C35,""))</f>
        <v/>
      </c>
      <c r="L35" s="16" t="str">
        <f t="shared" si="42"/>
        <v/>
      </c>
      <c r="M35" s="15" t="str">
        <f t="shared" si="7"/>
        <v/>
      </c>
      <c r="N35" s="39" t="str">
        <f t="shared" si="8"/>
        <v>—</v>
      </c>
      <c r="O35" s="31"/>
      <c r="P35" s="31"/>
      <c r="Q35" s="31"/>
      <c r="R35" s="31"/>
      <c r="S35" s="31"/>
      <c r="T35" s="16" t="str">
        <f t="shared" si="9"/>
        <v/>
      </c>
      <c r="U35" s="15" t="str">
        <f t="shared" si="10"/>
        <v/>
      </c>
      <c r="V35" s="40" t="str">
        <f t="shared" si="11"/>
        <v/>
      </c>
      <c r="W35" s="16" t="str">
        <f t="shared" si="12"/>
        <v/>
      </c>
      <c r="X35" s="31"/>
      <c r="Y35" s="31"/>
      <c r="Z35" s="29"/>
      <c r="AA35" s="33"/>
    </row>
    <row r="36" ht="15.75" customHeight="1">
      <c r="A36" s="28">
        <v>46324.0</v>
      </c>
      <c r="B36" s="10" t="str">
        <f t="shared" si="2"/>
        <v>木</v>
      </c>
      <c r="C36" s="29"/>
      <c r="D36" s="11">
        <f t="shared" si="3"/>
        <v>0</v>
      </c>
      <c r="E36" s="29"/>
      <c r="F36" s="29"/>
      <c r="G36" s="29"/>
      <c r="H36" s="29"/>
      <c r="I36" s="11" t="str">
        <f t="shared" si="4"/>
        <v/>
      </c>
      <c r="J36" s="11" t="str">
        <f t="shared" si="5"/>
        <v/>
      </c>
      <c r="K36" s="12" t="str">
        <f t="shared" ref="K36:L36" si="43">IF(I36="","",IFERROR(I36/C36,""))</f>
        <v/>
      </c>
      <c r="L36" s="12" t="str">
        <f t="shared" si="43"/>
        <v/>
      </c>
      <c r="M36" s="11" t="str">
        <f t="shared" si="7"/>
        <v/>
      </c>
      <c r="N36" s="30" t="str">
        <f t="shared" si="8"/>
        <v>—</v>
      </c>
      <c r="O36" s="31"/>
      <c r="P36" s="31"/>
      <c r="Q36" s="31"/>
      <c r="R36" s="31"/>
      <c r="S36" s="31"/>
      <c r="T36" s="12" t="str">
        <f t="shared" si="9"/>
        <v/>
      </c>
      <c r="U36" s="11" t="str">
        <f t="shared" si="10"/>
        <v/>
      </c>
      <c r="V36" s="32" t="str">
        <f t="shared" si="11"/>
        <v/>
      </c>
      <c r="W36" s="12" t="str">
        <f t="shared" si="12"/>
        <v/>
      </c>
      <c r="X36" s="31"/>
      <c r="Y36" s="31"/>
      <c r="Z36" s="29"/>
      <c r="AA36" s="33"/>
    </row>
    <row r="37" ht="15.75" customHeight="1">
      <c r="A37" s="38">
        <v>46325.0</v>
      </c>
      <c r="B37" s="14" t="str">
        <f t="shared" si="2"/>
        <v>金</v>
      </c>
      <c r="C37" s="29"/>
      <c r="D37" s="15">
        <f t="shared" si="3"/>
        <v>0</v>
      </c>
      <c r="E37" s="29"/>
      <c r="F37" s="29"/>
      <c r="G37" s="29"/>
      <c r="H37" s="29"/>
      <c r="I37" s="15" t="str">
        <f t="shared" si="4"/>
        <v/>
      </c>
      <c r="J37" s="15" t="str">
        <f t="shared" si="5"/>
        <v/>
      </c>
      <c r="K37" s="16" t="str">
        <f t="shared" ref="K37:L37" si="44">IF(I37="","",IFERROR(I37/C37,""))</f>
        <v/>
      </c>
      <c r="L37" s="16" t="str">
        <f t="shared" si="44"/>
        <v/>
      </c>
      <c r="M37" s="15" t="str">
        <f t="shared" si="7"/>
        <v/>
      </c>
      <c r="N37" s="39" t="str">
        <f t="shared" si="8"/>
        <v>—</v>
      </c>
      <c r="O37" s="31"/>
      <c r="P37" s="31"/>
      <c r="Q37" s="31"/>
      <c r="R37" s="31"/>
      <c r="S37" s="31"/>
      <c r="T37" s="16" t="str">
        <f t="shared" si="9"/>
        <v/>
      </c>
      <c r="U37" s="15" t="str">
        <f t="shared" si="10"/>
        <v/>
      </c>
      <c r="V37" s="40" t="str">
        <f t="shared" si="11"/>
        <v/>
      </c>
      <c r="W37" s="16" t="str">
        <f t="shared" si="12"/>
        <v/>
      </c>
      <c r="X37" s="31"/>
      <c r="Y37" s="31"/>
      <c r="Z37" s="29"/>
      <c r="AA37" s="33"/>
    </row>
    <row r="38" ht="15.75" customHeight="1">
      <c r="A38" s="28">
        <v>46326.0</v>
      </c>
      <c r="B38" s="10" t="str">
        <f t="shared" si="2"/>
        <v>土</v>
      </c>
      <c r="C38" s="29"/>
      <c r="D38" s="11">
        <f t="shared" si="3"/>
        <v>0</v>
      </c>
      <c r="E38" s="29"/>
      <c r="F38" s="29"/>
      <c r="G38" s="29"/>
      <c r="H38" s="29"/>
      <c r="I38" s="11" t="str">
        <f t="shared" si="4"/>
        <v/>
      </c>
      <c r="J38" s="11" t="str">
        <f t="shared" si="5"/>
        <v/>
      </c>
      <c r="K38" s="12" t="str">
        <f t="shared" ref="K38:L38" si="45">IF(I38="","",IFERROR(I38/C38,""))</f>
        <v/>
      </c>
      <c r="L38" s="12" t="str">
        <f t="shared" si="45"/>
        <v/>
      </c>
      <c r="M38" s="11" t="str">
        <f t="shared" si="7"/>
        <v/>
      </c>
      <c r="N38" s="30" t="str">
        <f t="shared" si="8"/>
        <v>—</v>
      </c>
      <c r="O38" s="31"/>
      <c r="P38" s="31"/>
      <c r="Q38" s="31"/>
      <c r="R38" s="31"/>
      <c r="S38" s="31"/>
      <c r="T38" s="12" t="str">
        <f t="shared" si="9"/>
        <v/>
      </c>
      <c r="U38" s="11" t="str">
        <f t="shared" si="10"/>
        <v/>
      </c>
      <c r="V38" s="32" t="str">
        <f t="shared" si="11"/>
        <v/>
      </c>
      <c r="W38" s="12" t="str">
        <f t="shared" si="12"/>
        <v/>
      </c>
      <c r="X38" s="31"/>
      <c r="Y38" s="31"/>
      <c r="Z38" s="29"/>
      <c r="AA38" s="33"/>
    </row>
    <row r="39" ht="15.75" customHeight="1">
      <c r="A39" s="44" t="s">
        <v>81</v>
      </c>
      <c r="B39" s="18"/>
      <c r="C39" s="19">
        <f>SUM(C8:C38)</f>
        <v>0</v>
      </c>
      <c r="D39" s="19">
        <f>C39</f>
        <v>0</v>
      </c>
      <c r="E39" s="19">
        <f t="shared" ref="E39:I39" si="46">SUM(E8:E38)</f>
        <v>648154</v>
      </c>
      <c r="F39" s="19">
        <f t="shared" si="46"/>
        <v>1202256</v>
      </c>
      <c r="G39" s="19">
        <f t="shared" si="46"/>
        <v>44525</v>
      </c>
      <c r="H39" s="19">
        <f t="shared" si="46"/>
        <v>0</v>
      </c>
      <c r="I39" s="19">
        <f t="shared" si="46"/>
        <v>1894935</v>
      </c>
      <c r="J39" s="19">
        <f>I39</f>
        <v>1894935</v>
      </c>
      <c r="K39" s="20" t="str">
        <f>IFERROR(I39/C39,"")</f>
        <v/>
      </c>
      <c r="L39" s="20" t="str">
        <f>IFERROR(I39/C39,"")</f>
        <v/>
      </c>
      <c r="M39" s="19">
        <f>I39-C39</f>
        <v>1894935</v>
      </c>
      <c r="N39" s="45"/>
      <c r="O39" s="21">
        <f t="shared" ref="O39:S39" si="47">SUM(O8:O38)</f>
        <v>83</v>
      </c>
      <c r="P39" s="21">
        <f t="shared" si="47"/>
        <v>87</v>
      </c>
      <c r="Q39" s="21">
        <f t="shared" si="47"/>
        <v>379</v>
      </c>
      <c r="R39" s="21">
        <f t="shared" si="47"/>
        <v>139</v>
      </c>
      <c r="S39" s="21">
        <f t="shared" si="47"/>
        <v>201</v>
      </c>
      <c r="T39" s="20">
        <f t="shared" si="9"/>
        <v>0.2189973615</v>
      </c>
      <c r="U39" s="19">
        <f t="shared" si="10"/>
        <v>22830.54217</v>
      </c>
      <c r="V39" s="46">
        <f t="shared" si="11"/>
        <v>1.048192771</v>
      </c>
      <c r="W39" s="20">
        <f t="shared" si="12"/>
        <v>0.3667546174</v>
      </c>
      <c r="X39" s="21">
        <f>SUM(X8:X38)</f>
        <v>0</v>
      </c>
      <c r="Y39" s="21">
        <f>IFERROR(LOOKUP(9.99E+307,Y8:Y38),"")</f>
        <v>8808</v>
      </c>
      <c r="Z39" s="19">
        <f>SUM(Z8:Z38)</f>
        <v>855</v>
      </c>
      <c r="AA39" s="47" t="s">
        <v>82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A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M8:M38">
    <cfRule type="expression" dxfId="0" priority="1">
      <formula>AND($I8&lt;&gt;"",$M8&gt;=0)</formula>
    </cfRule>
  </conditionalFormatting>
  <conditionalFormatting sqref="M8:M38">
    <cfRule type="expression" dxfId="1" priority="2">
      <formula>AND($I8&lt;&gt;"",$M8&lt;0)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0.0"/>
    <col customWidth="1" min="8" max="8" width="11.0"/>
    <col customWidth="1" min="9" max="9" width="12.0"/>
    <col customWidth="1" min="10" max="10" width="13.0"/>
    <col customWidth="1" min="11" max="12" width="9.0"/>
    <col customWidth="1" min="13" max="13" width="13.0"/>
    <col customWidth="1" min="14" max="14" width="11.0"/>
    <col customWidth="1" min="15" max="20" width="8.0"/>
    <col customWidth="1" min="21" max="21" width="11.0"/>
    <col customWidth="1" min="22" max="24" width="8.0"/>
    <col customWidth="1" min="25" max="25" width="10.0"/>
    <col customWidth="1" min="26" max="26" width="9.0"/>
    <col customWidth="1" min="27" max="27" width="28.0"/>
    <col customWidth="1" min="28" max="28" width="3.0"/>
    <col customWidth="1" min="29" max="29" width="5.0"/>
    <col customWidth="1" min="30" max="30" width="13.0"/>
    <col customWidth="1" min="31" max="31" width="12.0"/>
    <col customWidth="1" min="32" max="32" width="9.0"/>
    <col customWidth="1" min="33" max="33" width="11.0"/>
    <col customWidth="1" min="34" max="36" width="9.0"/>
    <col customWidth="1" min="37" max="37" width="8.0"/>
  </cols>
  <sheetData>
    <row r="1" ht="27.75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131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IF('設定'!$B$15="",SUM(C8:C37),'設定'!$B$15)</f>
        <v>12000000</v>
      </c>
      <c r="B4" s="6"/>
      <c r="C4" s="7">
        <f>SUM(I8:I37)</f>
        <v>0</v>
      </c>
      <c r="D4" s="6"/>
      <c r="E4" s="8">
        <f>IFERROR(C4/A4,0)</f>
        <v>0</v>
      </c>
      <c r="F4" s="6"/>
      <c r="G4" s="25">
        <f>COUNTIF(I8:I37,"&gt;0")</f>
        <v>0</v>
      </c>
      <c r="H4" s="6"/>
      <c r="I4" s="7">
        <f>A4-C4</f>
        <v>12000000</v>
      </c>
      <c r="J4" s="6"/>
      <c r="K4" s="7">
        <f>IF((30-G4)&gt;0,(A4-C4)/(30-G4),0)</f>
        <v>400000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SUM(C8:C37)</f>
        <v>0</v>
      </c>
      <c r="B6" s="6"/>
      <c r="C6" s="7">
        <f>IFERROR(C4/G4*30,0)</f>
        <v>0</v>
      </c>
      <c r="D6" s="6"/>
      <c r="E6" s="8">
        <f>IFERROR(O38/Q38,0)</f>
        <v>0</v>
      </c>
      <c r="F6" s="6"/>
      <c r="G6" s="7">
        <f>IFERROR(I38/O38,0)</f>
        <v>0</v>
      </c>
      <c r="H6" s="6"/>
      <c r="I6" s="26">
        <f>IFERROR(P38/O38,0)</f>
        <v>0</v>
      </c>
      <c r="J6" s="6"/>
      <c r="K6" s="8">
        <f>IFERROR(R38/Q38,0)</f>
        <v>0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99</v>
      </c>
      <c r="H7" s="9" t="s">
        <v>132</v>
      </c>
      <c r="I7" s="9" t="s">
        <v>51</v>
      </c>
      <c r="J7" s="9" t="s">
        <v>19</v>
      </c>
      <c r="K7" s="9" t="s">
        <v>52</v>
      </c>
      <c r="L7" s="9" t="s">
        <v>53</v>
      </c>
      <c r="M7" s="9" t="s">
        <v>54</v>
      </c>
      <c r="N7" s="9" t="s">
        <v>55</v>
      </c>
      <c r="O7" s="9" t="s">
        <v>14</v>
      </c>
      <c r="P7" s="9" t="s">
        <v>56</v>
      </c>
      <c r="Q7" s="9" t="s">
        <v>15</v>
      </c>
      <c r="R7" s="9" t="s">
        <v>57</v>
      </c>
      <c r="S7" s="9" t="s">
        <v>58</v>
      </c>
      <c r="T7" s="9" t="s">
        <v>16</v>
      </c>
      <c r="U7" s="9" t="s">
        <v>17</v>
      </c>
      <c r="V7" s="9" t="s">
        <v>43</v>
      </c>
      <c r="W7" s="9" t="s">
        <v>44</v>
      </c>
      <c r="X7" s="9" t="s">
        <v>59</v>
      </c>
      <c r="Y7" s="9" t="s">
        <v>60</v>
      </c>
      <c r="Z7" s="9" t="s">
        <v>61</v>
      </c>
      <c r="AA7" s="9" t="s">
        <v>62</v>
      </c>
      <c r="AC7" s="27" t="s">
        <v>63</v>
      </c>
      <c r="AD7" s="27" t="s">
        <v>64</v>
      </c>
      <c r="AE7" s="27" t="s">
        <v>65</v>
      </c>
      <c r="AF7" s="27" t="s">
        <v>16</v>
      </c>
      <c r="AG7" s="27" t="s">
        <v>17</v>
      </c>
    </row>
    <row r="8">
      <c r="A8" s="28">
        <v>46327.0</v>
      </c>
      <c r="B8" s="10" t="str">
        <f t="shared" ref="B8:B37" si="2">MID("日月火水木金土",WEEKDAY(A8),1)</f>
        <v>日</v>
      </c>
      <c r="C8" s="29"/>
      <c r="D8" s="11">
        <f t="shared" ref="D8:D37" si="3">SUM($C$8:C8)</f>
        <v>0</v>
      </c>
      <c r="E8" s="29"/>
      <c r="F8" s="29"/>
      <c r="G8" s="29"/>
      <c r="H8" s="29"/>
      <c r="I8" s="11" t="str">
        <f t="shared" ref="I8:I37" si="4">IF(COUNT(E8:H8)=0,"",SUM(E8:H8))</f>
        <v/>
      </c>
      <c r="J8" s="11" t="str">
        <f t="shared" ref="J8:J37" si="5">IF(I8="","",SUM($I$8:I8))</f>
        <v/>
      </c>
      <c r="K8" s="12" t="str">
        <f t="shared" ref="K8:L8" si="1">IF(I8="","",IFERROR(I8/C8,""))</f>
        <v/>
      </c>
      <c r="L8" s="12" t="str">
        <f t="shared" si="1"/>
        <v/>
      </c>
      <c r="M8" s="11" t="str">
        <f t="shared" ref="M8:M37" si="7">IF(J8="","",IF(D8=0,"",J8-D8))</f>
        <v/>
      </c>
      <c r="N8" s="30" t="str">
        <f t="shared" ref="N8:N37" si="8">IF(I8="","—",IF(D8=0,"予算未入力",IF(J8&gt;=D8,"◎ ペース内","▲ 遅れ")))</f>
        <v>—</v>
      </c>
      <c r="O8" s="31"/>
      <c r="P8" s="31"/>
      <c r="Q8" s="31"/>
      <c r="R8" s="31"/>
      <c r="S8" s="31"/>
      <c r="T8" s="12" t="str">
        <f t="shared" ref="T8:T38" si="9">IFERROR(O8/Q8,"")</f>
        <v/>
      </c>
      <c r="U8" s="11" t="str">
        <f t="shared" ref="U8:U38" si="10">IFERROR(I8/O8,"")</f>
        <v/>
      </c>
      <c r="V8" s="32" t="str">
        <f t="shared" ref="V8:V38" si="11">IFERROR(P8/O8,"")</f>
        <v/>
      </c>
      <c r="W8" s="12" t="str">
        <f t="shared" ref="W8:W38" si="12">IFERROR(R8/Q8,"")</f>
        <v/>
      </c>
      <c r="X8" s="31"/>
      <c r="Y8" s="31"/>
      <c r="Z8" s="29"/>
      <c r="AA8" s="33"/>
      <c r="AC8" s="34" t="s">
        <v>7</v>
      </c>
      <c r="AD8" s="35">
        <f t="shared" ref="AD8:AD14" si="13">IFERROR(AVERAGEIFS($I$8:$I$37,$B$8:$B$37,AC8,$I$8:$I$37,"&gt;0"),0)</f>
        <v>0</v>
      </c>
      <c r="AE8" s="36">
        <f t="shared" ref="AE8:AE14" si="14">COUNTIFS($B$8:$B$37,AC8,$I$8:$I$37,"&gt;0")</f>
        <v>0</v>
      </c>
      <c r="AF8" s="37">
        <f t="shared" ref="AF8:AF14" si="15">IFERROR(SUMIF($B$8:$B$37,AC8,$O$8:$O$37)/SUMIF($B$8:$B$37,AC8,$Q$8:$Q$37),0)</f>
        <v>0</v>
      </c>
      <c r="AG8" s="35">
        <f t="shared" ref="AG8:AG14" si="16">IFERROR(SUMIF($B$8:$B$37,AC8,$I$8:$I$37)/SUMIF($B$8:$B$37,AC8,$O$8:$O$37),0)</f>
        <v>0</v>
      </c>
    </row>
    <row r="9">
      <c r="A9" s="38">
        <v>46328.0</v>
      </c>
      <c r="B9" s="14" t="str">
        <f t="shared" si="2"/>
        <v>月</v>
      </c>
      <c r="C9" s="29"/>
      <c r="D9" s="15">
        <f t="shared" si="3"/>
        <v>0</v>
      </c>
      <c r="E9" s="29"/>
      <c r="F9" s="29"/>
      <c r="G9" s="29"/>
      <c r="H9" s="29"/>
      <c r="I9" s="15" t="str">
        <f t="shared" si="4"/>
        <v/>
      </c>
      <c r="J9" s="15" t="str">
        <f t="shared" si="5"/>
        <v/>
      </c>
      <c r="K9" s="16" t="str">
        <f t="shared" ref="K9:L9" si="6">IF(I9="","",IFERROR(I9/C9,""))</f>
        <v/>
      </c>
      <c r="L9" s="16" t="str">
        <f t="shared" si="6"/>
        <v/>
      </c>
      <c r="M9" s="15" t="str">
        <f t="shared" si="7"/>
        <v/>
      </c>
      <c r="N9" s="39" t="str">
        <f t="shared" si="8"/>
        <v>—</v>
      </c>
      <c r="O9" s="31"/>
      <c r="P9" s="31"/>
      <c r="Q9" s="31"/>
      <c r="R9" s="31"/>
      <c r="S9" s="31"/>
      <c r="T9" s="16" t="str">
        <f t="shared" si="9"/>
        <v/>
      </c>
      <c r="U9" s="15" t="str">
        <f t="shared" si="10"/>
        <v/>
      </c>
      <c r="V9" s="40" t="str">
        <f t="shared" si="11"/>
        <v/>
      </c>
      <c r="W9" s="16" t="str">
        <f t="shared" si="12"/>
        <v/>
      </c>
      <c r="X9" s="31"/>
      <c r="Y9" s="31"/>
      <c r="Z9" s="29"/>
      <c r="AA9" s="33"/>
      <c r="AC9" s="34" t="s">
        <v>66</v>
      </c>
      <c r="AD9" s="35">
        <f t="shared" si="13"/>
        <v>0</v>
      </c>
      <c r="AE9" s="36">
        <f t="shared" si="14"/>
        <v>0</v>
      </c>
      <c r="AF9" s="37">
        <f t="shared" si="15"/>
        <v>0</v>
      </c>
      <c r="AG9" s="35">
        <f t="shared" si="16"/>
        <v>0</v>
      </c>
    </row>
    <row r="10">
      <c r="A10" s="28">
        <v>46329.0</v>
      </c>
      <c r="B10" s="10" t="str">
        <f t="shared" si="2"/>
        <v>火</v>
      </c>
      <c r="C10" s="29"/>
      <c r="D10" s="11">
        <f t="shared" si="3"/>
        <v>0</v>
      </c>
      <c r="E10" s="29"/>
      <c r="F10" s="29"/>
      <c r="G10" s="29"/>
      <c r="H10" s="29"/>
      <c r="I10" s="11" t="str">
        <f t="shared" si="4"/>
        <v/>
      </c>
      <c r="J10" s="11" t="str">
        <f t="shared" si="5"/>
        <v/>
      </c>
      <c r="K10" s="12" t="str">
        <f t="shared" ref="K10:L10" si="17">IF(I10="","",IFERROR(I10/C10,""))</f>
        <v/>
      </c>
      <c r="L10" s="12" t="str">
        <f t="shared" si="17"/>
        <v/>
      </c>
      <c r="M10" s="11" t="str">
        <f t="shared" si="7"/>
        <v/>
      </c>
      <c r="N10" s="30" t="str">
        <f t="shared" si="8"/>
        <v>—</v>
      </c>
      <c r="O10" s="31"/>
      <c r="P10" s="31"/>
      <c r="Q10" s="31"/>
      <c r="R10" s="31"/>
      <c r="S10" s="31"/>
      <c r="T10" s="12" t="str">
        <f t="shared" si="9"/>
        <v/>
      </c>
      <c r="U10" s="11" t="str">
        <f t="shared" si="10"/>
        <v/>
      </c>
      <c r="V10" s="32" t="str">
        <f t="shared" si="11"/>
        <v/>
      </c>
      <c r="W10" s="12" t="str">
        <f t="shared" si="12"/>
        <v/>
      </c>
      <c r="X10" s="31"/>
      <c r="Y10" s="31"/>
      <c r="Z10" s="29"/>
      <c r="AA10" s="33"/>
      <c r="AC10" s="34" t="s">
        <v>67</v>
      </c>
      <c r="AD10" s="35">
        <f t="shared" si="13"/>
        <v>0</v>
      </c>
      <c r="AE10" s="36">
        <f t="shared" si="14"/>
        <v>0</v>
      </c>
      <c r="AF10" s="37">
        <f t="shared" si="15"/>
        <v>0</v>
      </c>
      <c r="AG10" s="35">
        <f t="shared" si="16"/>
        <v>0</v>
      </c>
    </row>
    <row r="11">
      <c r="A11" s="38">
        <v>46330.0</v>
      </c>
      <c r="B11" s="14" t="str">
        <f t="shared" si="2"/>
        <v>水</v>
      </c>
      <c r="C11" s="29"/>
      <c r="D11" s="15">
        <f t="shared" si="3"/>
        <v>0</v>
      </c>
      <c r="E11" s="29"/>
      <c r="F11" s="29"/>
      <c r="G11" s="29"/>
      <c r="H11" s="29"/>
      <c r="I11" s="15" t="str">
        <f t="shared" si="4"/>
        <v/>
      </c>
      <c r="J11" s="15" t="str">
        <f t="shared" si="5"/>
        <v/>
      </c>
      <c r="K11" s="16" t="str">
        <f t="shared" ref="K11:L11" si="18">IF(I11="","",IFERROR(I11/C11,""))</f>
        <v/>
      </c>
      <c r="L11" s="16" t="str">
        <f t="shared" si="18"/>
        <v/>
      </c>
      <c r="M11" s="15" t="str">
        <f t="shared" si="7"/>
        <v/>
      </c>
      <c r="N11" s="39" t="str">
        <f t="shared" si="8"/>
        <v>—</v>
      </c>
      <c r="O11" s="31"/>
      <c r="P11" s="31"/>
      <c r="Q11" s="31"/>
      <c r="R11" s="31"/>
      <c r="S11" s="31"/>
      <c r="T11" s="16" t="str">
        <f t="shared" si="9"/>
        <v/>
      </c>
      <c r="U11" s="15" t="str">
        <f t="shared" si="10"/>
        <v/>
      </c>
      <c r="V11" s="40" t="str">
        <f t="shared" si="11"/>
        <v/>
      </c>
      <c r="W11" s="16" t="str">
        <f t="shared" si="12"/>
        <v/>
      </c>
      <c r="X11" s="31"/>
      <c r="Y11" s="31"/>
      <c r="Z11" s="29"/>
      <c r="AA11" s="33"/>
      <c r="AC11" s="34" t="s">
        <v>68</v>
      </c>
      <c r="AD11" s="35">
        <f t="shared" si="13"/>
        <v>0</v>
      </c>
      <c r="AE11" s="36">
        <f t="shared" si="14"/>
        <v>0</v>
      </c>
      <c r="AF11" s="37">
        <f t="shared" si="15"/>
        <v>0</v>
      </c>
      <c r="AG11" s="35">
        <f t="shared" si="16"/>
        <v>0</v>
      </c>
    </row>
    <row r="12">
      <c r="A12" s="28">
        <v>46331.0</v>
      </c>
      <c r="B12" s="10" t="str">
        <f t="shared" si="2"/>
        <v>木</v>
      </c>
      <c r="C12" s="29"/>
      <c r="D12" s="11">
        <f t="shared" si="3"/>
        <v>0</v>
      </c>
      <c r="E12" s="29"/>
      <c r="F12" s="29"/>
      <c r="G12" s="29"/>
      <c r="H12" s="29"/>
      <c r="I12" s="11" t="str">
        <f t="shared" si="4"/>
        <v/>
      </c>
      <c r="J12" s="11" t="str">
        <f t="shared" si="5"/>
        <v/>
      </c>
      <c r="K12" s="12" t="str">
        <f t="shared" ref="K12:L12" si="19">IF(I12="","",IFERROR(I12/C12,""))</f>
        <v/>
      </c>
      <c r="L12" s="12" t="str">
        <f t="shared" si="19"/>
        <v/>
      </c>
      <c r="M12" s="11" t="str">
        <f t="shared" si="7"/>
        <v/>
      </c>
      <c r="N12" s="30" t="str">
        <f t="shared" si="8"/>
        <v>—</v>
      </c>
      <c r="O12" s="31"/>
      <c r="P12" s="31"/>
      <c r="Q12" s="31"/>
      <c r="R12" s="31"/>
      <c r="S12" s="31"/>
      <c r="T12" s="12" t="str">
        <f t="shared" si="9"/>
        <v/>
      </c>
      <c r="U12" s="11" t="str">
        <f t="shared" si="10"/>
        <v/>
      </c>
      <c r="V12" s="32" t="str">
        <f t="shared" si="11"/>
        <v/>
      </c>
      <c r="W12" s="12" t="str">
        <f t="shared" si="12"/>
        <v/>
      </c>
      <c r="X12" s="31"/>
      <c r="Y12" s="31"/>
      <c r="Z12" s="29"/>
      <c r="AA12" s="33"/>
      <c r="AC12" s="34" t="s">
        <v>69</v>
      </c>
      <c r="AD12" s="35">
        <f t="shared" si="13"/>
        <v>0</v>
      </c>
      <c r="AE12" s="36">
        <f t="shared" si="14"/>
        <v>0</v>
      </c>
      <c r="AF12" s="37">
        <f t="shared" si="15"/>
        <v>0</v>
      </c>
      <c r="AG12" s="35">
        <f t="shared" si="16"/>
        <v>0</v>
      </c>
    </row>
    <row r="13">
      <c r="A13" s="38">
        <v>46332.0</v>
      </c>
      <c r="B13" s="14" t="str">
        <f t="shared" si="2"/>
        <v>金</v>
      </c>
      <c r="C13" s="29"/>
      <c r="D13" s="15">
        <f t="shared" si="3"/>
        <v>0</v>
      </c>
      <c r="E13" s="29"/>
      <c r="F13" s="29"/>
      <c r="G13" s="29"/>
      <c r="H13" s="29"/>
      <c r="I13" s="15" t="str">
        <f t="shared" si="4"/>
        <v/>
      </c>
      <c r="J13" s="15" t="str">
        <f t="shared" si="5"/>
        <v/>
      </c>
      <c r="K13" s="16" t="str">
        <f t="shared" ref="K13:L13" si="20">IF(I13="","",IFERROR(I13/C13,""))</f>
        <v/>
      </c>
      <c r="L13" s="16" t="str">
        <f t="shared" si="20"/>
        <v/>
      </c>
      <c r="M13" s="15" t="str">
        <f t="shared" si="7"/>
        <v/>
      </c>
      <c r="N13" s="39" t="str">
        <f t="shared" si="8"/>
        <v>—</v>
      </c>
      <c r="O13" s="31"/>
      <c r="P13" s="31"/>
      <c r="Q13" s="31"/>
      <c r="R13" s="31"/>
      <c r="S13" s="31"/>
      <c r="T13" s="16" t="str">
        <f t="shared" si="9"/>
        <v/>
      </c>
      <c r="U13" s="15" t="str">
        <f t="shared" si="10"/>
        <v/>
      </c>
      <c r="V13" s="40" t="str">
        <f t="shared" si="11"/>
        <v/>
      </c>
      <c r="W13" s="16" t="str">
        <f t="shared" si="12"/>
        <v/>
      </c>
      <c r="X13" s="31"/>
      <c r="Y13" s="31"/>
      <c r="Z13" s="29"/>
      <c r="AA13" s="33"/>
      <c r="AC13" s="34" t="s">
        <v>70</v>
      </c>
      <c r="AD13" s="35">
        <f t="shared" si="13"/>
        <v>0</v>
      </c>
      <c r="AE13" s="36">
        <f t="shared" si="14"/>
        <v>0</v>
      </c>
      <c r="AF13" s="37">
        <f t="shared" si="15"/>
        <v>0</v>
      </c>
      <c r="AG13" s="35">
        <f t="shared" si="16"/>
        <v>0</v>
      </c>
    </row>
    <row r="14">
      <c r="A14" s="28">
        <v>46333.0</v>
      </c>
      <c r="B14" s="10" t="str">
        <f t="shared" si="2"/>
        <v>土</v>
      </c>
      <c r="C14" s="29"/>
      <c r="D14" s="11">
        <f t="shared" si="3"/>
        <v>0</v>
      </c>
      <c r="E14" s="29"/>
      <c r="F14" s="29"/>
      <c r="G14" s="29"/>
      <c r="H14" s="29"/>
      <c r="I14" s="11" t="str">
        <f t="shared" si="4"/>
        <v/>
      </c>
      <c r="J14" s="11" t="str">
        <f t="shared" si="5"/>
        <v/>
      </c>
      <c r="K14" s="12" t="str">
        <f t="shared" ref="K14:L14" si="21">IF(I14="","",IFERROR(I14/C14,""))</f>
        <v/>
      </c>
      <c r="L14" s="12" t="str">
        <f t="shared" si="21"/>
        <v/>
      </c>
      <c r="M14" s="11" t="str">
        <f t="shared" si="7"/>
        <v/>
      </c>
      <c r="N14" s="30" t="str">
        <f t="shared" si="8"/>
        <v>—</v>
      </c>
      <c r="O14" s="31"/>
      <c r="P14" s="31"/>
      <c r="Q14" s="31"/>
      <c r="R14" s="31"/>
      <c r="S14" s="31"/>
      <c r="T14" s="12" t="str">
        <f t="shared" si="9"/>
        <v/>
      </c>
      <c r="U14" s="11" t="str">
        <f t="shared" si="10"/>
        <v/>
      </c>
      <c r="V14" s="32" t="str">
        <f t="shared" si="11"/>
        <v/>
      </c>
      <c r="W14" s="12" t="str">
        <f t="shared" si="12"/>
        <v/>
      </c>
      <c r="X14" s="31"/>
      <c r="Y14" s="31"/>
      <c r="Z14" s="29"/>
      <c r="AA14" s="33"/>
      <c r="AC14" s="34" t="s">
        <v>71</v>
      </c>
      <c r="AD14" s="35">
        <f t="shared" si="13"/>
        <v>0</v>
      </c>
      <c r="AE14" s="36">
        <f t="shared" si="14"/>
        <v>0</v>
      </c>
      <c r="AF14" s="37">
        <f t="shared" si="15"/>
        <v>0</v>
      </c>
      <c r="AG14" s="35">
        <f t="shared" si="16"/>
        <v>0</v>
      </c>
    </row>
    <row r="15">
      <c r="A15" s="38">
        <v>46334.0</v>
      </c>
      <c r="B15" s="14" t="str">
        <f t="shared" si="2"/>
        <v>日</v>
      </c>
      <c r="C15" s="29"/>
      <c r="D15" s="15">
        <f t="shared" si="3"/>
        <v>0</v>
      </c>
      <c r="E15" s="29"/>
      <c r="F15" s="29"/>
      <c r="G15" s="29"/>
      <c r="H15" s="29"/>
      <c r="I15" s="15" t="str">
        <f t="shared" si="4"/>
        <v/>
      </c>
      <c r="J15" s="15" t="str">
        <f t="shared" si="5"/>
        <v/>
      </c>
      <c r="K15" s="16" t="str">
        <f t="shared" ref="K15:L15" si="22">IF(I15="","",IFERROR(I15/C15,""))</f>
        <v/>
      </c>
      <c r="L15" s="16" t="str">
        <f t="shared" si="22"/>
        <v/>
      </c>
      <c r="M15" s="15" t="str">
        <f t="shared" si="7"/>
        <v/>
      </c>
      <c r="N15" s="39" t="str">
        <f t="shared" si="8"/>
        <v>—</v>
      </c>
      <c r="O15" s="31"/>
      <c r="P15" s="31"/>
      <c r="Q15" s="31"/>
      <c r="R15" s="31"/>
      <c r="S15" s="31"/>
      <c r="T15" s="16" t="str">
        <f t="shared" si="9"/>
        <v/>
      </c>
      <c r="U15" s="15" t="str">
        <f t="shared" si="10"/>
        <v/>
      </c>
      <c r="V15" s="40" t="str">
        <f t="shared" si="11"/>
        <v/>
      </c>
      <c r="W15" s="16" t="str">
        <f t="shared" si="12"/>
        <v/>
      </c>
      <c r="X15" s="31"/>
      <c r="Y15" s="31"/>
      <c r="Z15" s="29"/>
      <c r="AA15" s="33"/>
    </row>
    <row r="16">
      <c r="A16" s="28">
        <v>46335.0</v>
      </c>
      <c r="B16" s="10" t="str">
        <f t="shared" si="2"/>
        <v>月</v>
      </c>
      <c r="C16" s="29"/>
      <c r="D16" s="11">
        <f t="shared" si="3"/>
        <v>0</v>
      </c>
      <c r="E16" s="29"/>
      <c r="F16" s="29"/>
      <c r="G16" s="29"/>
      <c r="H16" s="29"/>
      <c r="I16" s="11" t="str">
        <f t="shared" si="4"/>
        <v/>
      </c>
      <c r="J16" s="11" t="str">
        <f t="shared" si="5"/>
        <v/>
      </c>
      <c r="K16" s="12" t="str">
        <f t="shared" ref="K16:L16" si="23">IF(I16="","",IFERROR(I16/C16,""))</f>
        <v/>
      </c>
      <c r="L16" s="12" t="str">
        <f t="shared" si="23"/>
        <v/>
      </c>
      <c r="M16" s="11" t="str">
        <f t="shared" si="7"/>
        <v/>
      </c>
      <c r="N16" s="30" t="str">
        <f t="shared" si="8"/>
        <v>—</v>
      </c>
      <c r="O16" s="31"/>
      <c r="P16" s="31"/>
      <c r="Q16" s="31"/>
      <c r="R16" s="31"/>
      <c r="S16" s="31"/>
      <c r="T16" s="12" t="str">
        <f t="shared" si="9"/>
        <v/>
      </c>
      <c r="U16" s="11" t="str">
        <f t="shared" si="10"/>
        <v/>
      </c>
      <c r="V16" s="32" t="str">
        <f t="shared" si="11"/>
        <v/>
      </c>
      <c r="W16" s="12" t="str">
        <f t="shared" si="12"/>
        <v/>
      </c>
      <c r="X16" s="31"/>
      <c r="Y16" s="31"/>
      <c r="Z16" s="29"/>
      <c r="AA16" s="33"/>
      <c r="AC16" s="22" t="s">
        <v>72</v>
      </c>
    </row>
    <row r="17">
      <c r="A17" s="38">
        <v>46336.0</v>
      </c>
      <c r="B17" s="14" t="str">
        <f t="shared" si="2"/>
        <v>火</v>
      </c>
      <c r="C17" s="29"/>
      <c r="D17" s="15">
        <f t="shared" si="3"/>
        <v>0</v>
      </c>
      <c r="E17" s="29"/>
      <c r="F17" s="29"/>
      <c r="G17" s="29"/>
      <c r="H17" s="29"/>
      <c r="I17" s="15" t="str">
        <f t="shared" si="4"/>
        <v/>
      </c>
      <c r="J17" s="15" t="str">
        <f t="shared" si="5"/>
        <v/>
      </c>
      <c r="K17" s="16" t="str">
        <f t="shared" ref="K17:L17" si="24">IF(I17="","",IFERROR(I17/C17,""))</f>
        <v/>
      </c>
      <c r="L17" s="16" t="str">
        <f t="shared" si="24"/>
        <v/>
      </c>
      <c r="M17" s="15" t="str">
        <f t="shared" si="7"/>
        <v/>
      </c>
      <c r="N17" s="39" t="str">
        <f t="shared" si="8"/>
        <v>—</v>
      </c>
      <c r="O17" s="31"/>
      <c r="P17" s="31"/>
      <c r="Q17" s="31"/>
      <c r="R17" s="31"/>
      <c r="S17" s="31"/>
      <c r="T17" s="16" t="str">
        <f t="shared" si="9"/>
        <v/>
      </c>
      <c r="U17" s="15" t="str">
        <f t="shared" si="10"/>
        <v/>
      </c>
      <c r="V17" s="40" t="str">
        <f t="shared" si="11"/>
        <v/>
      </c>
      <c r="W17" s="16" t="str">
        <f t="shared" si="12"/>
        <v/>
      </c>
      <c r="X17" s="31"/>
      <c r="Y17" s="31"/>
      <c r="Z17" s="29"/>
      <c r="AA17" s="33"/>
    </row>
    <row r="18">
      <c r="A18" s="28">
        <v>46337.0</v>
      </c>
      <c r="B18" s="10" t="str">
        <f t="shared" si="2"/>
        <v>水</v>
      </c>
      <c r="C18" s="29"/>
      <c r="D18" s="11">
        <f t="shared" si="3"/>
        <v>0</v>
      </c>
      <c r="E18" s="29"/>
      <c r="F18" s="29"/>
      <c r="G18" s="29"/>
      <c r="H18" s="29"/>
      <c r="I18" s="11" t="str">
        <f t="shared" si="4"/>
        <v/>
      </c>
      <c r="J18" s="11" t="str">
        <f t="shared" si="5"/>
        <v/>
      </c>
      <c r="K18" s="12" t="str">
        <f t="shared" ref="K18:L18" si="25">IF(I18="","",IFERROR(I18/C18,""))</f>
        <v/>
      </c>
      <c r="L18" s="12" t="str">
        <f t="shared" si="25"/>
        <v/>
      </c>
      <c r="M18" s="11" t="str">
        <f t="shared" si="7"/>
        <v/>
      </c>
      <c r="N18" s="30" t="str">
        <f t="shared" si="8"/>
        <v>—</v>
      </c>
      <c r="O18" s="31"/>
      <c r="P18" s="31"/>
      <c r="Q18" s="31"/>
      <c r="R18" s="31"/>
      <c r="S18" s="31"/>
      <c r="T18" s="12" t="str">
        <f t="shared" si="9"/>
        <v/>
      </c>
      <c r="U18" s="11" t="str">
        <f t="shared" si="10"/>
        <v/>
      </c>
      <c r="V18" s="32" t="str">
        <f t="shared" si="11"/>
        <v/>
      </c>
      <c r="W18" s="12" t="str">
        <f t="shared" si="12"/>
        <v/>
      </c>
      <c r="X18" s="31"/>
      <c r="Y18" s="31"/>
      <c r="Z18" s="29"/>
      <c r="AA18" s="33"/>
      <c r="AC18" s="23" t="s">
        <v>206</v>
      </c>
      <c r="AJ18" s="22" t="s">
        <v>133</v>
      </c>
      <c r="AK18" s="41">
        <f>$A$8+MOD(1-WEEKDAY($A$8,2)+7,7)</f>
        <v>46329</v>
      </c>
    </row>
    <row r="19">
      <c r="A19" s="38">
        <v>46338.0</v>
      </c>
      <c r="B19" s="14" t="str">
        <f t="shared" si="2"/>
        <v>木</v>
      </c>
      <c r="C19" s="29"/>
      <c r="D19" s="15">
        <f t="shared" si="3"/>
        <v>0</v>
      </c>
      <c r="E19" s="29"/>
      <c r="F19" s="29"/>
      <c r="G19" s="29"/>
      <c r="H19" s="29"/>
      <c r="I19" s="15" t="str">
        <f t="shared" si="4"/>
        <v/>
      </c>
      <c r="J19" s="15" t="str">
        <f t="shared" si="5"/>
        <v/>
      </c>
      <c r="K19" s="16" t="str">
        <f t="shared" ref="K19:L19" si="26">IF(I19="","",IFERROR(I19/C19,""))</f>
        <v/>
      </c>
      <c r="L19" s="16" t="str">
        <f t="shared" si="26"/>
        <v/>
      </c>
      <c r="M19" s="15" t="str">
        <f t="shared" si="7"/>
        <v/>
      </c>
      <c r="N19" s="39" t="str">
        <f t="shared" si="8"/>
        <v>—</v>
      </c>
      <c r="O19" s="31"/>
      <c r="P19" s="31"/>
      <c r="Q19" s="31"/>
      <c r="R19" s="31"/>
      <c r="S19" s="31"/>
      <c r="T19" s="16" t="str">
        <f t="shared" si="9"/>
        <v/>
      </c>
      <c r="U19" s="15" t="str">
        <f t="shared" si="10"/>
        <v/>
      </c>
      <c r="V19" s="40" t="str">
        <f t="shared" si="11"/>
        <v/>
      </c>
      <c r="W19" s="16" t="str">
        <f t="shared" si="12"/>
        <v/>
      </c>
      <c r="X19" s="31"/>
      <c r="Y19" s="31"/>
      <c r="Z19" s="29"/>
      <c r="AA19" s="33"/>
      <c r="AC19" s="27" t="s">
        <v>75</v>
      </c>
      <c r="AD19" s="27" t="s">
        <v>76</v>
      </c>
      <c r="AE19" s="27" t="s">
        <v>77</v>
      </c>
      <c r="AF19" s="27" t="s">
        <v>16</v>
      </c>
      <c r="AG19" s="27" t="s">
        <v>17</v>
      </c>
      <c r="AH19" s="27" t="s">
        <v>43</v>
      </c>
      <c r="AI19" s="27" t="s">
        <v>44</v>
      </c>
    </row>
    <row r="20">
      <c r="A20" s="28">
        <v>46339.0</v>
      </c>
      <c r="B20" s="10" t="str">
        <f t="shared" si="2"/>
        <v>金</v>
      </c>
      <c r="C20" s="29"/>
      <c r="D20" s="11">
        <f t="shared" si="3"/>
        <v>0</v>
      </c>
      <c r="E20" s="29"/>
      <c r="F20" s="29"/>
      <c r="G20" s="29"/>
      <c r="H20" s="29"/>
      <c r="I20" s="11" t="str">
        <f t="shared" si="4"/>
        <v/>
      </c>
      <c r="J20" s="11" t="str">
        <f t="shared" si="5"/>
        <v/>
      </c>
      <c r="K20" s="12" t="str">
        <f t="shared" ref="K20:L20" si="27">IF(I20="","",IFERROR(I20/C20,""))</f>
        <v/>
      </c>
      <c r="L20" s="12" t="str">
        <f t="shared" si="27"/>
        <v/>
      </c>
      <c r="M20" s="11" t="str">
        <f t="shared" si="7"/>
        <v/>
      </c>
      <c r="N20" s="30" t="str">
        <f t="shared" si="8"/>
        <v>—</v>
      </c>
      <c r="O20" s="31"/>
      <c r="P20" s="31"/>
      <c r="Q20" s="31"/>
      <c r="R20" s="31"/>
      <c r="S20" s="31"/>
      <c r="T20" s="12" t="str">
        <f t="shared" si="9"/>
        <v/>
      </c>
      <c r="U20" s="11" t="str">
        <f t="shared" si="10"/>
        <v/>
      </c>
      <c r="V20" s="32" t="str">
        <f t="shared" si="11"/>
        <v/>
      </c>
      <c r="W20" s="12" t="str">
        <f t="shared" si="12"/>
        <v/>
      </c>
      <c r="X20" s="31"/>
      <c r="Y20" s="31"/>
      <c r="Z20" s="29"/>
      <c r="AA20" s="33"/>
      <c r="AC20" s="36">
        <v>1.0</v>
      </c>
      <c r="AD20" s="42" t="str">
        <f>IF($AK$18+7*(1-1)&gt;$A$37,"",TEXT($AK$18+7*(1-1),"m/d")&amp;"-"&amp;TEXT($AK$18+7*(1-1)+6,"m/d"))</f>
        <v>11/3-11/9</v>
      </c>
      <c r="AE20" s="35">
        <f>IF($AD20="","",(SUMIFS($I$8:$I$37,$A$8:$A$37,"&gt;="&amp;$AK$18+7*(1-1),$A$8:$A$37,"&lt;="&amp;$AK$18+7*(1-1)+6)+SUMIFS('2026年12月'!$I$8:$I$38,'2026年12月'!$A$8:$A$38,"&gt;="&amp;$AK$18+7*(1-1),'2026年12月'!$A$8:$A$38,"&lt;="&amp;$AK$18+7*(1-1)+6)))</f>
        <v>0</v>
      </c>
      <c r="AF20" s="37" t="str">
        <f>IF($AD20="","",IFERROR((SUMIFS($O$8:$O$37,$A$8:$A$37,"&gt;="&amp;$AK$18+7*(1-1),$A$8:$A$37,"&lt;="&amp;$AK$18+7*(1-1)+6)+SUMIFS('2026年12月'!$O$8:$O$38,'2026年12月'!$A$8:$A$38,"&gt;="&amp;$AK$18+7*(1-1),'2026年12月'!$A$8:$A$38,"&lt;="&amp;$AK$18+7*(1-1)+6))/(SUMIFS($Q$8:$Q$37,$A$8:$A$37,"&gt;="&amp;$AK$18+7*(1-1),$A$8:$A$37,"&lt;="&amp;$AK$18+7*(1-1)+6)+SUMIFS('2026年12月'!$Q$8:$Q$38,'2026年12月'!$A$8:$A$38,"&gt;="&amp;$AK$18+7*(1-1),'2026年12月'!$A$8:$A$38,"&lt;="&amp;$AK$18+7*(1-1)+6)),""))</f>
        <v/>
      </c>
      <c r="AG20" s="35" t="str">
        <f>IF($AD20="","",IFERROR((SUMIFS($I$8:$I$37,$A$8:$A$37,"&gt;="&amp;$AK$18+7*(1-1),$A$8:$A$37,"&lt;="&amp;$AK$18+7*(1-1)+6)+SUMIFS('2026年12月'!$I$8:$I$38,'2026年12月'!$A$8:$A$38,"&gt;="&amp;$AK$18+7*(1-1),'2026年12月'!$A$8:$A$38,"&lt;="&amp;$AK$18+7*(1-1)+6))/(SUMIFS($O$8:$O$37,$A$8:$A$37,"&gt;="&amp;$AK$18+7*(1-1),$A$8:$A$37,"&lt;="&amp;$AK$18+7*(1-1)+6)+SUMIFS('2026年12月'!$O$8:$O$38,'2026年12月'!$A$8:$A$38,"&gt;="&amp;$AK$18+7*(1-1),'2026年12月'!$A$8:$A$38,"&lt;="&amp;$AK$18+7*(1-1)+6)),""))</f>
        <v/>
      </c>
      <c r="AH20" s="43" t="str">
        <f>IF($AD20="","",IFERROR((SUMIFS($P$8:$P$37,$A$8:$A$37,"&gt;="&amp;$AK$18+7*(1-1),$A$8:$A$37,"&lt;="&amp;$AK$18+7*(1-1)+6)+SUMIFS('2026年12月'!$P$8:$P$38,'2026年12月'!$A$8:$A$38,"&gt;="&amp;$AK$18+7*(1-1),'2026年12月'!$A$8:$A$38,"&lt;="&amp;$AK$18+7*(1-1)+6))/(SUMIFS($O$8:$O$37,$A$8:$A$37,"&gt;="&amp;$AK$18+7*(1-1),$A$8:$A$37,"&lt;="&amp;$AK$18+7*(1-1)+6)+SUMIFS('2026年12月'!$O$8:$O$38,'2026年12月'!$A$8:$A$38,"&gt;="&amp;$AK$18+7*(1-1),'2026年12月'!$A$8:$A$38,"&lt;="&amp;$AK$18+7*(1-1)+6)),""))</f>
        <v/>
      </c>
      <c r="AI20" s="37" t="str">
        <f>IF($AD20="","",IFERROR((SUMIFS($R$8:$R$37,$A$8:$A$37,"&gt;="&amp;$AK$18+7*(1-1),$A$8:$A$37,"&lt;="&amp;$AK$18+7*(1-1)+6)+SUMIFS('2026年12月'!$R$8:$R$38,'2026年12月'!$A$8:$A$38,"&gt;="&amp;$AK$18+7*(1-1),'2026年12月'!$A$8:$A$38,"&lt;="&amp;$AK$18+7*(1-1)+6))/(SUMIFS($Q$8:$Q$37,$A$8:$A$37,"&gt;="&amp;$AK$18+7*(1-1),$A$8:$A$37,"&lt;="&amp;$AK$18+7*(1-1)+6)+SUMIFS('2026年12月'!$Q$8:$Q$38,'2026年12月'!$A$8:$A$38,"&gt;="&amp;$AK$18+7*(1-1),'2026年12月'!$A$8:$A$38,"&lt;="&amp;$AK$18+7*(1-1)+6)),""))</f>
        <v/>
      </c>
    </row>
    <row r="21" ht="15.75" customHeight="1">
      <c r="A21" s="38">
        <v>46340.0</v>
      </c>
      <c r="B21" s="14" t="str">
        <f t="shared" si="2"/>
        <v>土</v>
      </c>
      <c r="C21" s="29"/>
      <c r="D21" s="15">
        <f t="shared" si="3"/>
        <v>0</v>
      </c>
      <c r="E21" s="29"/>
      <c r="F21" s="29"/>
      <c r="G21" s="29"/>
      <c r="H21" s="29"/>
      <c r="I21" s="15" t="str">
        <f t="shared" si="4"/>
        <v/>
      </c>
      <c r="J21" s="15" t="str">
        <f t="shared" si="5"/>
        <v/>
      </c>
      <c r="K21" s="16" t="str">
        <f t="shared" ref="K21:L21" si="28">IF(I21="","",IFERROR(I21/C21,""))</f>
        <v/>
      </c>
      <c r="L21" s="16" t="str">
        <f t="shared" si="28"/>
        <v/>
      </c>
      <c r="M21" s="15" t="str">
        <f t="shared" si="7"/>
        <v/>
      </c>
      <c r="N21" s="39" t="str">
        <f t="shared" si="8"/>
        <v>—</v>
      </c>
      <c r="O21" s="31"/>
      <c r="P21" s="31"/>
      <c r="Q21" s="31"/>
      <c r="R21" s="31"/>
      <c r="S21" s="31"/>
      <c r="T21" s="16" t="str">
        <f t="shared" si="9"/>
        <v/>
      </c>
      <c r="U21" s="15" t="str">
        <f t="shared" si="10"/>
        <v/>
      </c>
      <c r="V21" s="40" t="str">
        <f t="shared" si="11"/>
        <v/>
      </c>
      <c r="W21" s="16" t="str">
        <f t="shared" si="12"/>
        <v/>
      </c>
      <c r="X21" s="31"/>
      <c r="Y21" s="31"/>
      <c r="Z21" s="29"/>
      <c r="AA21" s="33"/>
      <c r="AC21" s="36">
        <v>2.0</v>
      </c>
      <c r="AD21" s="42" t="str">
        <f>IF($AK$18+7*(2-1)&gt;$A$37,"",TEXT($AK$18+7*(2-1),"m/d")&amp;"-"&amp;TEXT($AK$18+7*(2-1)+6,"m/d"))</f>
        <v>11/10-11/16</v>
      </c>
      <c r="AE21" s="35">
        <f>IF($AD21="","",(SUMIFS($I$8:$I$37,$A$8:$A$37,"&gt;="&amp;$AK$18+7*(2-1),$A$8:$A$37,"&lt;="&amp;$AK$18+7*(2-1)+6)+SUMIFS('2026年12月'!$I$8:$I$38,'2026年12月'!$A$8:$A$38,"&gt;="&amp;$AK$18+7*(2-1),'2026年12月'!$A$8:$A$38,"&lt;="&amp;$AK$18+7*(2-1)+6)))</f>
        <v>0</v>
      </c>
      <c r="AF21" s="37" t="str">
        <f>IF($AD21="","",IFERROR((SUMIFS($O$8:$O$37,$A$8:$A$37,"&gt;="&amp;$AK$18+7*(2-1),$A$8:$A$37,"&lt;="&amp;$AK$18+7*(2-1)+6)+SUMIFS('2026年12月'!$O$8:$O$38,'2026年12月'!$A$8:$A$38,"&gt;="&amp;$AK$18+7*(2-1),'2026年12月'!$A$8:$A$38,"&lt;="&amp;$AK$18+7*(2-1)+6))/(SUMIFS($Q$8:$Q$37,$A$8:$A$37,"&gt;="&amp;$AK$18+7*(2-1),$A$8:$A$37,"&lt;="&amp;$AK$18+7*(2-1)+6)+SUMIFS('2026年12月'!$Q$8:$Q$38,'2026年12月'!$A$8:$A$38,"&gt;="&amp;$AK$18+7*(2-1),'2026年12月'!$A$8:$A$38,"&lt;="&amp;$AK$18+7*(2-1)+6)),""))</f>
        <v/>
      </c>
      <c r="AG21" s="35" t="str">
        <f>IF($AD21="","",IFERROR((SUMIFS($I$8:$I$37,$A$8:$A$37,"&gt;="&amp;$AK$18+7*(2-1),$A$8:$A$37,"&lt;="&amp;$AK$18+7*(2-1)+6)+SUMIFS('2026年12月'!$I$8:$I$38,'2026年12月'!$A$8:$A$38,"&gt;="&amp;$AK$18+7*(2-1),'2026年12月'!$A$8:$A$38,"&lt;="&amp;$AK$18+7*(2-1)+6))/(SUMIFS($O$8:$O$37,$A$8:$A$37,"&gt;="&amp;$AK$18+7*(2-1),$A$8:$A$37,"&lt;="&amp;$AK$18+7*(2-1)+6)+SUMIFS('2026年12月'!$O$8:$O$38,'2026年12月'!$A$8:$A$38,"&gt;="&amp;$AK$18+7*(2-1),'2026年12月'!$A$8:$A$38,"&lt;="&amp;$AK$18+7*(2-1)+6)),""))</f>
        <v/>
      </c>
      <c r="AH21" s="43" t="str">
        <f>IF($AD21="","",IFERROR((SUMIFS($P$8:$P$37,$A$8:$A$37,"&gt;="&amp;$AK$18+7*(2-1),$A$8:$A$37,"&lt;="&amp;$AK$18+7*(2-1)+6)+SUMIFS('2026年12月'!$P$8:$P$38,'2026年12月'!$A$8:$A$38,"&gt;="&amp;$AK$18+7*(2-1),'2026年12月'!$A$8:$A$38,"&lt;="&amp;$AK$18+7*(2-1)+6))/(SUMIFS($O$8:$O$37,$A$8:$A$37,"&gt;="&amp;$AK$18+7*(2-1),$A$8:$A$37,"&lt;="&amp;$AK$18+7*(2-1)+6)+SUMIFS('2026年12月'!$O$8:$O$38,'2026年12月'!$A$8:$A$38,"&gt;="&amp;$AK$18+7*(2-1),'2026年12月'!$A$8:$A$38,"&lt;="&amp;$AK$18+7*(2-1)+6)),""))</f>
        <v/>
      </c>
      <c r="AI21" s="37" t="str">
        <f>IF($AD21="","",IFERROR((SUMIFS($R$8:$R$37,$A$8:$A$37,"&gt;="&amp;$AK$18+7*(2-1),$A$8:$A$37,"&lt;="&amp;$AK$18+7*(2-1)+6)+SUMIFS('2026年12月'!$R$8:$R$38,'2026年12月'!$A$8:$A$38,"&gt;="&amp;$AK$18+7*(2-1),'2026年12月'!$A$8:$A$38,"&lt;="&amp;$AK$18+7*(2-1)+6))/(SUMIFS($Q$8:$Q$37,$A$8:$A$37,"&gt;="&amp;$AK$18+7*(2-1),$A$8:$A$37,"&lt;="&amp;$AK$18+7*(2-1)+6)+SUMIFS('2026年12月'!$Q$8:$Q$38,'2026年12月'!$A$8:$A$38,"&gt;="&amp;$AK$18+7*(2-1),'2026年12月'!$A$8:$A$38,"&lt;="&amp;$AK$18+7*(2-1)+6)),""))</f>
        <v/>
      </c>
    </row>
    <row r="22" ht="15.75" customHeight="1">
      <c r="A22" s="28">
        <v>46341.0</v>
      </c>
      <c r="B22" s="10" t="str">
        <f t="shared" si="2"/>
        <v>日</v>
      </c>
      <c r="C22" s="29"/>
      <c r="D22" s="11">
        <f t="shared" si="3"/>
        <v>0</v>
      </c>
      <c r="E22" s="29"/>
      <c r="F22" s="29"/>
      <c r="G22" s="29"/>
      <c r="H22" s="29"/>
      <c r="I22" s="11" t="str">
        <f t="shared" si="4"/>
        <v/>
      </c>
      <c r="J22" s="11" t="str">
        <f t="shared" si="5"/>
        <v/>
      </c>
      <c r="K22" s="12" t="str">
        <f t="shared" ref="K22:L22" si="29">IF(I22="","",IFERROR(I22/C22,""))</f>
        <v/>
      </c>
      <c r="L22" s="12" t="str">
        <f t="shared" si="29"/>
        <v/>
      </c>
      <c r="M22" s="11" t="str">
        <f t="shared" si="7"/>
        <v/>
      </c>
      <c r="N22" s="30" t="str">
        <f t="shared" si="8"/>
        <v>—</v>
      </c>
      <c r="O22" s="31"/>
      <c r="P22" s="31"/>
      <c r="Q22" s="31"/>
      <c r="R22" s="31"/>
      <c r="S22" s="31"/>
      <c r="T22" s="12" t="str">
        <f t="shared" si="9"/>
        <v/>
      </c>
      <c r="U22" s="11" t="str">
        <f t="shared" si="10"/>
        <v/>
      </c>
      <c r="V22" s="32" t="str">
        <f t="shared" si="11"/>
        <v/>
      </c>
      <c r="W22" s="12" t="str">
        <f t="shared" si="12"/>
        <v/>
      </c>
      <c r="X22" s="31"/>
      <c r="Y22" s="31"/>
      <c r="Z22" s="29"/>
      <c r="AA22" s="33"/>
      <c r="AC22" s="36">
        <v>3.0</v>
      </c>
      <c r="AD22" s="42" t="str">
        <f>IF($AK$18+7*(3-1)&gt;$A$37,"",TEXT($AK$18+7*(3-1),"m/d")&amp;"-"&amp;TEXT($AK$18+7*(3-1)+6,"m/d"))</f>
        <v>11/17-11/23</v>
      </c>
      <c r="AE22" s="35">
        <f>IF($AD22="","",(SUMIFS($I$8:$I$37,$A$8:$A$37,"&gt;="&amp;$AK$18+7*(3-1),$A$8:$A$37,"&lt;="&amp;$AK$18+7*(3-1)+6)+SUMIFS('2026年12月'!$I$8:$I$38,'2026年12月'!$A$8:$A$38,"&gt;="&amp;$AK$18+7*(3-1),'2026年12月'!$A$8:$A$38,"&lt;="&amp;$AK$18+7*(3-1)+6)))</f>
        <v>0</v>
      </c>
      <c r="AF22" s="37" t="str">
        <f>IF($AD22="","",IFERROR((SUMIFS($O$8:$O$37,$A$8:$A$37,"&gt;="&amp;$AK$18+7*(3-1),$A$8:$A$37,"&lt;="&amp;$AK$18+7*(3-1)+6)+SUMIFS('2026年12月'!$O$8:$O$38,'2026年12月'!$A$8:$A$38,"&gt;="&amp;$AK$18+7*(3-1),'2026年12月'!$A$8:$A$38,"&lt;="&amp;$AK$18+7*(3-1)+6))/(SUMIFS($Q$8:$Q$37,$A$8:$A$37,"&gt;="&amp;$AK$18+7*(3-1),$A$8:$A$37,"&lt;="&amp;$AK$18+7*(3-1)+6)+SUMIFS('2026年12月'!$Q$8:$Q$38,'2026年12月'!$A$8:$A$38,"&gt;="&amp;$AK$18+7*(3-1),'2026年12月'!$A$8:$A$38,"&lt;="&amp;$AK$18+7*(3-1)+6)),""))</f>
        <v/>
      </c>
      <c r="AG22" s="35" t="str">
        <f>IF($AD22="","",IFERROR((SUMIFS($I$8:$I$37,$A$8:$A$37,"&gt;="&amp;$AK$18+7*(3-1),$A$8:$A$37,"&lt;="&amp;$AK$18+7*(3-1)+6)+SUMIFS('2026年12月'!$I$8:$I$38,'2026年12月'!$A$8:$A$38,"&gt;="&amp;$AK$18+7*(3-1),'2026年12月'!$A$8:$A$38,"&lt;="&amp;$AK$18+7*(3-1)+6))/(SUMIFS($O$8:$O$37,$A$8:$A$37,"&gt;="&amp;$AK$18+7*(3-1),$A$8:$A$37,"&lt;="&amp;$AK$18+7*(3-1)+6)+SUMIFS('2026年12月'!$O$8:$O$38,'2026年12月'!$A$8:$A$38,"&gt;="&amp;$AK$18+7*(3-1),'2026年12月'!$A$8:$A$38,"&lt;="&amp;$AK$18+7*(3-1)+6)),""))</f>
        <v/>
      </c>
      <c r="AH22" s="43" t="str">
        <f>IF($AD22="","",IFERROR((SUMIFS($P$8:$P$37,$A$8:$A$37,"&gt;="&amp;$AK$18+7*(3-1),$A$8:$A$37,"&lt;="&amp;$AK$18+7*(3-1)+6)+SUMIFS('2026年12月'!$P$8:$P$38,'2026年12月'!$A$8:$A$38,"&gt;="&amp;$AK$18+7*(3-1),'2026年12月'!$A$8:$A$38,"&lt;="&amp;$AK$18+7*(3-1)+6))/(SUMIFS($O$8:$O$37,$A$8:$A$37,"&gt;="&amp;$AK$18+7*(3-1),$A$8:$A$37,"&lt;="&amp;$AK$18+7*(3-1)+6)+SUMIFS('2026年12月'!$O$8:$O$38,'2026年12月'!$A$8:$A$38,"&gt;="&amp;$AK$18+7*(3-1),'2026年12月'!$A$8:$A$38,"&lt;="&amp;$AK$18+7*(3-1)+6)),""))</f>
        <v/>
      </c>
      <c r="AI22" s="37" t="str">
        <f>IF($AD22="","",IFERROR((SUMIFS($R$8:$R$37,$A$8:$A$37,"&gt;="&amp;$AK$18+7*(3-1),$A$8:$A$37,"&lt;="&amp;$AK$18+7*(3-1)+6)+SUMIFS('2026年12月'!$R$8:$R$38,'2026年12月'!$A$8:$A$38,"&gt;="&amp;$AK$18+7*(3-1),'2026年12月'!$A$8:$A$38,"&lt;="&amp;$AK$18+7*(3-1)+6))/(SUMIFS($Q$8:$Q$37,$A$8:$A$37,"&gt;="&amp;$AK$18+7*(3-1),$A$8:$A$37,"&lt;="&amp;$AK$18+7*(3-1)+6)+SUMIFS('2026年12月'!$Q$8:$Q$38,'2026年12月'!$A$8:$A$38,"&gt;="&amp;$AK$18+7*(3-1),'2026年12月'!$A$8:$A$38,"&lt;="&amp;$AK$18+7*(3-1)+6)),""))</f>
        <v/>
      </c>
    </row>
    <row r="23" ht="15.75" customHeight="1">
      <c r="A23" s="38">
        <v>46342.0</v>
      </c>
      <c r="B23" s="14" t="str">
        <f t="shared" si="2"/>
        <v>月</v>
      </c>
      <c r="C23" s="29"/>
      <c r="D23" s="15">
        <f t="shared" si="3"/>
        <v>0</v>
      </c>
      <c r="E23" s="29"/>
      <c r="F23" s="29"/>
      <c r="G23" s="29"/>
      <c r="H23" s="29"/>
      <c r="I23" s="15" t="str">
        <f t="shared" si="4"/>
        <v/>
      </c>
      <c r="J23" s="15" t="str">
        <f t="shared" si="5"/>
        <v/>
      </c>
      <c r="K23" s="16" t="str">
        <f t="shared" ref="K23:L23" si="30">IF(I23="","",IFERROR(I23/C23,""))</f>
        <v/>
      </c>
      <c r="L23" s="16" t="str">
        <f t="shared" si="30"/>
        <v/>
      </c>
      <c r="M23" s="15" t="str">
        <f t="shared" si="7"/>
        <v/>
      </c>
      <c r="N23" s="39" t="str">
        <f t="shared" si="8"/>
        <v>—</v>
      </c>
      <c r="O23" s="31"/>
      <c r="P23" s="31"/>
      <c r="Q23" s="31"/>
      <c r="R23" s="31"/>
      <c r="S23" s="31"/>
      <c r="T23" s="16" t="str">
        <f t="shared" si="9"/>
        <v/>
      </c>
      <c r="U23" s="15" t="str">
        <f t="shared" si="10"/>
        <v/>
      </c>
      <c r="V23" s="40" t="str">
        <f t="shared" si="11"/>
        <v/>
      </c>
      <c r="W23" s="16" t="str">
        <f t="shared" si="12"/>
        <v/>
      </c>
      <c r="X23" s="31"/>
      <c r="Y23" s="31"/>
      <c r="Z23" s="29"/>
      <c r="AA23" s="33"/>
      <c r="AC23" s="36">
        <v>4.0</v>
      </c>
      <c r="AD23" s="42" t="str">
        <f>IF($AK$18+7*(4-1)&gt;$A$37,"",TEXT($AK$18+7*(4-1),"m/d")&amp;"-"&amp;TEXT($AK$18+7*(4-1)+6,"m/d"))</f>
        <v>11/24-11/30</v>
      </c>
      <c r="AE23" s="35">
        <f>IF($AD23="","",(SUMIFS($I$8:$I$37,$A$8:$A$37,"&gt;="&amp;$AK$18+7*(4-1),$A$8:$A$37,"&lt;="&amp;$AK$18+7*(4-1)+6)+SUMIFS('2026年12月'!$I$8:$I$38,'2026年12月'!$A$8:$A$38,"&gt;="&amp;$AK$18+7*(4-1),'2026年12月'!$A$8:$A$38,"&lt;="&amp;$AK$18+7*(4-1)+6)))</f>
        <v>0</v>
      </c>
      <c r="AF23" s="37" t="str">
        <f>IF($AD23="","",IFERROR((SUMIFS($O$8:$O$37,$A$8:$A$37,"&gt;="&amp;$AK$18+7*(4-1),$A$8:$A$37,"&lt;="&amp;$AK$18+7*(4-1)+6)+SUMIFS('2026年12月'!$O$8:$O$38,'2026年12月'!$A$8:$A$38,"&gt;="&amp;$AK$18+7*(4-1),'2026年12月'!$A$8:$A$38,"&lt;="&amp;$AK$18+7*(4-1)+6))/(SUMIFS($Q$8:$Q$37,$A$8:$A$37,"&gt;="&amp;$AK$18+7*(4-1),$A$8:$A$37,"&lt;="&amp;$AK$18+7*(4-1)+6)+SUMIFS('2026年12月'!$Q$8:$Q$38,'2026年12月'!$A$8:$A$38,"&gt;="&amp;$AK$18+7*(4-1),'2026年12月'!$A$8:$A$38,"&lt;="&amp;$AK$18+7*(4-1)+6)),""))</f>
        <v/>
      </c>
      <c r="AG23" s="35" t="str">
        <f>IF($AD23="","",IFERROR((SUMIFS($I$8:$I$37,$A$8:$A$37,"&gt;="&amp;$AK$18+7*(4-1),$A$8:$A$37,"&lt;="&amp;$AK$18+7*(4-1)+6)+SUMIFS('2026年12月'!$I$8:$I$38,'2026年12月'!$A$8:$A$38,"&gt;="&amp;$AK$18+7*(4-1),'2026年12月'!$A$8:$A$38,"&lt;="&amp;$AK$18+7*(4-1)+6))/(SUMIFS($O$8:$O$37,$A$8:$A$37,"&gt;="&amp;$AK$18+7*(4-1),$A$8:$A$37,"&lt;="&amp;$AK$18+7*(4-1)+6)+SUMIFS('2026年12月'!$O$8:$O$38,'2026年12月'!$A$8:$A$38,"&gt;="&amp;$AK$18+7*(4-1),'2026年12月'!$A$8:$A$38,"&lt;="&amp;$AK$18+7*(4-1)+6)),""))</f>
        <v/>
      </c>
      <c r="AH23" s="43" t="str">
        <f>IF($AD23="","",IFERROR((SUMIFS($P$8:$P$37,$A$8:$A$37,"&gt;="&amp;$AK$18+7*(4-1),$A$8:$A$37,"&lt;="&amp;$AK$18+7*(4-1)+6)+SUMIFS('2026年12月'!$P$8:$P$38,'2026年12月'!$A$8:$A$38,"&gt;="&amp;$AK$18+7*(4-1),'2026年12月'!$A$8:$A$38,"&lt;="&amp;$AK$18+7*(4-1)+6))/(SUMIFS($O$8:$O$37,$A$8:$A$37,"&gt;="&amp;$AK$18+7*(4-1),$A$8:$A$37,"&lt;="&amp;$AK$18+7*(4-1)+6)+SUMIFS('2026年12月'!$O$8:$O$38,'2026年12月'!$A$8:$A$38,"&gt;="&amp;$AK$18+7*(4-1),'2026年12月'!$A$8:$A$38,"&lt;="&amp;$AK$18+7*(4-1)+6)),""))</f>
        <v/>
      </c>
      <c r="AI23" s="37" t="str">
        <f>IF($AD23="","",IFERROR((SUMIFS($R$8:$R$37,$A$8:$A$37,"&gt;="&amp;$AK$18+7*(4-1),$A$8:$A$37,"&lt;="&amp;$AK$18+7*(4-1)+6)+SUMIFS('2026年12月'!$R$8:$R$38,'2026年12月'!$A$8:$A$38,"&gt;="&amp;$AK$18+7*(4-1),'2026年12月'!$A$8:$A$38,"&lt;="&amp;$AK$18+7*(4-1)+6))/(SUMIFS($Q$8:$Q$37,$A$8:$A$37,"&gt;="&amp;$AK$18+7*(4-1),$A$8:$A$37,"&lt;="&amp;$AK$18+7*(4-1)+6)+SUMIFS('2026年12月'!$Q$8:$Q$38,'2026年12月'!$A$8:$A$38,"&gt;="&amp;$AK$18+7*(4-1),'2026年12月'!$A$8:$A$38,"&lt;="&amp;$AK$18+7*(4-1)+6)),""))</f>
        <v/>
      </c>
    </row>
    <row r="24" ht="15.75" customHeight="1">
      <c r="A24" s="28">
        <v>46343.0</v>
      </c>
      <c r="B24" s="10" t="str">
        <f t="shared" si="2"/>
        <v>火</v>
      </c>
      <c r="C24" s="29"/>
      <c r="D24" s="11">
        <f t="shared" si="3"/>
        <v>0</v>
      </c>
      <c r="E24" s="29"/>
      <c r="F24" s="29"/>
      <c r="G24" s="29"/>
      <c r="H24" s="29"/>
      <c r="I24" s="11" t="str">
        <f t="shared" si="4"/>
        <v/>
      </c>
      <c r="J24" s="11" t="str">
        <f t="shared" si="5"/>
        <v/>
      </c>
      <c r="K24" s="12" t="str">
        <f t="shared" ref="K24:L24" si="31">IF(I24="","",IFERROR(I24/C24,""))</f>
        <v/>
      </c>
      <c r="L24" s="12" t="str">
        <f t="shared" si="31"/>
        <v/>
      </c>
      <c r="M24" s="11" t="str">
        <f t="shared" si="7"/>
        <v/>
      </c>
      <c r="N24" s="30" t="str">
        <f t="shared" si="8"/>
        <v>—</v>
      </c>
      <c r="O24" s="31"/>
      <c r="P24" s="31"/>
      <c r="Q24" s="31"/>
      <c r="R24" s="31"/>
      <c r="S24" s="31"/>
      <c r="T24" s="12" t="str">
        <f t="shared" si="9"/>
        <v/>
      </c>
      <c r="U24" s="11" t="str">
        <f t="shared" si="10"/>
        <v/>
      </c>
      <c r="V24" s="32" t="str">
        <f t="shared" si="11"/>
        <v/>
      </c>
      <c r="W24" s="12" t="str">
        <f t="shared" si="12"/>
        <v/>
      </c>
      <c r="X24" s="31"/>
      <c r="Y24" s="31"/>
      <c r="Z24" s="29"/>
      <c r="AA24" s="33"/>
      <c r="AC24" s="36">
        <v>5.0</v>
      </c>
      <c r="AD24" s="42" t="str">
        <f>IF($AK$18+7*(5-1)&gt;$A$37,"",TEXT($AK$18+7*(5-1),"m/d")&amp;"-"&amp;TEXT($AK$18+7*(5-1)+6,"m/d"))</f>
        <v/>
      </c>
      <c r="AE24" s="35" t="str">
        <f>IF($AD24="","",(SUMIFS($I$8:$I$37,$A$8:$A$37,"&gt;="&amp;$AK$18+7*(5-1),$A$8:$A$37,"&lt;="&amp;$AK$18+7*(5-1)+6)+SUMIFS('2026年12月'!$I$8:$I$38,'2026年12月'!$A$8:$A$38,"&gt;="&amp;$AK$18+7*(5-1),'2026年12月'!$A$8:$A$38,"&lt;="&amp;$AK$18+7*(5-1)+6)))</f>
        <v/>
      </c>
      <c r="AF24" s="37" t="str">
        <f>IF($AD24="","",IFERROR((SUMIFS($O$8:$O$37,$A$8:$A$37,"&gt;="&amp;$AK$18+7*(5-1),$A$8:$A$37,"&lt;="&amp;$AK$18+7*(5-1)+6)+SUMIFS('2026年12月'!$O$8:$O$38,'2026年12月'!$A$8:$A$38,"&gt;="&amp;$AK$18+7*(5-1),'2026年12月'!$A$8:$A$38,"&lt;="&amp;$AK$18+7*(5-1)+6))/(SUMIFS($Q$8:$Q$37,$A$8:$A$37,"&gt;="&amp;$AK$18+7*(5-1),$A$8:$A$37,"&lt;="&amp;$AK$18+7*(5-1)+6)+SUMIFS('2026年12月'!$Q$8:$Q$38,'2026年12月'!$A$8:$A$38,"&gt;="&amp;$AK$18+7*(5-1),'2026年12月'!$A$8:$A$38,"&lt;="&amp;$AK$18+7*(5-1)+6)),""))</f>
        <v/>
      </c>
      <c r="AG24" s="35" t="str">
        <f>IF($AD24="","",IFERROR((SUMIFS($I$8:$I$37,$A$8:$A$37,"&gt;="&amp;$AK$18+7*(5-1),$A$8:$A$37,"&lt;="&amp;$AK$18+7*(5-1)+6)+SUMIFS('2026年12月'!$I$8:$I$38,'2026年12月'!$A$8:$A$38,"&gt;="&amp;$AK$18+7*(5-1),'2026年12月'!$A$8:$A$38,"&lt;="&amp;$AK$18+7*(5-1)+6))/(SUMIFS($O$8:$O$37,$A$8:$A$37,"&gt;="&amp;$AK$18+7*(5-1),$A$8:$A$37,"&lt;="&amp;$AK$18+7*(5-1)+6)+SUMIFS('2026年12月'!$O$8:$O$38,'2026年12月'!$A$8:$A$38,"&gt;="&amp;$AK$18+7*(5-1),'2026年12月'!$A$8:$A$38,"&lt;="&amp;$AK$18+7*(5-1)+6)),""))</f>
        <v/>
      </c>
      <c r="AH24" s="43" t="str">
        <f>IF($AD24="","",IFERROR((SUMIFS($P$8:$P$37,$A$8:$A$37,"&gt;="&amp;$AK$18+7*(5-1),$A$8:$A$37,"&lt;="&amp;$AK$18+7*(5-1)+6)+SUMIFS('2026年12月'!$P$8:$P$38,'2026年12月'!$A$8:$A$38,"&gt;="&amp;$AK$18+7*(5-1),'2026年12月'!$A$8:$A$38,"&lt;="&amp;$AK$18+7*(5-1)+6))/(SUMIFS($O$8:$O$37,$A$8:$A$37,"&gt;="&amp;$AK$18+7*(5-1),$A$8:$A$37,"&lt;="&amp;$AK$18+7*(5-1)+6)+SUMIFS('2026年12月'!$O$8:$O$38,'2026年12月'!$A$8:$A$38,"&gt;="&amp;$AK$18+7*(5-1),'2026年12月'!$A$8:$A$38,"&lt;="&amp;$AK$18+7*(5-1)+6)),""))</f>
        <v/>
      </c>
      <c r="AI24" s="37" t="str">
        <f>IF($AD24="","",IFERROR((SUMIFS($R$8:$R$37,$A$8:$A$37,"&gt;="&amp;$AK$18+7*(5-1),$A$8:$A$37,"&lt;="&amp;$AK$18+7*(5-1)+6)+SUMIFS('2026年12月'!$R$8:$R$38,'2026年12月'!$A$8:$A$38,"&gt;="&amp;$AK$18+7*(5-1),'2026年12月'!$A$8:$A$38,"&lt;="&amp;$AK$18+7*(5-1)+6))/(SUMIFS($Q$8:$Q$37,$A$8:$A$37,"&gt;="&amp;$AK$18+7*(5-1),$A$8:$A$37,"&lt;="&amp;$AK$18+7*(5-1)+6)+SUMIFS('2026年12月'!$Q$8:$Q$38,'2026年12月'!$A$8:$A$38,"&gt;="&amp;$AK$18+7*(5-1),'2026年12月'!$A$8:$A$38,"&lt;="&amp;$AK$18+7*(5-1)+6)),""))</f>
        <v/>
      </c>
    </row>
    <row r="25" ht="15.75" customHeight="1">
      <c r="A25" s="38">
        <v>46344.0</v>
      </c>
      <c r="B25" s="14" t="str">
        <f t="shared" si="2"/>
        <v>水</v>
      </c>
      <c r="C25" s="29"/>
      <c r="D25" s="15">
        <f t="shared" si="3"/>
        <v>0</v>
      </c>
      <c r="E25" s="29"/>
      <c r="F25" s="29"/>
      <c r="G25" s="29"/>
      <c r="H25" s="29"/>
      <c r="I25" s="15" t="str">
        <f t="shared" si="4"/>
        <v/>
      </c>
      <c r="J25" s="15" t="str">
        <f t="shared" si="5"/>
        <v/>
      </c>
      <c r="K25" s="16" t="str">
        <f t="shared" ref="K25:L25" si="32">IF(I25="","",IFERROR(I25/C25,""))</f>
        <v/>
      </c>
      <c r="L25" s="16" t="str">
        <f t="shared" si="32"/>
        <v/>
      </c>
      <c r="M25" s="15" t="str">
        <f t="shared" si="7"/>
        <v/>
      </c>
      <c r="N25" s="39" t="str">
        <f t="shared" si="8"/>
        <v>—</v>
      </c>
      <c r="O25" s="31"/>
      <c r="P25" s="31"/>
      <c r="Q25" s="31"/>
      <c r="R25" s="31"/>
      <c r="S25" s="31"/>
      <c r="T25" s="16" t="str">
        <f t="shared" si="9"/>
        <v/>
      </c>
      <c r="U25" s="15" t="str">
        <f t="shared" si="10"/>
        <v/>
      </c>
      <c r="V25" s="40" t="str">
        <f t="shared" si="11"/>
        <v/>
      </c>
      <c r="W25" s="16" t="str">
        <f t="shared" si="12"/>
        <v/>
      </c>
      <c r="X25" s="31"/>
      <c r="Y25" s="31"/>
      <c r="Z25" s="29"/>
      <c r="AA25" s="33"/>
      <c r="AC25" s="36">
        <v>6.0</v>
      </c>
      <c r="AD25" s="42" t="str">
        <f>IF($AK$18+7*(6-1)&gt;$A$37,"",TEXT($AK$18+7*(6-1),"m/d")&amp;"-"&amp;TEXT($AK$18+7*(6-1)+6,"m/d"))</f>
        <v/>
      </c>
      <c r="AE25" s="35" t="str">
        <f>IF($AD25="","",(SUMIFS($I$8:$I$37,$A$8:$A$37,"&gt;="&amp;$AK$18+7*(6-1),$A$8:$A$37,"&lt;="&amp;$AK$18+7*(6-1)+6)+SUMIFS('2026年12月'!$I$8:$I$38,'2026年12月'!$A$8:$A$38,"&gt;="&amp;$AK$18+7*(6-1),'2026年12月'!$A$8:$A$38,"&lt;="&amp;$AK$18+7*(6-1)+6)))</f>
        <v/>
      </c>
      <c r="AF25" s="37" t="str">
        <f>IF($AD25="","",IFERROR((SUMIFS($O$8:$O$37,$A$8:$A$37,"&gt;="&amp;$AK$18+7*(6-1),$A$8:$A$37,"&lt;="&amp;$AK$18+7*(6-1)+6)+SUMIFS('2026年12月'!$O$8:$O$38,'2026年12月'!$A$8:$A$38,"&gt;="&amp;$AK$18+7*(6-1),'2026年12月'!$A$8:$A$38,"&lt;="&amp;$AK$18+7*(6-1)+6))/(SUMIFS($Q$8:$Q$37,$A$8:$A$37,"&gt;="&amp;$AK$18+7*(6-1),$A$8:$A$37,"&lt;="&amp;$AK$18+7*(6-1)+6)+SUMIFS('2026年12月'!$Q$8:$Q$38,'2026年12月'!$A$8:$A$38,"&gt;="&amp;$AK$18+7*(6-1),'2026年12月'!$A$8:$A$38,"&lt;="&amp;$AK$18+7*(6-1)+6)),""))</f>
        <v/>
      </c>
      <c r="AG25" s="35" t="str">
        <f>IF($AD25="","",IFERROR((SUMIFS($I$8:$I$37,$A$8:$A$37,"&gt;="&amp;$AK$18+7*(6-1),$A$8:$A$37,"&lt;="&amp;$AK$18+7*(6-1)+6)+SUMIFS('2026年12月'!$I$8:$I$38,'2026年12月'!$A$8:$A$38,"&gt;="&amp;$AK$18+7*(6-1),'2026年12月'!$A$8:$A$38,"&lt;="&amp;$AK$18+7*(6-1)+6))/(SUMIFS($O$8:$O$37,$A$8:$A$37,"&gt;="&amp;$AK$18+7*(6-1),$A$8:$A$37,"&lt;="&amp;$AK$18+7*(6-1)+6)+SUMIFS('2026年12月'!$O$8:$O$38,'2026年12月'!$A$8:$A$38,"&gt;="&amp;$AK$18+7*(6-1),'2026年12月'!$A$8:$A$38,"&lt;="&amp;$AK$18+7*(6-1)+6)),""))</f>
        <v/>
      </c>
      <c r="AH25" s="43" t="str">
        <f>IF($AD25="","",IFERROR((SUMIFS($P$8:$P$37,$A$8:$A$37,"&gt;="&amp;$AK$18+7*(6-1),$A$8:$A$37,"&lt;="&amp;$AK$18+7*(6-1)+6)+SUMIFS('2026年12月'!$P$8:$P$38,'2026年12月'!$A$8:$A$38,"&gt;="&amp;$AK$18+7*(6-1),'2026年12月'!$A$8:$A$38,"&lt;="&amp;$AK$18+7*(6-1)+6))/(SUMIFS($O$8:$O$37,$A$8:$A$37,"&gt;="&amp;$AK$18+7*(6-1),$A$8:$A$37,"&lt;="&amp;$AK$18+7*(6-1)+6)+SUMIFS('2026年12月'!$O$8:$O$38,'2026年12月'!$A$8:$A$38,"&gt;="&amp;$AK$18+7*(6-1),'2026年12月'!$A$8:$A$38,"&lt;="&amp;$AK$18+7*(6-1)+6)),""))</f>
        <v/>
      </c>
      <c r="AI25" s="37" t="str">
        <f>IF($AD25="","",IFERROR((SUMIFS($R$8:$R$37,$A$8:$A$37,"&gt;="&amp;$AK$18+7*(6-1),$A$8:$A$37,"&lt;="&amp;$AK$18+7*(6-1)+6)+SUMIFS('2026年12月'!$R$8:$R$38,'2026年12月'!$A$8:$A$38,"&gt;="&amp;$AK$18+7*(6-1),'2026年12月'!$A$8:$A$38,"&lt;="&amp;$AK$18+7*(6-1)+6))/(SUMIFS($Q$8:$Q$37,$A$8:$A$37,"&gt;="&amp;$AK$18+7*(6-1),$A$8:$A$37,"&lt;="&amp;$AK$18+7*(6-1)+6)+SUMIFS('2026年12月'!$Q$8:$Q$38,'2026年12月'!$A$8:$A$38,"&gt;="&amp;$AK$18+7*(6-1),'2026年12月'!$A$8:$A$38,"&lt;="&amp;$AK$18+7*(6-1)+6)),""))</f>
        <v/>
      </c>
    </row>
    <row r="26" ht="15.75" customHeight="1">
      <c r="A26" s="28">
        <v>46345.0</v>
      </c>
      <c r="B26" s="10" t="str">
        <f t="shared" si="2"/>
        <v>木</v>
      </c>
      <c r="C26" s="29"/>
      <c r="D26" s="11">
        <f t="shared" si="3"/>
        <v>0</v>
      </c>
      <c r="E26" s="29"/>
      <c r="F26" s="29"/>
      <c r="G26" s="29"/>
      <c r="H26" s="29"/>
      <c r="I26" s="11" t="str">
        <f t="shared" si="4"/>
        <v/>
      </c>
      <c r="J26" s="11" t="str">
        <f t="shared" si="5"/>
        <v/>
      </c>
      <c r="K26" s="12" t="str">
        <f t="shared" ref="K26:L26" si="33">IF(I26="","",IFERROR(I26/C26,""))</f>
        <v/>
      </c>
      <c r="L26" s="12" t="str">
        <f t="shared" si="33"/>
        <v/>
      </c>
      <c r="M26" s="11" t="str">
        <f t="shared" si="7"/>
        <v/>
      </c>
      <c r="N26" s="30" t="str">
        <f t="shared" si="8"/>
        <v>—</v>
      </c>
      <c r="O26" s="31"/>
      <c r="P26" s="31"/>
      <c r="Q26" s="31"/>
      <c r="R26" s="31"/>
      <c r="S26" s="31"/>
      <c r="T26" s="12" t="str">
        <f t="shared" si="9"/>
        <v/>
      </c>
      <c r="U26" s="11" t="str">
        <f t="shared" si="10"/>
        <v/>
      </c>
      <c r="V26" s="32" t="str">
        <f t="shared" si="11"/>
        <v/>
      </c>
      <c r="W26" s="12" t="str">
        <f t="shared" si="12"/>
        <v/>
      </c>
      <c r="X26" s="31"/>
      <c r="Y26" s="31"/>
      <c r="Z26" s="29"/>
      <c r="AA26" s="33"/>
      <c r="AC26" s="22" t="s">
        <v>134</v>
      </c>
    </row>
    <row r="27" ht="15.75" customHeight="1">
      <c r="A27" s="38">
        <v>46346.0</v>
      </c>
      <c r="B27" s="14" t="str">
        <f t="shared" si="2"/>
        <v>金</v>
      </c>
      <c r="C27" s="29"/>
      <c r="D27" s="15">
        <f t="shared" si="3"/>
        <v>0</v>
      </c>
      <c r="E27" s="29"/>
      <c r="F27" s="29"/>
      <c r="G27" s="29"/>
      <c r="H27" s="29"/>
      <c r="I27" s="15" t="str">
        <f t="shared" si="4"/>
        <v/>
      </c>
      <c r="J27" s="15" t="str">
        <f t="shared" si="5"/>
        <v/>
      </c>
      <c r="K27" s="16" t="str">
        <f t="shared" ref="K27:L27" si="34">IF(I27="","",IFERROR(I27/C27,""))</f>
        <v/>
      </c>
      <c r="L27" s="16" t="str">
        <f t="shared" si="34"/>
        <v/>
      </c>
      <c r="M27" s="15" t="str">
        <f t="shared" si="7"/>
        <v/>
      </c>
      <c r="N27" s="39" t="str">
        <f t="shared" si="8"/>
        <v>—</v>
      </c>
      <c r="O27" s="31"/>
      <c r="P27" s="31"/>
      <c r="Q27" s="31"/>
      <c r="R27" s="31"/>
      <c r="S27" s="31"/>
      <c r="T27" s="16" t="str">
        <f t="shared" si="9"/>
        <v/>
      </c>
      <c r="U27" s="15" t="str">
        <f t="shared" si="10"/>
        <v/>
      </c>
      <c r="V27" s="40" t="str">
        <f t="shared" si="11"/>
        <v/>
      </c>
      <c r="W27" s="16" t="str">
        <f t="shared" si="12"/>
        <v/>
      </c>
      <c r="X27" s="31"/>
      <c r="Y27" s="31"/>
      <c r="Z27" s="29"/>
      <c r="AA27" s="33"/>
      <c r="AC27" s="22" t="s">
        <v>135</v>
      </c>
    </row>
    <row r="28" ht="15.75" customHeight="1">
      <c r="A28" s="28">
        <v>46347.0</v>
      </c>
      <c r="B28" s="10" t="str">
        <f t="shared" si="2"/>
        <v>土</v>
      </c>
      <c r="C28" s="29"/>
      <c r="D28" s="11">
        <f t="shared" si="3"/>
        <v>0</v>
      </c>
      <c r="E28" s="29"/>
      <c r="F28" s="29"/>
      <c r="G28" s="29"/>
      <c r="H28" s="29"/>
      <c r="I28" s="11" t="str">
        <f t="shared" si="4"/>
        <v/>
      </c>
      <c r="J28" s="11" t="str">
        <f t="shared" si="5"/>
        <v/>
      </c>
      <c r="K28" s="12" t="str">
        <f t="shared" ref="K28:L28" si="35">IF(I28="","",IFERROR(I28/C28,""))</f>
        <v/>
      </c>
      <c r="L28" s="12" t="str">
        <f t="shared" si="35"/>
        <v/>
      </c>
      <c r="M28" s="11" t="str">
        <f t="shared" si="7"/>
        <v/>
      </c>
      <c r="N28" s="30" t="str">
        <f t="shared" si="8"/>
        <v>—</v>
      </c>
      <c r="O28" s="31"/>
      <c r="P28" s="31"/>
      <c r="Q28" s="31"/>
      <c r="R28" s="31"/>
      <c r="S28" s="31"/>
      <c r="T28" s="12" t="str">
        <f t="shared" si="9"/>
        <v/>
      </c>
      <c r="U28" s="11" t="str">
        <f t="shared" si="10"/>
        <v/>
      </c>
      <c r="V28" s="32" t="str">
        <f t="shared" si="11"/>
        <v/>
      </c>
      <c r="W28" s="12" t="str">
        <f t="shared" si="12"/>
        <v/>
      </c>
      <c r="X28" s="31"/>
      <c r="Y28" s="31"/>
      <c r="Z28" s="29"/>
      <c r="AA28" s="33"/>
      <c r="AC28" s="22" t="s">
        <v>136</v>
      </c>
    </row>
    <row r="29" ht="15.75" customHeight="1">
      <c r="A29" s="38">
        <v>46348.0</v>
      </c>
      <c r="B29" s="14" t="str">
        <f t="shared" si="2"/>
        <v>日</v>
      </c>
      <c r="C29" s="29"/>
      <c r="D29" s="15">
        <f t="shared" si="3"/>
        <v>0</v>
      </c>
      <c r="E29" s="29"/>
      <c r="F29" s="29"/>
      <c r="G29" s="29"/>
      <c r="H29" s="29"/>
      <c r="I29" s="15" t="str">
        <f t="shared" si="4"/>
        <v/>
      </c>
      <c r="J29" s="15" t="str">
        <f t="shared" si="5"/>
        <v/>
      </c>
      <c r="K29" s="16" t="str">
        <f t="shared" ref="K29:L29" si="36">IF(I29="","",IFERROR(I29/C29,""))</f>
        <v/>
      </c>
      <c r="L29" s="16" t="str">
        <f t="shared" si="36"/>
        <v/>
      </c>
      <c r="M29" s="15" t="str">
        <f t="shared" si="7"/>
        <v/>
      </c>
      <c r="N29" s="39" t="str">
        <f t="shared" si="8"/>
        <v>—</v>
      </c>
      <c r="O29" s="31"/>
      <c r="P29" s="31"/>
      <c r="Q29" s="31"/>
      <c r="R29" s="31"/>
      <c r="S29" s="31"/>
      <c r="T29" s="16" t="str">
        <f t="shared" si="9"/>
        <v/>
      </c>
      <c r="U29" s="15" t="str">
        <f t="shared" si="10"/>
        <v/>
      </c>
      <c r="V29" s="40" t="str">
        <f t="shared" si="11"/>
        <v/>
      </c>
      <c r="W29" s="16" t="str">
        <f t="shared" si="12"/>
        <v/>
      </c>
      <c r="X29" s="31"/>
      <c r="Y29" s="31"/>
      <c r="Z29" s="29"/>
      <c r="AA29" s="33"/>
    </row>
    <row r="30" ht="15.75" customHeight="1">
      <c r="A30" s="28">
        <v>46349.0</v>
      </c>
      <c r="B30" s="10" t="str">
        <f t="shared" si="2"/>
        <v>月</v>
      </c>
      <c r="C30" s="29"/>
      <c r="D30" s="11">
        <f t="shared" si="3"/>
        <v>0</v>
      </c>
      <c r="E30" s="29"/>
      <c r="F30" s="29"/>
      <c r="G30" s="29"/>
      <c r="H30" s="29"/>
      <c r="I30" s="11" t="str">
        <f t="shared" si="4"/>
        <v/>
      </c>
      <c r="J30" s="11" t="str">
        <f t="shared" si="5"/>
        <v/>
      </c>
      <c r="K30" s="12" t="str">
        <f t="shared" ref="K30:L30" si="37">IF(I30="","",IFERROR(I30/C30,""))</f>
        <v/>
      </c>
      <c r="L30" s="12" t="str">
        <f t="shared" si="37"/>
        <v/>
      </c>
      <c r="M30" s="11" t="str">
        <f t="shared" si="7"/>
        <v/>
      </c>
      <c r="N30" s="30" t="str">
        <f t="shared" si="8"/>
        <v>—</v>
      </c>
      <c r="O30" s="31"/>
      <c r="P30" s="31"/>
      <c r="Q30" s="31"/>
      <c r="R30" s="31"/>
      <c r="S30" s="31"/>
      <c r="T30" s="12" t="str">
        <f t="shared" si="9"/>
        <v/>
      </c>
      <c r="U30" s="11" t="str">
        <f t="shared" si="10"/>
        <v/>
      </c>
      <c r="V30" s="32" t="str">
        <f t="shared" si="11"/>
        <v/>
      </c>
      <c r="W30" s="12" t="str">
        <f t="shared" si="12"/>
        <v/>
      </c>
      <c r="X30" s="31"/>
      <c r="Y30" s="31"/>
      <c r="Z30" s="29"/>
      <c r="AA30" s="33"/>
    </row>
    <row r="31" ht="15.75" customHeight="1">
      <c r="A31" s="38">
        <v>46350.0</v>
      </c>
      <c r="B31" s="14" t="str">
        <f t="shared" si="2"/>
        <v>火</v>
      </c>
      <c r="C31" s="29"/>
      <c r="D31" s="15">
        <f t="shared" si="3"/>
        <v>0</v>
      </c>
      <c r="E31" s="29"/>
      <c r="F31" s="29"/>
      <c r="G31" s="29"/>
      <c r="H31" s="29"/>
      <c r="I31" s="15" t="str">
        <f t="shared" si="4"/>
        <v/>
      </c>
      <c r="J31" s="15" t="str">
        <f t="shared" si="5"/>
        <v/>
      </c>
      <c r="K31" s="16" t="str">
        <f t="shared" ref="K31:L31" si="38">IF(I31="","",IFERROR(I31/C31,""))</f>
        <v/>
      </c>
      <c r="L31" s="16" t="str">
        <f t="shared" si="38"/>
        <v/>
      </c>
      <c r="M31" s="15" t="str">
        <f t="shared" si="7"/>
        <v/>
      </c>
      <c r="N31" s="39" t="str">
        <f t="shared" si="8"/>
        <v>—</v>
      </c>
      <c r="O31" s="31"/>
      <c r="P31" s="31"/>
      <c r="Q31" s="31"/>
      <c r="R31" s="31"/>
      <c r="S31" s="31"/>
      <c r="T31" s="16" t="str">
        <f t="shared" si="9"/>
        <v/>
      </c>
      <c r="U31" s="15" t="str">
        <f t="shared" si="10"/>
        <v/>
      </c>
      <c r="V31" s="40" t="str">
        <f t="shared" si="11"/>
        <v/>
      </c>
      <c r="W31" s="16" t="str">
        <f t="shared" si="12"/>
        <v/>
      </c>
      <c r="X31" s="31"/>
      <c r="Y31" s="31"/>
      <c r="Z31" s="29"/>
      <c r="AA31" s="33"/>
    </row>
    <row r="32" ht="15.75" customHeight="1">
      <c r="A32" s="28">
        <v>46351.0</v>
      </c>
      <c r="B32" s="10" t="str">
        <f t="shared" si="2"/>
        <v>水</v>
      </c>
      <c r="C32" s="29"/>
      <c r="D32" s="11">
        <f t="shared" si="3"/>
        <v>0</v>
      </c>
      <c r="E32" s="29"/>
      <c r="F32" s="29"/>
      <c r="G32" s="29"/>
      <c r="H32" s="29"/>
      <c r="I32" s="11" t="str">
        <f t="shared" si="4"/>
        <v/>
      </c>
      <c r="J32" s="11" t="str">
        <f t="shared" si="5"/>
        <v/>
      </c>
      <c r="K32" s="12" t="str">
        <f t="shared" ref="K32:L32" si="39">IF(I32="","",IFERROR(I32/C32,""))</f>
        <v/>
      </c>
      <c r="L32" s="12" t="str">
        <f t="shared" si="39"/>
        <v/>
      </c>
      <c r="M32" s="11" t="str">
        <f t="shared" si="7"/>
        <v/>
      </c>
      <c r="N32" s="30" t="str">
        <f t="shared" si="8"/>
        <v>—</v>
      </c>
      <c r="O32" s="31"/>
      <c r="P32" s="31"/>
      <c r="Q32" s="31"/>
      <c r="R32" s="31"/>
      <c r="S32" s="31"/>
      <c r="T32" s="12" t="str">
        <f t="shared" si="9"/>
        <v/>
      </c>
      <c r="U32" s="11" t="str">
        <f t="shared" si="10"/>
        <v/>
      </c>
      <c r="V32" s="32" t="str">
        <f t="shared" si="11"/>
        <v/>
      </c>
      <c r="W32" s="12" t="str">
        <f t="shared" si="12"/>
        <v/>
      </c>
      <c r="X32" s="31"/>
      <c r="Y32" s="31"/>
      <c r="Z32" s="29"/>
      <c r="AA32" s="33"/>
    </row>
    <row r="33" ht="15.75" customHeight="1">
      <c r="A33" s="38">
        <v>46352.0</v>
      </c>
      <c r="B33" s="14" t="str">
        <f t="shared" si="2"/>
        <v>木</v>
      </c>
      <c r="C33" s="29"/>
      <c r="D33" s="15">
        <f t="shared" si="3"/>
        <v>0</v>
      </c>
      <c r="E33" s="29"/>
      <c r="F33" s="29"/>
      <c r="G33" s="29"/>
      <c r="H33" s="29"/>
      <c r="I33" s="15" t="str">
        <f t="shared" si="4"/>
        <v/>
      </c>
      <c r="J33" s="15" t="str">
        <f t="shared" si="5"/>
        <v/>
      </c>
      <c r="K33" s="16" t="str">
        <f t="shared" ref="K33:L33" si="40">IF(I33="","",IFERROR(I33/C33,""))</f>
        <v/>
      </c>
      <c r="L33" s="16" t="str">
        <f t="shared" si="40"/>
        <v/>
      </c>
      <c r="M33" s="15" t="str">
        <f t="shared" si="7"/>
        <v/>
      </c>
      <c r="N33" s="39" t="str">
        <f t="shared" si="8"/>
        <v>—</v>
      </c>
      <c r="O33" s="31"/>
      <c r="P33" s="31"/>
      <c r="Q33" s="31"/>
      <c r="R33" s="31"/>
      <c r="S33" s="31"/>
      <c r="T33" s="16" t="str">
        <f t="shared" si="9"/>
        <v/>
      </c>
      <c r="U33" s="15" t="str">
        <f t="shared" si="10"/>
        <v/>
      </c>
      <c r="V33" s="40" t="str">
        <f t="shared" si="11"/>
        <v/>
      </c>
      <c r="W33" s="16" t="str">
        <f t="shared" si="12"/>
        <v/>
      </c>
      <c r="X33" s="31"/>
      <c r="Y33" s="31"/>
      <c r="Z33" s="29"/>
      <c r="AA33" s="33"/>
    </row>
    <row r="34" ht="15.75" customHeight="1">
      <c r="A34" s="28">
        <v>46353.0</v>
      </c>
      <c r="B34" s="10" t="str">
        <f t="shared" si="2"/>
        <v>金</v>
      </c>
      <c r="C34" s="29"/>
      <c r="D34" s="11">
        <f t="shared" si="3"/>
        <v>0</v>
      </c>
      <c r="E34" s="29"/>
      <c r="F34" s="29"/>
      <c r="G34" s="29"/>
      <c r="H34" s="29"/>
      <c r="I34" s="11" t="str">
        <f t="shared" si="4"/>
        <v/>
      </c>
      <c r="J34" s="11" t="str">
        <f t="shared" si="5"/>
        <v/>
      </c>
      <c r="K34" s="12" t="str">
        <f t="shared" ref="K34:L34" si="41">IF(I34="","",IFERROR(I34/C34,""))</f>
        <v/>
      </c>
      <c r="L34" s="12" t="str">
        <f t="shared" si="41"/>
        <v/>
      </c>
      <c r="M34" s="11" t="str">
        <f t="shared" si="7"/>
        <v/>
      </c>
      <c r="N34" s="30" t="str">
        <f t="shared" si="8"/>
        <v>—</v>
      </c>
      <c r="O34" s="31"/>
      <c r="P34" s="31"/>
      <c r="Q34" s="31"/>
      <c r="R34" s="31"/>
      <c r="S34" s="31"/>
      <c r="T34" s="12" t="str">
        <f t="shared" si="9"/>
        <v/>
      </c>
      <c r="U34" s="11" t="str">
        <f t="shared" si="10"/>
        <v/>
      </c>
      <c r="V34" s="32" t="str">
        <f t="shared" si="11"/>
        <v/>
      </c>
      <c r="W34" s="12" t="str">
        <f t="shared" si="12"/>
        <v/>
      </c>
      <c r="X34" s="31"/>
      <c r="Y34" s="31"/>
      <c r="Z34" s="29"/>
      <c r="AA34" s="33"/>
    </row>
    <row r="35" ht="15.75" customHeight="1">
      <c r="A35" s="38">
        <v>46354.0</v>
      </c>
      <c r="B35" s="14" t="str">
        <f t="shared" si="2"/>
        <v>土</v>
      </c>
      <c r="C35" s="29"/>
      <c r="D35" s="15">
        <f t="shared" si="3"/>
        <v>0</v>
      </c>
      <c r="E35" s="29"/>
      <c r="F35" s="29"/>
      <c r="G35" s="29"/>
      <c r="H35" s="29"/>
      <c r="I35" s="15" t="str">
        <f t="shared" si="4"/>
        <v/>
      </c>
      <c r="J35" s="15" t="str">
        <f t="shared" si="5"/>
        <v/>
      </c>
      <c r="K35" s="16" t="str">
        <f t="shared" ref="K35:L35" si="42">IF(I35="","",IFERROR(I35/C35,""))</f>
        <v/>
      </c>
      <c r="L35" s="16" t="str">
        <f t="shared" si="42"/>
        <v/>
      </c>
      <c r="M35" s="15" t="str">
        <f t="shared" si="7"/>
        <v/>
      </c>
      <c r="N35" s="39" t="str">
        <f t="shared" si="8"/>
        <v>—</v>
      </c>
      <c r="O35" s="31"/>
      <c r="P35" s="31"/>
      <c r="Q35" s="31"/>
      <c r="R35" s="31"/>
      <c r="S35" s="31"/>
      <c r="T35" s="16" t="str">
        <f t="shared" si="9"/>
        <v/>
      </c>
      <c r="U35" s="15" t="str">
        <f t="shared" si="10"/>
        <v/>
      </c>
      <c r="V35" s="40" t="str">
        <f t="shared" si="11"/>
        <v/>
      </c>
      <c r="W35" s="16" t="str">
        <f t="shared" si="12"/>
        <v/>
      </c>
      <c r="X35" s="31"/>
      <c r="Y35" s="31"/>
      <c r="Z35" s="29"/>
      <c r="AA35" s="33"/>
    </row>
    <row r="36" ht="15.75" customHeight="1">
      <c r="A36" s="28">
        <v>46355.0</v>
      </c>
      <c r="B36" s="10" t="str">
        <f t="shared" si="2"/>
        <v>日</v>
      </c>
      <c r="C36" s="29"/>
      <c r="D36" s="11">
        <f t="shared" si="3"/>
        <v>0</v>
      </c>
      <c r="E36" s="29"/>
      <c r="F36" s="29"/>
      <c r="G36" s="29"/>
      <c r="H36" s="29"/>
      <c r="I36" s="11" t="str">
        <f t="shared" si="4"/>
        <v/>
      </c>
      <c r="J36" s="11" t="str">
        <f t="shared" si="5"/>
        <v/>
      </c>
      <c r="K36" s="12" t="str">
        <f t="shared" ref="K36:L36" si="43">IF(I36="","",IFERROR(I36/C36,""))</f>
        <v/>
      </c>
      <c r="L36" s="12" t="str">
        <f t="shared" si="43"/>
        <v/>
      </c>
      <c r="M36" s="11" t="str">
        <f t="shared" si="7"/>
        <v/>
      </c>
      <c r="N36" s="30" t="str">
        <f t="shared" si="8"/>
        <v>—</v>
      </c>
      <c r="O36" s="31"/>
      <c r="P36" s="31"/>
      <c r="Q36" s="31"/>
      <c r="R36" s="31"/>
      <c r="S36" s="31"/>
      <c r="T36" s="12" t="str">
        <f t="shared" si="9"/>
        <v/>
      </c>
      <c r="U36" s="11" t="str">
        <f t="shared" si="10"/>
        <v/>
      </c>
      <c r="V36" s="32" t="str">
        <f t="shared" si="11"/>
        <v/>
      </c>
      <c r="W36" s="12" t="str">
        <f t="shared" si="12"/>
        <v/>
      </c>
      <c r="X36" s="31"/>
      <c r="Y36" s="31"/>
      <c r="Z36" s="29"/>
      <c r="AA36" s="33"/>
    </row>
    <row r="37" ht="15.75" customHeight="1">
      <c r="A37" s="38">
        <v>46356.0</v>
      </c>
      <c r="B37" s="14" t="str">
        <f t="shared" si="2"/>
        <v>月</v>
      </c>
      <c r="C37" s="29"/>
      <c r="D37" s="15">
        <f t="shared" si="3"/>
        <v>0</v>
      </c>
      <c r="E37" s="29"/>
      <c r="F37" s="29"/>
      <c r="G37" s="29"/>
      <c r="H37" s="29"/>
      <c r="I37" s="15" t="str">
        <f t="shared" si="4"/>
        <v/>
      </c>
      <c r="J37" s="15" t="str">
        <f t="shared" si="5"/>
        <v/>
      </c>
      <c r="K37" s="16" t="str">
        <f t="shared" ref="K37:L37" si="44">IF(I37="","",IFERROR(I37/C37,""))</f>
        <v/>
      </c>
      <c r="L37" s="16" t="str">
        <f t="shared" si="44"/>
        <v/>
      </c>
      <c r="M37" s="15" t="str">
        <f t="shared" si="7"/>
        <v/>
      </c>
      <c r="N37" s="39" t="str">
        <f t="shared" si="8"/>
        <v>—</v>
      </c>
      <c r="O37" s="31"/>
      <c r="P37" s="31"/>
      <c r="Q37" s="31"/>
      <c r="R37" s="31"/>
      <c r="S37" s="31"/>
      <c r="T37" s="16" t="str">
        <f t="shared" si="9"/>
        <v/>
      </c>
      <c r="U37" s="15" t="str">
        <f t="shared" si="10"/>
        <v/>
      </c>
      <c r="V37" s="40" t="str">
        <f t="shared" si="11"/>
        <v/>
      </c>
      <c r="W37" s="16" t="str">
        <f t="shared" si="12"/>
        <v/>
      </c>
      <c r="X37" s="31"/>
      <c r="Y37" s="31"/>
      <c r="Z37" s="29"/>
      <c r="AA37" s="33"/>
    </row>
    <row r="38" ht="15.75" customHeight="1">
      <c r="A38" s="44" t="s">
        <v>81</v>
      </c>
      <c r="B38" s="18"/>
      <c r="C38" s="19">
        <f>SUM(C8:C37)</f>
        <v>0</v>
      </c>
      <c r="D38" s="19">
        <f>C38</f>
        <v>0</v>
      </c>
      <c r="E38" s="19">
        <f t="shared" ref="E38:I38" si="45">SUM(E8:E37)</f>
        <v>0</v>
      </c>
      <c r="F38" s="19">
        <f t="shared" si="45"/>
        <v>0</v>
      </c>
      <c r="G38" s="19">
        <f t="shared" si="45"/>
        <v>0</v>
      </c>
      <c r="H38" s="19">
        <f t="shared" si="45"/>
        <v>0</v>
      </c>
      <c r="I38" s="19">
        <f t="shared" si="45"/>
        <v>0</v>
      </c>
      <c r="J38" s="19">
        <f>I38</f>
        <v>0</v>
      </c>
      <c r="K38" s="20" t="str">
        <f>IFERROR(I38/C38,"")</f>
        <v/>
      </c>
      <c r="L38" s="20" t="str">
        <f>IFERROR(I38/C38,"")</f>
        <v/>
      </c>
      <c r="M38" s="19">
        <f>I38-C38</f>
        <v>0</v>
      </c>
      <c r="N38" s="45"/>
      <c r="O38" s="21">
        <f t="shared" ref="O38:S38" si="46">SUM(O8:O37)</f>
        <v>0</v>
      </c>
      <c r="P38" s="21">
        <f t="shared" si="46"/>
        <v>0</v>
      </c>
      <c r="Q38" s="21">
        <f t="shared" si="46"/>
        <v>0</v>
      </c>
      <c r="R38" s="21">
        <f t="shared" si="46"/>
        <v>0</v>
      </c>
      <c r="S38" s="21">
        <f t="shared" si="46"/>
        <v>0</v>
      </c>
      <c r="T38" s="20" t="str">
        <f t="shared" si="9"/>
        <v/>
      </c>
      <c r="U38" s="19" t="str">
        <f t="shared" si="10"/>
        <v/>
      </c>
      <c r="V38" s="46" t="str">
        <f t="shared" si="11"/>
        <v/>
      </c>
      <c r="W38" s="20" t="str">
        <f t="shared" si="12"/>
        <v/>
      </c>
      <c r="X38" s="21">
        <f>SUM(X8:X37)</f>
        <v>0</v>
      </c>
      <c r="Y38" s="21" t="str">
        <f>IFERROR(LOOKUP(9.99E+307,Y8:Y37),"")</f>
        <v/>
      </c>
      <c r="Z38" s="19">
        <f>SUM(Z8:Z37)</f>
        <v>0</v>
      </c>
      <c r="AA38" s="47" t="s">
        <v>82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A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M8:M37">
    <cfRule type="expression" dxfId="0" priority="1">
      <formula>AND($I8&lt;&gt;"",$M8&gt;=0)</formula>
    </cfRule>
  </conditionalFormatting>
  <conditionalFormatting sqref="M8:M37">
    <cfRule type="expression" dxfId="1" priority="2">
      <formula>AND($I8&lt;&gt;"",$M8&lt;0)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0.0"/>
    <col customWidth="1" min="8" max="8" width="11.0"/>
    <col customWidth="1" min="9" max="9" width="12.0"/>
    <col customWidth="1" min="10" max="10" width="13.0"/>
    <col customWidth="1" min="11" max="12" width="9.0"/>
    <col customWidth="1" min="13" max="13" width="13.0"/>
    <col customWidth="1" min="14" max="14" width="11.0"/>
    <col customWidth="1" min="15" max="20" width="8.0"/>
    <col customWidth="1" min="21" max="21" width="11.0"/>
    <col customWidth="1" min="22" max="24" width="8.0"/>
    <col customWidth="1" min="25" max="25" width="10.0"/>
    <col customWidth="1" min="26" max="26" width="9.0"/>
    <col customWidth="1" min="27" max="27" width="28.0"/>
    <col customWidth="1" min="28" max="28" width="3.0"/>
    <col customWidth="1" min="29" max="29" width="5.0"/>
    <col customWidth="1" min="30" max="30" width="13.0"/>
    <col customWidth="1" min="31" max="31" width="12.0"/>
    <col customWidth="1" min="32" max="32" width="9.0"/>
    <col customWidth="1" min="33" max="33" width="11.0"/>
    <col customWidth="1" min="34" max="36" width="9.0"/>
    <col customWidth="1" min="37" max="37" width="8.0"/>
  </cols>
  <sheetData>
    <row r="1" ht="27.75" customHeight="1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138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IF('設定'!$B$16="",SUM(C8:C38),'設定'!$B$16)</f>
        <v>14000000</v>
      </c>
      <c r="B4" s="6"/>
      <c r="C4" s="7">
        <f>SUM(I8:I38)</f>
        <v>0</v>
      </c>
      <c r="D4" s="6"/>
      <c r="E4" s="8">
        <f>IFERROR(C4/A4,0)</f>
        <v>0</v>
      </c>
      <c r="F4" s="6"/>
      <c r="G4" s="25">
        <f>COUNTIF(I8:I38,"&gt;0")</f>
        <v>0</v>
      </c>
      <c r="H4" s="6"/>
      <c r="I4" s="7">
        <f>A4-C4</f>
        <v>14000000</v>
      </c>
      <c r="J4" s="6"/>
      <c r="K4" s="7">
        <f>IF((31-G4)&gt;0,(A4-C4)/(31-G4),0)</f>
        <v>451612.9032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SUM(C8:C38)</f>
        <v>0</v>
      </c>
      <c r="B6" s="6"/>
      <c r="C6" s="7">
        <f>IFERROR(C4/G4*31,0)</f>
        <v>0</v>
      </c>
      <c r="D6" s="6"/>
      <c r="E6" s="8">
        <f>IFERROR(O39/Q39,0)</f>
        <v>0</v>
      </c>
      <c r="F6" s="6"/>
      <c r="G6" s="7">
        <f>IFERROR(I39/O39,0)</f>
        <v>0</v>
      </c>
      <c r="H6" s="6"/>
      <c r="I6" s="26">
        <f>IFERROR(P39/O39,0)</f>
        <v>0</v>
      </c>
      <c r="J6" s="6"/>
      <c r="K6" s="8">
        <f>IFERROR(R39/Q39,0)</f>
        <v>0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99</v>
      </c>
      <c r="H7" s="9" t="s">
        <v>139</v>
      </c>
      <c r="I7" s="9" t="s">
        <v>51</v>
      </c>
      <c r="J7" s="9" t="s">
        <v>19</v>
      </c>
      <c r="K7" s="9" t="s">
        <v>52</v>
      </c>
      <c r="L7" s="9" t="s">
        <v>53</v>
      </c>
      <c r="M7" s="9" t="s">
        <v>54</v>
      </c>
      <c r="N7" s="9" t="s">
        <v>55</v>
      </c>
      <c r="O7" s="9" t="s">
        <v>14</v>
      </c>
      <c r="P7" s="9" t="s">
        <v>56</v>
      </c>
      <c r="Q7" s="9" t="s">
        <v>15</v>
      </c>
      <c r="R7" s="9" t="s">
        <v>57</v>
      </c>
      <c r="S7" s="9" t="s">
        <v>58</v>
      </c>
      <c r="T7" s="9" t="s">
        <v>16</v>
      </c>
      <c r="U7" s="9" t="s">
        <v>17</v>
      </c>
      <c r="V7" s="9" t="s">
        <v>43</v>
      </c>
      <c r="W7" s="9" t="s">
        <v>44</v>
      </c>
      <c r="X7" s="9" t="s">
        <v>59</v>
      </c>
      <c r="Y7" s="9" t="s">
        <v>60</v>
      </c>
      <c r="Z7" s="9" t="s">
        <v>61</v>
      </c>
      <c r="AA7" s="9" t="s">
        <v>62</v>
      </c>
      <c r="AC7" s="27" t="s">
        <v>63</v>
      </c>
      <c r="AD7" s="27" t="s">
        <v>64</v>
      </c>
      <c r="AE7" s="27" t="s">
        <v>65</v>
      </c>
      <c r="AF7" s="27" t="s">
        <v>16</v>
      </c>
      <c r="AG7" s="27" t="s">
        <v>17</v>
      </c>
    </row>
    <row r="8">
      <c r="A8" s="28">
        <v>46357.0</v>
      </c>
      <c r="B8" s="10" t="str">
        <f t="shared" ref="B8:B38" si="2">MID("日月火水木金土",WEEKDAY(A8),1)</f>
        <v>火</v>
      </c>
      <c r="C8" s="29"/>
      <c r="D8" s="11">
        <f t="shared" ref="D8:D38" si="3">SUM($C$8:C8)</f>
        <v>0</v>
      </c>
      <c r="E8" s="29"/>
      <c r="F8" s="29"/>
      <c r="G8" s="29"/>
      <c r="H8" s="29"/>
      <c r="I8" s="11" t="str">
        <f t="shared" ref="I8:I38" si="4">IF(COUNT(E8:H8)=0,"",SUM(E8:H8))</f>
        <v/>
      </c>
      <c r="J8" s="11" t="str">
        <f t="shared" ref="J8:J38" si="5">IF(I8="","",SUM($I$8:I8))</f>
        <v/>
      </c>
      <c r="K8" s="12" t="str">
        <f t="shared" ref="K8:L8" si="1">IF(I8="","",IFERROR(I8/C8,""))</f>
        <v/>
      </c>
      <c r="L8" s="12" t="str">
        <f t="shared" si="1"/>
        <v/>
      </c>
      <c r="M8" s="11" t="str">
        <f t="shared" ref="M8:M38" si="7">IF(J8="","",IF(D8=0,"",J8-D8))</f>
        <v/>
      </c>
      <c r="N8" s="30" t="str">
        <f t="shared" ref="N8:N38" si="8">IF(I8="","—",IF(D8=0,"予算未入力",IF(J8&gt;=D8,"◎ ペース内","▲ 遅れ")))</f>
        <v>—</v>
      </c>
      <c r="O8" s="31"/>
      <c r="P8" s="31"/>
      <c r="Q8" s="31"/>
      <c r="R8" s="31"/>
      <c r="S8" s="31"/>
      <c r="T8" s="12" t="str">
        <f t="shared" ref="T8:T39" si="9">IFERROR(O8/Q8,"")</f>
        <v/>
      </c>
      <c r="U8" s="11" t="str">
        <f t="shared" ref="U8:U39" si="10">IFERROR(I8/O8,"")</f>
        <v/>
      </c>
      <c r="V8" s="32" t="str">
        <f t="shared" ref="V8:V39" si="11">IFERROR(P8/O8,"")</f>
        <v/>
      </c>
      <c r="W8" s="12" t="str">
        <f t="shared" ref="W8:W39" si="12">IFERROR(R8/Q8,"")</f>
        <v/>
      </c>
      <c r="X8" s="31"/>
      <c r="Y8" s="31"/>
      <c r="Z8" s="29"/>
      <c r="AA8" s="33"/>
      <c r="AC8" s="34" t="s">
        <v>7</v>
      </c>
      <c r="AD8" s="35">
        <f t="shared" ref="AD8:AD14" si="13">IFERROR(AVERAGEIFS($I$8:$I$38,$B$8:$B$38,AC8,$I$8:$I$38,"&gt;0"),0)</f>
        <v>0</v>
      </c>
      <c r="AE8" s="36">
        <f t="shared" ref="AE8:AE14" si="14">COUNTIFS($B$8:$B$38,AC8,$I$8:$I$38,"&gt;0")</f>
        <v>0</v>
      </c>
      <c r="AF8" s="37">
        <f t="shared" ref="AF8:AF14" si="15">IFERROR(SUMIF($B$8:$B$38,AC8,$O$8:$O$38)/SUMIF($B$8:$B$38,AC8,$Q$8:$Q$38),0)</f>
        <v>0</v>
      </c>
      <c r="AG8" s="35">
        <f t="shared" ref="AG8:AG14" si="16">IFERROR(SUMIF($B$8:$B$38,AC8,$I$8:$I$38)/SUMIF($B$8:$B$38,AC8,$O$8:$O$38),0)</f>
        <v>0</v>
      </c>
    </row>
    <row r="9">
      <c r="A9" s="38">
        <v>46358.0</v>
      </c>
      <c r="B9" s="14" t="str">
        <f t="shared" si="2"/>
        <v>水</v>
      </c>
      <c r="C9" s="29"/>
      <c r="D9" s="15">
        <f t="shared" si="3"/>
        <v>0</v>
      </c>
      <c r="E9" s="29"/>
      <c r="F9" s="29"/>
      <c r="G9" s="29"/>
      <c r="H9" s="29"/>
      <c r="I9" s="15" t="str">
        <f t="shared" si="4"/>
        <v/>
      </c>
      <c r="J9" s="15" t="str">
        <f t="shared" si="5"/>
        <v/>
      </c>
      <c r="K9" s="16" t="str">
        <f t="shared" ref="K9:L9" si="6">IF(I9="","",IFERROR(I9/C9,""))</f>
        <v/>
      </c>
      <c r="L9" s="16" t="str">
        <f t="shared" si="6"/>
        <v/>
      </c>
      <c r="M9" s="15" t="str">
        <f t="shared" si="7"/>
        <v/>
      </c>
      <c r="N9" s="39" t="str">
        <f t="shared" si="8"/>
        <v>—</v>
      </c>
      <c r="O9" s="31"/>
      <c r="P9" s="31"/>
      <c r="Q9" s="31"/>
      <c r="R9" s="31"/>
      <c r="S9" s="31"/>
      <c r="T9" s="16" t="str">
        <f t="shared" si="9"/>
        <v/>
      </c>
      <c r="U9" s="15" t="str">
        <f t="shared" si="10"/>
        <v/>
      </c>
      <c r="V9" s="40" t="str">
        <f t="shared" si="11"/>
        <v/>
      </c>
      <c r="W9" s="16" t="str">
        <f t="shared" si="12"/>
        <v/>
      </c>
      <c r="X9" s="31"/>
      <c r="Y9" s="31"/>
      <c r="Z9" s="29"/>
      <c r="AA9" s="33"/>
      <c r="AC9" s="34" t="s">
        <v>66</v>
      </c>
      <c r="AD9" s="35">
        <f t="shared" si="13"/>
        <v>0</v>
      </c>
      <c r="AE9" s="36">
        <f t="shared" si="14"/>
        <v>0</v>
      </c>
      <c r="AF9" s="37">
        <f t="shared" si="15"/>
        <v>0</v>
      </c>
      <c r="AG9" s="35">
        <f t="shared" si="16"/>
        <v>0</v>
      </c>
    </row>
    <row r="10">
      <c r="A10" s="28">
        <v>46359.0</v>
      </c>
      <c r="B10" s="10" t="str">
        <f t="shared" si="2"/>
        <v>木</v>
      </c>
      <c r="C10" s="29"/>
      <c r="D10" s="11">
        <f t="shared" si="3"/>
        <v>0</v>
      </c>
      <c r="E10" s="29"/>
      <c r="F10" s="29"/>
      <c r="G10" s="29"/>
      <c r="H10" s="29"/>
      <c r="I10" s="11" t="str">
        <f t="shared" si="4"/>
        <v/>
      </c>
      <c r="J10" s="11" t="str">
        <f t="shared" si="5"/>
        <v/>
      </c>
      <c r="K10" s="12" t="str">
        <f t="shared" ref="K10:L10" si="17">IF(I10="","",IFERROR(I10/C10,""))</f>
        <v/>
      </c>
      <c r="L10" s="12" t="str">
        <f t="shared" si="17"/>
        <v/>
      </c>
      <c r="M10" s="11" t="str">
        <f t="shared" si="7"/>
        <v/>
      </c>
      <c r="N10" s="30" t="str">
        <f t="shared" si="8"/>
        <v>—</v>
      </c>
      <c r="O10" s="31"/>
      <c r="P10" s="31"/>
      <c r="Q10" s="31"/>
      <c r="R10" s="31"/>
      <c r="S10" s="31"/>
      <c r="T10" s="12" t="str">
        <f t="shared" si="9"/>
        <v/>
      </c>
      <c r="U10" s="11" t="str">
        <f t="shared" si="10"/>
        <v/>
      </c>
      <c r="V10" s="32" t="str">
        <f t="shared" si="11"/>
        <v/>
      </c>
      <c r="W10" s="12" t="str">
        <f t="shared" si="12"/>
        <v/>
      </c>
      <c r="X10" s="31"/>
      <c r="Y10" s="31"/>
      <c r="Z10" s="29"/>
      <c r="AA10" s="33"/>
      <c r="AC10" s="34" t="s">
        <v>67</v>
      </c>
      <c r="AD10" s="35">
        <f t="shared" si="13"/>
        <v>0</v>
      </c>
      <c r="AE10" s="36">
        <f t="shared" si="14"/>
        <v>0</v>
      </c>
      <c r="AF10" s="37">
        <f t="shared" si="15"/>
        <v>0</v>
      </c>
      <c r="AG10" s="35">
        <f t="shared" si="16"/>
        <v>0</v>
      </c>
    </row>
    <row r="11">
      <c r="A11" s="38">
        <v>46360.0</v>
      </c>
      <c r="B11" s="14" t="str">
        <f t="shared" si="2"/>
        <v>金</v>
      </c>
      <c r="C11" s="29"/>
      <c r="D11" s="15">
        <f t="shared" si="3"/>
        <v>0</v>
      </c>
      <c r="E11" s="29"/>
      <c r="F11" s="29"/>
      <c r="G11" s="29"/>
      <c r="H11" s="29"/>
      <c r="I11" s="15" t="str">
        <f t="shared" si="4"/>
        <v/>
      </c>
      <c r="J11" s="15" t="str">
        <f t="shared" si="5"/>
        <v/>
      </c>
      <c r="K11" s="16" t="str">
        <f t="shared" ref="K11:L11" si="18">IF(I11="","",IFERROR(I11/C11,""))</f>
        <v/>
      </c>
      <c r="L11" s="16" t="str">
        <f t="shared" si="18"/>
        <v/>
      </c>
      <c r="M11" s="15" t="str">
        <f t="shared" si="7"/>
        <v/>
      </c>
      <c r="N11" s="39" t="str">
        <f t="shared" si="8"/>
        <v>—</v>
      </c>
      <c r="O11" s="31"/>
      <c r="P11" s="31"/>
      <c r="Q11" s="31"/>
      <c r="R11" s="31"/>
      <c r="S11" s="31"/>
      <c r="T11" s="16" t="str">
        <f t="shared" si="9"/>
        <v/>
      </c>
      <c r="U11" s="15" t="str">
        <f t="shared" si="10"/>
        <v/>
      </c>
      <c r="V11" s="40" t="str">
        <f t="shared" si="11"/>
        <v/>
      </c>
      <c r="W11" s="16" t="str">
        <f t="shared" si="12"/>
        <v/>
      </c>
      <c r="X11" s="31"/>
      <c r="Y11" s="31"/>
      <c r="Z11" s="29"/>
      <c r="AA11" s="33"/>
      <c r="AC11" s="34" t="s">
        <v>68</v>
      </c>
      <c r="AD11" s="35">
        <f t="shared" si="13"/>
        <v>0</v>
      </c>
      <c r="AE11" s="36">
        <f t="shared" si="14"/>
        <v>0</v>
      </c>
      <c r="AF11" s="37">
        <f t="shared" si="15"/>
        <v>0</v>
      </c>
      <c r="AG11" s="35">
        <f t="shared" si="16"/>
        <v>0</v>
      </c>
    </row>
    <row r="12">
      <c r="A12" s="28">
        <v>46361.0</v>
      </c>
      <c r="B12" s="10" t="str">
        <f t="shared" si="2"/>
        <v>土</v>
      </c>
      <c r="C12" s="29"/>
      <c r="D12" s="11">
        <f t="shared" si="3"/>
        <v>0</v>
      </c>
      <c r="E12" s="29"/>
      <c r="F12" s="29"/>
      <c r="G12" s="29"/>
      <c r="H12" s="29"/>
      <c r="I12" s="11" t="str">
        <f t="shared" si="4"/>
        <v/>
      </c>
      <c r="J12" s="11" t="str">
        <f t="shared" si="5"/>
        <v/>
      </c>
      <c r="K12" s="12" t="str">
        <f t="shared" ref="K12:L12" si="19">IF(I12="","",IFERROR(I12/C12,""))</f>
        <v/>
      </c>
      <c r="L12" s="12" t="str">
        <f t="shared" si="19"/>
        <v/>
      </c>
      <c r="M12" s="11" t="str">
        <f t="shared" si="7"/>
        <v/>
      </c>
      <c r="N12" s="30" t="str">
        <f t="shared" si="8"/>
        <v>—</v>
      </c>
      <c r="O12" s="31"/>
      <c r="P12" s="31"/>
      <c r="Q12" s="31"/>
      <c r="R12" s="31"/>
      <c r="S12" s="31"/>
      <c r="T12" s="12" t="str">
        <f t="shared" si="9"/>
        <v/>
      </c>
      <c r="U12" s="11" t="str">
        <f t="shared" si="10"/>
        <v/>
      </c>
      <c r="V12" s="32" t="str">
        <f t="shared" si="11"/>
        <v/>
      </c>
      <c r="W12" s="12" t="str">
        <f t="shared" si="12"/>
        <v/>
      </c>
      <c r="X12" s="31"/>
      <c r="Y12" s="31"/>
      <c r="Z12" s="29"/>
      <c r="AA12" s="33"/>
      <c r="AC12" s="34" t="s">
        <v>69</v>
      </c>
      <c r="AD12" s="35">
        <f t="shared" si="13"/>
        <v>0</v>
      </c>
      <c r="AE12" s="36">
        <f t="shared" si="14"/>
        <v>0</v>
      </c>
      <c r="AF12" s="37">
        <f t="shared" si="15"/>
        <v>0</v>
      </c>
      <c r="AG12" s="35">
        <f t="shared" si="16"/>
        <v>0</v>
      </c>
    </row>
    <row r="13">
      <c r="A13" s="38">
        <v>46362.0</v>
      </c>
      <c r="B13" s="14" t="str">
        <f t="shared" si="2"/>
        <v>日</v>
      </c>
      <c r="C13" s="29"/>
      <c r="D13" s="15">
        <f t="shared" si="3"/>
        <v>0</v>
      </c>
      <c r="E13" s="29"/>
      <c r="F13" s="29"/>
      <c r="G13" s="29"/>
      <c r="H13" s="29"/>
      <c r="I13" s="15" t="str">
        <f t="shared" si="4"/>
        <v/>
      </c>
      <c r="J13" s="15" t="str">
        <f t="shared" si="5"/>
        <v/>
      </c>
      <c r="K13" s="16" t="str">
        <f t="shared" ref="K13:L13" si="20">IF(I13="","",IFERROR(I13/C13,""))</f>
        <v/>
      </c>
      <c r="L13" s="16" t="str">
        <f t="shared" si="20"/>
        <v/>
      </c>
      <c r="M13" s="15" t="str">
        <f t="shared" si="7"/>
        <v/>
      </c>
      <c r="N13" s="39" t="str">
        <f t="shared" si="8"/>
        <v>—</v>
      </c>
      <c r="O13" s="31"/>
      <c r="P13" s="31"/>
      <c r="Q13" s="31"/>
      <c r="R13" s="31"/>
      <c r="S13" s="31"/>
      <c r="T13" s="16" t="str">
        <f t="shared" si="9"/>
        <v/>
      </c>
      <c r="U13" s="15" t="str">
        <f t="shared" si="10"/>
        <v/>
      </c>
      <c r="V13" s="40" t="str">
        <f t="shared" si="11"/>
        <v/>
      </c>
      <c r="W13" s="16" t="str">
        <f t="shared" si="12"/>
        <v/>
      </c>
      <c r="X13" s="31"/>
      <c r="Y13" s="31"/>
      <c r="Z13" s="29"/>
      <c r="AA13" s="33"/>
      <c r="AC13" s="34" t="s">
        <v>70</v>
      </c>
      <c r="AD13" s="35">
        <f t="shared" si="13"/>
        <v>0</v>
      </c>
      <c r="AE13" s="36">
        <f t="shared" si="14"/>
        <v>0</v>
      </c>
      <c r="AF13" s="37">
        <f t="shared" si="15"/>
        <v>0</v>
      </c>
      <c r="AG13" s="35">
        <f t="shared" si="16"/>
        <v>0</v>
      </c>
    </row>
    <row r="14">
      <c r="A14" s="28">
        <v>46363.0</v>
      </c>
      <c r="B14" s="10" t="str">
        <f t="shared" si="2"/>
        <v>月</v>
      </c>
      <c r="C14" s="29"/>
      <c r="D14" s="11">
        <f t="shared" si="3"/>
        <v>0</v>
      </c>
      <c r="E14" s="29"/>
      <c r="F14" s="29"/>
      <c r="G14" s="29"/>
      <c r="H14" s="29"/>
      <c r="I14" s="11" t="str">
        <f t="shared" si="4"/>
        <v/>
      </c>
      <c r="J14" s="11" t="str">
        <f t="shared" si="5"/>
        <v/>
      </c>
      <c r="K14" s="12" t="str">
        <f t="shared" ref="K14:L14" si="21">IF(I14="","",IFERROR(I14/C14,""))</f>
        <v/>
      </c>
      <c r="L14" s="12" t="str">
        <f t="shared" si="21"/>
        <v/>
      </c>
      <c r="M14" s="11" t="str">
        <f t="shared" si="7"/>
        <v/>
      </c>
      <c r="N14" s="30" t="str">
        <f t="shared" si="8"/>
        <v>—</v>
      </c>
      <c r="O14" s="31"/>
      <c r="P14" s="31"/>
      <c r="Q14" s="31"/>
      <c r="R14" s="31"/>
      <c r="S14" s="31"/>
      <c r="T14" s="12" t="str">
        <f t="shared" si="9"/>
        <v/>
      </c>
      <c r="U14" s="11" t="str">
        <f t="shared" si="10"/>
        <v/>
      </c>
      <c r="V14" s="32" t="str">
        <f t="shared" si="11"/>
        <v/>
      </c>
      <c r="W14" s="12" t="str">
        <f t="shared" si="12"/>
        <v/>
      </c>
      <c r="X14" s="31"/>
      <c r="Y14" s="31"/>
      <c r="Z14" s="29"/>
      <c r="AA14" s="33"/>
      <c r="AC14" s="34" t="s">
        <v>71</v>
      </c>
      <c r="AD14" s="35">
        <f t="shared" si="13"/>
        <v>0</v>
      </c>
      <c r="AE14" s="36">
        <f t="shared" si="14"/>
        <v>0</v>
      </c>
      <c r="AF14" s="37">
        <f t="shared" si="15"/>
        <v>0</v>
      </c>
      <c r="AG14" s="35">
        <f t="shared" si="16"/>
        <v>0</v>
      </c>
    </row>
    <row r="15">
      <c r="A15" s="38">
        <v>46364.0</v>
      </c>
      <c r="B15" s="14" t="str">
        <f t="shared" si="2"/>
        <v>火</v>
      </c>
      <c r="C15" s="29"/>
      <c r="D15" s="15">
        <f t="shared" si="3"/>
        <v>0</v>
      </c>
      <c r="E15" s="29"/>
      <c r="F15" s="29"/>
      <c r="G15" s="29"/>
      <c r="H15" s="29"/>
      <c r="I15" s="15" t="str">
        <f t="shared" si="4"/>
        <v/>
      </c>
      <c r="J15" s="15" t="str">
        <f t="shared" si="5"/>
        <v/>
      </c>
      <c r="K15" s="16" t="str">
        <f t="shared" ref="K15:L15" si="22">IF(I15="","",IFERROR(I15/C15,""))</f>
        <v/>
      </c>
      <c r="L15" s="16" t="str">
        <f t="shared" si="22"/>
        <v/>
      </c>
      <c r="M15" s="15" t="str">
        <f t="shared" si="7"/>
        <v/>
      </c>
      <c r="N15" s="39" t="str">
        <f t="shared" si="8"/>
        <v>—</v>
      </c>
      <c r="O15" s="31"/>
      <c r="P15" s="31"/>
      <c r="Q15" s="31"/>
      <c r="R15" s="31"/>
      <c r="S15" s="31"/>
      <c r="T15" s="16" t="str">
        <f t="shared" si="9"/>
        <v/>
      </c>
      <c r="U15" s="15" t="str">
        <f t="shared" si="10"/>
        <v/>
      </c>
      <c r="V15" s="40" t="str">
        <f t="shared" si="11"/>
        <v/>
      </c>
      <c r="W15" s="16" t="str">
        <f t="shared" si="12"/>
        <v/>
      </c>
      <c r="X15" s="31"/>
      <c r="Y15" s="31"/>
      <c r="Z15" s="29"/>
      <c r="AA15" s="33"/>
    </row>
    <row r="16">
      <c r="A16" s="28">
        <v>46365.0</v>
      </c>
      <c r="B16" s="10" t="str">
        <f t="shared" si="2"/>
        <v>水</v>
      </c>
      <c r="C16" s="29"/>
      <c r="D16" s="11">
        <f t="shared" si="3"/>
        <v>0</v>
      </c>
      <c r="E16" s="29"/>
      <c r="F16" s="29"/>
      <c r="G16" s="29"/>
      <c r="H16" s="29"/>
      <c r="I16" s="11" t="str">
        <f t="shared" si="4"/>
        <v/>
      </c>
      <c r="J16" s="11" t="str">
        <f t="shared" si="5"/>
        <v/>
      </c>
      <c r="K16" s="12" t="str">
        <f t="shared" ref="K16:L16" si="23">IF(I16="","",IFERROR(I16/C16,""))</f>
        <v/>
      </c>
      <c r="L16" s="12" t="str">
        <f t="shared" si="23"/>
        <v/>
      </c>
      <c r="M16" s="11" t="str">
        <f t="shared" si="7"/>
        <v/>
      </c>
      <c r="N16" s="30" t="str">
        <f t="shared" si="8"/>
        <v>—</v>
      </c>
      <c r="O16" s="31"/>
      <c r="P16" s="31"/>
      <c r="Q16" s="31"/>
      <c r="R16" s="31"/>
      <c r="S16" s="31"/>
      <c r="T16" s="12" t="str">
        <f t="shared" si="9"/>
        <v/>
      </c>
      <c r="U16" s="11" t="str">
        <f t="shared" si="10"/>
        <v/>
      </c>
      <c r="V16" s="32" t="str">
        <f t="shared" si="11"/>
        <v/>
      </c>
      <c r="W16" s="12" t="str">
        <f t="shared" si="12"/>
        <v/>
      </c>
      <c r="X16" s="31"/>
      <c r="Y16" s="31"/>
      <c r="Z16" s="29"/>
      <c r="AA16" s="33"/>
      <c r="AC16" s="22" t="s">
        <v>72</v>
      </c>
    </row>
    <row r="17">
      <c r="A17" s="38">
        <v>46366.0</v>
      </c>
      <c r="B17" s="14" t="str">
        <f t="shared" si="2"/>
        <v>木</v>
      </c>
      <c r="C17" s="29"/>
      <c r="D17" s="15">
        <f t="shared" si="3"/>
        <v>0</v>
      </c>
      <c r="E17" s="29"/>
      <c r="F17" s="29"/>
      <c r="G17" s="29"/>
      <c r="H17" s="29"/>
      <c r="I17" s="15" t="str">
        <f t="shared" si="4"/>
        <v/>
      </c>
      <c r="J17" s="15" t="str">
        <f t="shared" si="5"/>
        <v/>
      </c>
      <c r="K17" s="16" t="str">
        <f t="shared" ref="K17:L17" si="24">IF(I17="","",IFERROR(I17/C17,""))</f>
        <v/>
      </c>
      <c r="L17" s="16" t="str">
        <f t="shared" si="24"/>
        <v/>
      </c>
      <c r="M17" s="15" t="str">
        <f t="shared" si="7"/>
        <v/>
      </c>
      <c r="N17" s="39" t="str">
        <f t="shared" si="8"/>
        <v>—</v>
      </c>
      <c r="O17" s="31"/>
      <c r="P17" s="31"/>
      <c r="Q17" s="31"/>
      <c r="R17" s="31"/>
      <c r="S17" s="31"/>
      <c r="T17" s="16" t="str">
        <f t="shared" si="9"/>
        <v/>
      </c>
      <c r="U17" s="15" t="str">
        <f t="shared" si="10"/>
        <v/>
      </c>
      <c r="V17" s="40" t="str">
        <f t="shared" si="11"/>
        <v/>
      </c>
      <c r="W17" s="16" t="str">
        <f t="shared" si="12"/>
        <v/>
      </c>
      <c r="X17" s="31"/>
      <c r="Y17" s="31"/>
      <c r="Z17" s="29"/>
      <c r="AA17" s="33"/>
    </row>
    <row r="18">
      <c r="A18" s="28">
        <v>46367.0</v>
      </c>
      <c r="B18" s="10" t="str">
        <f t="shared" si="2"/>
        <v>金</v>
      </c>
      <c r="C18" s="29"/>
      <c r="D18" s="11">
        <f t="shared" si="3"/>
        <v>0</v>
      </c>
      <c r="E18" s="29"/>
      <c r="F18" s="29"/>
      <c r="G18" s="29"/>
      <c r="H18" s="29"/>
      <c r="I18" s="11" t="str">
        <f t="shared" si="4"/>
        <v/>
      </c>
      <c r="J18" s="11" t="str">
        <f t="shared" si="5"/>
        <v/>
      </c>
      <c r="K18" s="12" t="str">
        <f t="shared" ref="K18:L18" si="25">IF(I18="","",IFERROR(I18/C18,""))</f>
        <v/>
      </c>
      <c r="L18" s="12" t="str">
        <f t="shared" si="25"/>
        <v/>
      </c>
      <c r="M18" s="11" t="str">
        <f t="shared" si="7"/>
        <v/>
      </c>
      <c r="N18" s="30" t="str">
        <f t="shared" si="8"/>
        <v>—</v>
      </c>
      <c r="O18" s="31"/>
      <c r="P18" s="31"/>
      <c r="Q18" s="31"/>
      <c r="R18" s="31"/>
      <c r="S18" s="31"/>
      <c r="T18" s="12" t="str">
        <f t="shared" si="9"/>
        <v/>
      </c>
      <c r="U18" s="11" t="str">
        <f t="shared" si="10"/>
        <v/>
      </c>
      <c r="V18" s="32" t="str">
        <f t="shared" si="11"/>
        <v/>
      </c>
      <c r="W18" s="12" t="str">
        <f t="shared" si="12"/>
        <v/>
      </c>
      <c r="X18" s="31"/>
      <c r="Y18" s="31"/>
      <c r="Z18" s="29"/>
      <c r="AA18" s="33"/>
      <c r="AC18" s="23" t="s">
        <v>207</v>
      </c>
      <c r="AJ18" s="22" t="s">
        <v>140</v>
      </c>
      <c r="AK18" s="41">
        <f>$A$8+MOD(1-WEEKDAY($A$8,2)+7,7)</f>
        <v>46357</v>
      </c>
    </row>
    <row r="19">
      <c r="A19" s="38">
        <v>46368.0</v>
      </c>
      <c r="B19" s="14" t="str">
        <f t="shared" si="2"/>
        <v>土</v>
      </c>
      <c r="C19" s="29"/>
      <c r="D19" s="15">
        <f t="shared" si="3"/>
        <v>0</v>
      </c>
      <c r="E19" s="29"/>
      <c r="F19" s="29"/>
      <c r="G19" s="29"/>
      <c r="H19" s="29"/>
      <c r="I19" s="15" t="str">
        <f t="shared" si="4"/>
        <v/>
      </c>
      <c r="J19" s="15" t="str">
        <f t="shared" si="5"/>
        <v/>
      </c>
      <c r="K19" s="16" t="str">
        <f t="shared" ref="K19:L19" si="26">IF(I19="","",IFERROR(I19/C19,""))</f>
        <v/>
      </c>
      <c r="L19" s="16" t="str">
        <f t="shared" si="26"/>
        <v/>
      </c>
      <c r="M19" s="15" t="str">
        <f t="shared" si="7"/>
        <v/>
      </c>
      <c r="N19" s="39" t="str">
        <f t="shared" si="8"/>
        <v>—</v>
      </c>
      <c r="O19" s="31"/>
      <c r="P19" s="31"/>
      <c r="Q19" s="31"/>
      <c r="R19" s="31"/>
      <c r="S19" s="31"/>
      <c r="T19" s="16" t="str">
        <f t="shared" si="9"/>
        <v/>
      </c>
      <c r="U19" s="15" t="str">
        <f t="shared" si="10"/>
        <v/>
      </c>
      <c r="V19" s="40" t="str">
        <f t="shared" si="11"/>
        <v/>
      </c>
      <c r="W19" s="16" t="str">
        <f t="shared" si="12"/>
        <v/>
      </c>
      <c r="X19" s="31"/>
      <c r="Y19" s="31"/>
      <c r="Z19" s="29"/>
      <c r="AA19" s="33"/>
      <c r="AC19" s="27" t="s">
        <v>75</v>
      </c>
      <c r="AD19" s="27" t="s">
        <v>76</v>
      </c>
      <c r="AE19" s="27" t="s">
        <v>77</v>
      </c>
      <c r="AF19" s="27" t="s">
        <v>16</v>
      </c>
      <c r="AG19" s="27" t="s">
        <v>17</v>
      </c>
      <c r="AH19" s="27" t="s">
        <v>43</v>
      </c>
      <c r="AI19" s="27" t="s">
        <v>44</v>
      </c>
    </row>
    <row r="20">
      <c r="A20" s="28">
        <v>46369.0</v>
      </c>
      <c r="B20" s="10" t="str">
        <f t="shared" si="2"/>
        <v>日</v>
      </c>
      <c r="C20" s="29"/>
      <c r="D20" s="11">
        <f t="shared" si="3"/>
        <v>0</v>
      </c>
      <c r="E20" s="29"/>
      <c r="F20" s="29"/>
      <c r="G20" s="29"/>
      <c r="H20" s="29"/>
      <c r="I20" s="11" t="str">
        <f t="shared" si="4"/>
        <v/>
      </c>
      <c r="J20" s="11" t="str">
        <f t="shared" si="5"/>
        <v/>
      </c>
      <c r="K20" s="12" t="str">
        <f t="shared" ref="K20:L20" si="27">IF(I20="","",IFERROR(I20/C20,""))</f>
        <v/>
      </c>
      <c r="L20" s="12" t="str">
        <f t="shared" si="27"/>
        <v/>
      </c>
      <c r="M20" s="11" t="str">
        <f t="shared" si="7"/>
        <v/>
      </c>
      <c r="N20" s="30" t="str">
        <f t="shared" si="8"/>
        <v>—</v>
      </c>
      <c r="O20" s="31"/>
      <c r="P20" s="31"/>
      <c r="Q20" s="31"/>
      <c r="R20" s="31"/>
      <c r="S20" s="31"/>
      <c r="T20" s="12" t="str">
        <f t="shared" si="9"/>
        <v/>
      </c>
      <c r="U20" s="11" t="str">
        <f t="shared" si="10"/>
        <v/>
      </c>
      <c r="V20" s="32" t="str">
        <f t="shared" si="11"/>
        <v/>
      </c>
      <c r="W20" s="12" t="str">
        <f t="shared" si="12"/>
        <v/>
      </c>
      <c r="X20" s="31"/>
      <c r="Y20" s="31"/>
      <c r="Z20" s="29"/>
      <c r="AA20" s="33"/>
      <c r="AC20" s="36">
        <v>1.0</v>
      </c>
      <c r="AD20" s="42" t="str">
        <f>IF($AK$18+7*(1-1)&gt;$A$38,"",TEXT($AK$18+7*(1-1),"m/d")&amp;"-"&amp;TEXT($AK$18+7*(1-1)+6,"m/d"))</f>
        <v>12/1-12/7</v>
      </c>
      <c r="AE20" s="35">
        <f>IF($AD20="","",(SUMIFS($I$8:$I$38,$A$8:$A$38,"&gt;="&amp;$AK$18+7*(1-1),$A$8:$A$38,"&lt;="&amp;$AK$18+7*(1-1)+6)+SUMIFS('2027年01月'!$I$8:$I$38,'2027年01月'!$A$8:$A$38,"&gt;="&amp;$AK$18+7*(1-1),'2027年01月'!$A$8:$A$38,"&lt;="&amp;$AK$18+7*(1-1)+6)))</f>
        <v>0</v>
      </c>
      <c r="AF20" s="37" t="str">
        <f>IF($AD20="","",IFERROR((SUMIFS($O$8:$O$38,$A$8:$A$38,"&gt;="&amp;$AK$18+7*(1-1),$A$8:$A$38,"&lt;="&amp;$AK$18+7*(1-1)+6)+SUMIFS('2027年01月'!$O$8:$O$38,'2027年01月'!$A$8:$A$38,"&gt;="&amp;$AK$18+7*(1-1),'2027年01月'!$A$8:$A$38,"&lt;="&amp;$AK$18+7*(1-1)+6))/(SUMIFS($Q$8:$Q$38,$A$8:$A$38,"&gt;="&amp;$AK$18+7*(1-1),$A$8:$A$38,"&lt;="&amp;$AK$18+7*(1-1)+6)+SUMIFS('2027年01月'!$Q$8:$Q$38,'2027年01月'!$A$8:$A$38,"&gt;="&amp;$AK$18+7*(1-1),'2027年01月'!$A$8:$A$38,"&lt;="&amp;$AK$18+7*(1-1)+6)),""))</f>
        <v/>
      </c>
      <c r="AG20" s="35" t="str">
        <f>IF($AD20="","",IFERROR((SUMIFS($I$8:$I$38,$A$8:$A$38,"&gt;="&amp;$AK$18+7*(1-1),$A$8:$A$38,"&lt;="&amp;$AK$18+7*(1-1)+6)+SUMIFS('2027年01月'!$I$8:$I$38,'2027年01月'!$A$8:$A$38,"&gt;="&amp;$AK$18+7*(1-1),'2027年01月'!$A$8:$A$38,"&lt;="&amp;$AK$18+7*(1-1)+6))/(SUMIFS($O$8:$O$38,$A$8:$A$38,"&gt;="&amp;$AK$18+7*(1-1),$A$8:$A$38,"&lt;="&amp;$AK$18+7*(1-1)+6)+SUMIFS('2027年01月'!$O$8:$O$38,'2027年01月'!$A$8:$A$38,"&gt;="&amp;$AK$18+7*(1-1),'2027年01月'!$A$8:$A$38,"&lt;="&amp;$AK$18+7*(1-1)+6)),""))</f>
        <v/>
      </c>
      <c r="AH20" s="43" t="str">
        <f>IF($AD20="","",IFERROR((SUMIFS($P$8:$P$38,$A$8:$A$38,"&gt;="&amp;$AK$18+7*(1-1),$A$8:$A$38,"&lt;="&amp;$AK$18+7*(1-1)+6)+SUMIFS('2027年01月'!$P$8:$P$38,'2027年01月'!$A$8:$A$38,"&gt;="&amp;$AK$18+7*(1-1),'2027年01月'!$A$8:$A$38,"&lt;="&amp;$AK$18+7*(1-1)+6))/(SUMIFS($O$8:$O$38,$A$8:$A$38,"&gt;="&amp;$AK$18+7*(1-1),$A$8:$A$38,"&lt;="&amp;$AK$18+7*(1-1)+6)+SUMIFS('2027年01月'!$O$8:$O$38,'2027年01月'!$A$8:$A$38,"&gt;="&amp;$AK$18+7*(1-1),'2027年01月'!$A$8:$A$38,"&lt;="&amp;$AK$18+7*(1-1)+6)),""))</f>
        <v/>
      </c>
      <c r="AI20" s="37" t="str">
        <f>IF($AD20="","",IFERROR((SUMIFS($R$8:$R$38,$A$8:$A$38,"&gt;="&amp;$AK$18+7*(1-1),$A$8:$A$38,"&lt;="&amp;$AK$18+7*(1-1)+6)+SUMIFS('2027年01月'!$R$8:$R$38,'2027年01月'!$A$8:$A$38,"&gt;="&amp;$AK$18+7*(1-1),'2027年01月'!$A$8:$A$38,"&lt;="&amp;$AK$18+7*(1-1)+6))/(SUMIFS($Q$8:$Q$38,$A$8:$A$38,"&gt;="&amp;$AK$18+7*(1-1),$A$8:$A$38,"&lt;="&amp;$AK$18+7*(1-1)+6)+SUMIFS('2027年01月'!$Q$8:$Q$38,'2027年01月'!$A$8:$A$38,"&gt;="&amp;$AK$18+7*(1-1),'2027年01月'!$A$8:$A$38,"&lt;="&amp;$AK$18+7*(1-1)+6)),""))</f>
        <v/>
      </c>
    </row>
    <row r="21" ht="15.75" customHeight="1">
      <c r="A21" s="38">
        <v>46370.0</v>
      </c>
      <c r="B21" s="14" t="str">
        <f t="shared" si="2"/>
        <v>月</v>
      </c>
      <c r="C21" s="29"/>
      <c r="D21" s="15">
        <f t="shared" si="3"/>
        <v>0</v>
      </c>
      <c r="E21" s="29"/>
      <c r="F21" s="29"/>
      <c r="G21" s="29"/>
      <c r="H21" s="29"/>
      <c r="I21" s="15" t="str">
        <f t="shared" si="4"/>
        <v/>
      </c>
      <c r="J21" s="15" t="str">
        <f t="shared" si="5"/>
        <v/>
      </c>
      <c r="K21" s="16" t="str">
        <f t="shared" ref="K21:L21" si="28">IF(I21="","",IFERROR(I21/C21,""))</f>
        <v/>
      </c>
      <c r="L21" s="16" t="str">
        <f t="shared" si="28"/>
        <v/>
      </c>
      <c r="M21" s="15" t="str">
        <f t="shared" si="7"/>
        <v/>
      </c>
      <c r="N21" s="39" t="str">
        <f t="shared" si="8"/>
        <v>—</v>
      </c>
      <c r="O21" s="31"/>
      <c r="P21" s="31"/>
      <c r="Q21" s="31"/>
      <c r="R21" s="31"/>
      <c r="S21" s="31"/>
      <c r="T21" s="16" t="str">
        <f t="shared" si="9"/>
        <v/>
      </c>
      <c r="U21" s="15" t="str">
        <f t="shared" si="10"/>
        <v/>
      </c>
      <c r="V21" s="40" t="str">
        <f t="shared" si="11"/>
        <v/>
      </c>
      <c r="W21" s="16" t="str">
        <f t="shared" si="12"/>
        <v/>
      </c>
      <c r="X21" s="31"/>
      <c r="Y21" s="31"/>
      <c r="Z21" s="29"/>
      <c r="AA21" s="33"/>
      <c r="AC21" s="36">
        <v>2.0</v>
      </c>
      <c r="AD21" s="42" t="str">
        <f>IF($AK$18+7*(2-1)&gt;$A$38,"",TEXT($AK$18+7*(2-1),"m/d")&amp;"-"&amp;TEXT($AK$18+7*(2-1)+6,"m/d"))</f>
        <v>12/8-12/14</v>
      </c>
      <c r="AE21" s="35">
        <f>IF($AD21="","",(SUMIFS($I$8:$I$38,$A$8:$A$38,"&gt;="&amp;$AK$18+7*(2-1),$A$8:$A$38,"&lt;="&amp;$AK$18+7*(2-1)+6)+SUMIFS('2027年01月'!$I$8:$I$38,'2027年01月'!$A$8:$A$38,"&gt;="&amp;$AK$18+7*(2-1),'2027年01月'!$A$8:$A$38,"&lt;="&amp;$AK$18+7*(2-1)+6)))</f>
        <v>0</v>
      </c>
      <c r="AF21" s="37" t="str">
        <f>IF($AD21="","",IFERROR((SUMIFS($O$8:$O$38,$A$8:$A$38,"&gt;="&amp;$AK$18+7*(2-1),$A$8:$A$38,"&lt;="&amp;$AK$18+7*(2-1)+6)+SUMIFS('2027年01月'!$O$8:$O$38,'2027年01月'!$A$8:$A$38,"&gt;="&amp;$AK$18+7*(2-1),'2027年01月'!$A$8:$A$38,"&lt;="&amp;$AK$18+7*(2-1)+6))/(SUMIFS($Q$8:$Q$38,$A$8:$A$38,"&gt;="&amp;$AK$18+7*(2-1),$A$8:$A$38,"&lt;="&amp;$AK$18+7*(2-1)+6)+SUMIFS('2027年01月'!$Q$8:$Q$38,'2027年01月'!$A$8:$A$38,"&gt;="&amp;$AK$18+7*(2-1),'2027年01月'!$A$8:$A$38,"&lt;="&amp;$AK$18+7*(2-1)+6)),""))</f>
        <v/>
      </c>
      <c r="AG21" s="35" t="str">
        <f>IF($AD21="","",IFERROR((SUMIFS($I$8:$I$38,$A$8:$A$38,"&gt;="&amp;$AK$18+7*(2-1),$A$8:$A$38,"&lt;="&amp;$AK$18+7*(2-1)+6)+SUMIFS('2027年01月'!$I$8:$I$38,'2027年01月'!$A$8:$A$38,"&gt;="&amp;$AK$18+7*(2-1),'2027年01月'!$A$8:$A$38,"&lt;="&amp;$AK$18+7*(2-1)+6))/(SUMIFS($O$8:$O$38,$A$8:$A$38,"&gt;="&amp;$AK$18+7*(2-1),$A$8:$A$38,"&lt;="&amp;$AK$18+7*(2-1)+6)+SUMIFS('2027年01月'!$O$8:$O$38,'2027年01月'!$A$8:$A$38,"&gt;="&amp;$AK$18+7*(2-1),'2027年01月'!$A$8:$A$38,"&lt;="&amp;$AK$18+7*(2-1)+6)),""))</f>
        <v/>
      </c>
      <c r="AH21" s="43" t="str">
        <f>IF($AD21="","",IFERROR((SUMIFS($P$8:$P$38,$A$8:$A$38,"&gt;="&amp;$AK$18+7*(2-1),$A$8:$A$38,"&lt;="&amp;$AK$18+7*(2-1)+6)+SUMIFS('2027年01月'!$P$8:$P$38,'2027年01月'!$A$8:$A$38,"&gt;="&amp;$AK$18+7*(2-1),'2027年01月'!$A$8:$A$38,"&lt;="&amp;$AK$18+7*(2-1)+6))/(SUMIFS($O$8:$O$38,$A$8:$A$38,"&gt;="&amp;$AK$18+7*(2-1),$A$8:$A$38,"&lt;="&amp;$AK$18+7*(2-1)+6)+SUMIFS('2027年01月'!$O$8:$O$38,'2027年01月'!$A$8:$A$38,"&gt;="&amp;$AK$18+7*(2-1),'2027年01月'!$A$8:$A$38,"&lt;="&amp;$AK$18+7*(2-1)+6)),""))</f>
        <v/>
      </c>
      <c r="AI21" s="37" t="str">
        <f>IF($AD21="","",IFERROR((SUMIFS($R$8:$R$38,$A$8:$A$38,"&gt;="&amp;$AK$18+7*(2-1),$A$8:$A$38,"&lt;="&amp;$AK$18+7*(2-1)+6)+SUMIFS('2027年01月'!$R$8:$R$38,'2027年01月'!$A$8:$A$38,"&gt;="&amp;$AK$18+7*(2-1),'2027年01月'!$A$8:$A$38,"&lt;="&amp;$AK$18+7*(2-1)+6))/(SUMIFS($Q$8:$Q$38,$A$8:$A$38,"&gt;="&amp;$AK$18+7*(2-1),$A$8:$A$38,"&lt;="&amp;$AK$18+7*(2-1)+6)+SUMIFS('2027年01月'!$Q$8:$Q$38,'2027年01月'!$A$8:$A$38,"&gt;="&amp;$AK$18+7*(2-1),'2027年01月'!$A$8:$A$38,"&lt;="&amp;$AK$18+7*(2-1)+6)),""))</f>
        <v/>
      </c>
    </row>
    <row r="22" ht="15.75" customHeight="1">
      <c r="A22" s="28">
        <v>46371.0</v>
      </c>
      <c r="B22" s="10" t="str">
        <f t="shared" si="2"/>
        <v>火</v>
      </c>
      <c r="C22" s="29"/>
      <c r="D22" s="11">
        <f t="shared" si="3"/>
        <v>0</v>
      </c>
      <c r="E22" s="29"/>
      <c r="F22" s="29"/>
      <c r="G22" s="29"/>
      <c r="H22" s="29"/>
      <c r="I22" s="11" t="str">
        <f t="shared" si="4"/>
        <v/>
      </c>
      <c r="J22" s="11" t="str">
        <f t="shared" si="5"/>
        <v/>
      </c>
      <c r="K22" s="12" t="str">
        <f t="shared" ref="K22:L22" si="29">IF(I22="","",IFERROR(I22/C22,""))</f>
        <v/>
      </c>
      <c r="L22" s="12" t="str">
        <f t="shared" si="29"/>
        <v/>
      </c>
      <c r="M22" s="11" t="str">
        <f t="shared" si="7"/>
        <v/>
      </c>
      <c r="N22" s="30" t="str">
        <f t="shared" si="8"/>
        <v>—</v>
      </c>
      <c r="O22" s="31"/>
      <c r="P22" s="31"/>
      <c r="Q22" s="31"/>
      <c r="R22" s="31"/>
      <c r="S22" s="31"/>
      <c r="T22" s="12" t="str">
        <f t="shared" si="9"/>
        <v/>
      </c>
      <c r="U22" s="11" t="str">
        <f t="shared" si="10"/>
        <v/>
      </c>
      <c r="V22" s="32" t="str">
        <f t="shared" si="11"/>
        <v/>
      </c>
      <c r="W22" s="12" t="str">
        <f t="shared" si="12"/>
        <v/>
      </c>
      <c r="X22" s="31"/>
      <c r="Y22" s="31"/>
      <c r="Z22" s="29"/>
      <c r="AA22" s="33"/>
      <c r="AC22" s="36">
        <v>3.0</v>
      </c>
      <c r="AD22" s="42" t="str">
        <f>IF($AK$18+7*(3-1)&gt;$A$38,"",TEXT($AK$18+7*(3-1),"m/d")&amp;"-"&amp;TEXT($AK$18+7*(3-1)+6,"m/d"))</f>
        <v>12/15-12/21</v>
      </c>
      <c r="AE22" s="35">
        <f>IF($AD22="","",(SUMIFS($I$8:$I$38,$A$8:$A$38,"&gt;="&amp;$AK$18+7*(3-1),$A$8:$A$38,"&lt;="&amp;$AK$18+7*(3-1)+6)+SUMIFS('2027年01月'!$I$8:$I$38,'2027年01月'!$A$8:$A$38,"&gt;="&amp;$AK$18+7*(3-1),'2027年01月'!$A$8:$A$38,"&lt;="&amp;$AK$18+7*(3-1)+6)))</f>
        <v>0</v>
      </c>
      <c r="AF22" s="37" t="str">
        <f>IF($AD22="","",IFERROR((SUMIFS($O$8:$O$38,$A$8:$A$38,"&gt;="&amp;$AK$18+7*(3-1),$A$8:$A$38,"&lt;="&amp;$AK$18+7*(3-1)+6)+SUMIFS('2027年01月'!$O$8:$O$38,'2027年01月'!$A$8:$A$38,"&gt;="&amp;$AK$18+7*(3-1),'2027年01月'!$A$8:$A$38,"&lt;="&amp;$AK$18+7*(3-1)+6))/(SUMIFS($Q$8:$Q$38,$A$8:$A$38,"&gt;="&amp;$AK$18+7*(3-1),$A$8:$A$38,"&lt;="&amp;$AK$18+7*(3-1)+6)+SUMIFS('2027年01月'!$Q$8:$Q$38,'2027年01月'!$A$8:$A$38,"&gt;="&amp;$AK$18+7*(3-1),'2027年01月'!$A$8:$A$38,"&lt;="&amp;$AK$18+7*(3-1)+6)),""))</f>
        <v/>
      </c>
      <c r="AG22" s="35" t="str">
        <f>IF($AD22="","",IFERROR((SUMIFS($I$8:$I$38,$A$8:$A$38,"&gt;="&amp;$AK$18+7*(3-1),$A$8:$A$38,"&lt;="&amp;$AK$18+7*(3-1)+6)+SUMIFS('2027年01月'!$I$8:$I$38,'2027年01月'!$A$8:$A$38,"&gt;="&amp;$AK$18+7*(3-1),'2027年01月'!$A$8:$A$38,"&lt;="&amp;$AK$18+7*(3-1)+6))/(SUMIFS($O$8:$O$38,$A$8:$A$38,"&gt;="&amp;$AK$18+7*(3-1),$A$8:$A$38,"&lt;="&amp;$AK$18+7*(3-1)+6)+SUMIFS('2027年01月'!$O$8:$O$38,'2027年01月'!$A$8:$A$38,"&gt;="&amp;$AK$18+7*(3-1),'2027年01月'!$A$8:$A$38,"&lt;="&amp;$AK$18+7*(3-1)+6)),""))</f>
        <v/>
      </c>
      <c r="AH22" s="43" t="str">
        <f>IF($AD22="","",IFERROR((SUMIFS($P$8:$P$38,$A$8:$A$38,"&gt;="&amp;$AK$18+7*(3-1),$A$8:$A$38,"&lt;="&amp;$AK$18+7*(3-1)+6)+SUMIFS('2027年01月'!$P$8:$P$38,'2027年01月'!$A$8:$A$38,"&gt;="&amp;$AK$18+7*(3-1),'2027年01月'!$A$8:$A$38,"&lt;="&amp;$AK$18+7*(3-1)+6))/(SUMIFS($O$8:$O$38,$A$8:$A$38,"&gt;="&amp;$AK$18+7*(3-1),$A$8:$A$38,"&lt;="&amp;$AK$18+7*(3-1)+6)+SUMIFS('2027年01月'!$O$8:$O$38,'2027年01月'!$A$8:$A$38,"&gt;="&amp;$AK$18+7*(3-1),'2027年01月'!$A$8:$A$38,"&lt;="&amp;$AK$18+7*(3-1)+6)),""))</f>
        <v/>
      </c>
      <c r="AI22" s="37" t="str">
        <f>IF($AD22="","",IFERROR((SUMIFS($R$8:$R$38,$A$8:$A$38,"&gt;="&amp;$AK$18+7*(3-1),$A$8:$A$38,"&lt;="&amp;$AK$18+7*(3-1)+6)+SUMIFS('2027年01月'!$R$8:$R$38,'2027年01月'!$A$8:$A$38,"&gt;="&amp;$AK$18+7*(3-1),'2027年01月'!$A$8:$A$38,"&lt;="&amp;$AK$18+7*(3-1)+6))/(SUMIFS($Q$8:$Q$38,$A$8:$A$38,"&gt;="&amp;$AK$18+7*(3-1),$A$8:$A$38,"&lt;="&amp;$AK$18+7*(3-1)+6)+SUMIFS('2027年01月'!$Q$8:$Q$38,'2027年01月'!$A$8:$A$38,"&gt;="&amp;$AK$18+7*(3-1),'2027年01月'!$A$8:$A$38,"&lt;="&amp;$AK$18+7*(3-1)+6)),""))</f>
        <v/>
      </c>
    </row>
    <row r="23" ht="15.75" customHeight="1">
      <c r="A23" s="38">
        <v>46372.0</v>
      </c>
      <c r="B23" s="14" t="str">
        <f t="shared" si="2"/>
        <v>水</v>
      </c>
      <c r="C23" s="29"/>
      <c r="D23" s="15">
        <f t="shared" si="3"/>
        <v>0</v>
      </c>
      <c r="E23" s="29"/>
      <c r="F23" s="29"/>
      <c r="G23" s="29"/>
      <c r="H23" s="29"/>
      <c r="I23" s="15" t="str">
        <f t="shared" si="4"/>
        <v/>
      </c>
      <c r="J23" s="15" t="str">
        <f t="shared" si="5"/>
        <v/>
      </c>
      <c r="K23" s="16" t="str">
        <f t="shared" ref="K23:L23" si="30">IF(I23="","",IFERROR(I23/C23,""))</f>
        <v/>
      </c>
      <c r="L23" s="16" t="str">
        <f t="shared" si="30"/>
        <v/>
      </c>
      <c r="M23" s="15" t="str">
        <f t="shared" si="7"/>
        <v/>
      </c>
      <c r="N23" s="39" t="str">
        <f t="shared" si="8"/>
        <v>—</v>
      </c>
      <c r="O23" s="31"/>
      <c r="P23" s="31"/>
      <c r="Q23" s="31"/>
      <c r="R23" s="31"/>
      <c r="S23" s="31"/>
      <c r="T23" s="16" t="str">
        <f t="shared" si="9"/>
        <v/>
      </c>
      <c r="U23" s="15" t="str">
        <f t="shared" si="10"/>
        <v/>
      </c>
      <c r="V23" s="40" t="str">
        <f t="shared" si="11"/>
        <v/>
      </c>
      <c r="W23" s="16" t="str">
        <f t="shared" si="12"/>
        <v/>
      </c>
      <c r="X23" s="31"/>
      <c r="Y23" s="31"/>
      <c r="Z23" s="29"/>
      <c r="AA23" s="33"/>
      <c r="AC23" s="36">
        <v>4.0</v>
      </c>
      <c r="AD23" s="42" t="str">
        <f>IF($AK$18+7*(4-1)&gt;$A$38,"",TEXT($AK$18+7*(4-1),"m/d")&amp;"-"&amp;TEXT($AK$18+7*(4-1)+6,"m/d"))</f>
        <v>12/22-12/28</v>
      </c>
      <c r="AE23" s="35">
        <f>IF($AD23="","",(SUMIFS($I$8:$I$38,$A$8:$A$38,"&gt;="&amp;$AK$18+7*(4-1),$A$8:$A$38,"&lt;="&amp;$AK$18+7*(4-1)+6)+SUMIFS('2027年01月'!$I$8:$I$38,'2027年01月'!$A$8:$A$38,"&gt;="&amp;$AK$18+7*(4-1),'2027年01月'!$A$8:$A$38,"&lt;="&amp;$AK$18+7*(4-1)+6)))</f>
        <v>0</v>
      </c>
      <c r="AF23" s="37" t="str">
        <f>IF($AD23="","",IFERROR((SUMIFS($O$8:$O$38,$A$8:$A$38,"&gt;="&amp;$AK$18+7*(4-1),$A$8:$A$38,"&lt;="&amp;$AK$18+7*(4-1)+6)+SUMIFS('2027年01月'!$O$8:$O$38,'2027年01月'!$A$8:$A$38,"&gt;="&amp;$AK$18+7*(4-1),'2027年01月'!$A$8:$A$38,"&lt;="&amp;$AK$18+7*(4-1)+6))/(SUMIFS($Q$8:$Q$38,$A$8:$A$38,"&gt;="&amp;$AK$18+7*(4-1),$A$8:$A$38,"&lt;="&amp;$AK$18+7*(4-1)+6)+SUMIFS('2027年01月'!$Q$8:$Q$38,'2027年01月'!$A$8:$A$38,"&gt;="&amp;$AK$18+7*(4-1),'2027年01月'!$A$8:$A$38,"&lt;="&amp;$AK$18+7*(4-1)+6)),""))</f>
        <v/>
      </c>
      <c r="AG23" s="35" t="str">
        <f>IF($AD23="","",IFERROR((SUMIFS($I$8:$I$38,$A$8:$A$38,"&gt;="&amp;$AK$18+7*(4-1),$A$8:$A$38,"&lt;="&amp;$AK$18+7*(4-1)+6)+SUMIFS('2027年01月'!$I$8:$I$38,'2027年01月'!$A$8:$A$38,"&gt;="&amp;$AK$18+7*(4-1),'2027年01月'!$A$8:$A$38,"&lt;="&amp;$AK$18+7*(4-1)+6))/(SUMIFS($O$8:$O$38,$A$8:$A$38,"&gt;="&amp;$AK$18+7*(4-1),$A$8:$A$38,"&lt;="&amp;$AK$18+7*(4-1)+6)+SUMIFS('2027年01月'!$O$8:$O$38,'2027年01月'!$A$8:$A$38,"&gt;="&amp;$AK$18+7*(4-1),'2027年01月'!$A$8:$A$38,"&lt;="&amp;$AK$18+7*(4-1)+6)),""))</f>
        <v/>
      </c>
      <c r="AH23" s="43" t="str">
        <f>IF($AD23="","",IFERROR((SUMIFS($P$8:$P$38,$A$8:$A$38,"&gt;="&amp;$AK$18+7*(4-1),$A$8:$A$38,"&lt;="&amp;$AK$18+7*(4-1)+6)+SUMIFS('2027年01月'!$P$8:$P$38,'2027年01月'!$A$8:$A$38,"&gt;="&amp;$AK$18+7*(4-1),'2027年01月'!$A$8:$A$38,"&lt;="&amp;$AK$18+7*(4-1)+6))/(SUMIFS($O$8:$O$38,$A$8:$A$38,"&gt;="&amp;$AK$18+7*(4-1),$A$8:$A$38,"&lt;="&amp;$AK$18+7*(4-1)+6)+SUMIFS('2027年01月'!$O$8:$O$38,'2027年01月'!$A$8:$A$38,"&gt;="&amp;$AK$18+7*(4-1),'2027年01月'!$A$8:$A$38,"&lt;="&amp;$AK$18+7*(4-1)+6)),""))</f>
        <v/>
      </c>
      <c r="AI23" s="37" t="str">
        <f>IF($AD23="","",IFERROR((SUMIFS($R$8:$R$38,$A$8:$A$38,"&gt;="&amp;$AK$18+7*(4-1),$A$8:$A$38,"&lt;="&amp;$AK$18+7*(4-1)+6)+SUMIFS('2027年01月'!$R$8:$R$38,'2027年01月'!$A$8:$A$38,"&gt;="&amp;$AK$18+7*(4-1),'2027年01月'!$A$8:$A$38,"&lt;="&amp;$AK$18+7*(4-1)+6))/(SUMIFS($Q$8:$Q$38,$A$8:$A$38,"&gt;="&amp;$AK$18+7*(4-1),$A$8:$A$38,"&lt;="&amp;$AK$18+7*(4-1)+6)+SUMIFS('2027年01月'!$Q$8:$Q$38,'2027年01月'!$A$8:$A$38,"&gt;="&amp;$AK$18+7*(4-1),'2027年01月'!$A$8:$A$38,"&lt;="&amp;$AK$18+7*(4-1)+6)),""))</f>
        <v/>
      </c>
    </row>
    <row r="24" ht="15.75" customHeight="1">
      <c r="A24" s="28">
        <v>46373.0</v>
      </c>
      <c r="B24" s="10" t="str">
        <f t="shared" si="2"/>
        <v>木</v>
      </c>
      <c r="C24" s="29"/>
      <c r="D24" s="11">
        <f t="shared" si="3"/>
        <v>0</v>
      </c>
      <c r="E24" s="29"/>
      <c r="F24" s="29"/>
      <c r="G24" s="29"/>
      <c r="H24" s="29"/>
      <c r="I24" s="11" t="str">
        <f t="shared" si="4"/>
        <v/>
      </c>
      <c r="J24" s="11" t="str">
        <f t="shared" si="5"/>
        <v/>
      </c>
      <c r="K24" s="12" t="str">
        <f t="shared" ref="K24:L24" si="31">IF(I24="","",IFERROR(I24/C24,""))</f>
        <v/>
      </c>
      <c r="L24" s="12" t="str">
        <f t="shared" si="31"/>
        <v/>
      </c>
      <c r="M24" s="11" t="str">
        <f t="shared" si="7"/>
        <v/>
      </c>
      <c r="N24" s="30" t="str">
        <f t="shared" si="8"/>
        <v>—</v>
      </c>
      <c r="O24" s="31"/>
      <c r="P24" s="31"/>
      <c r="Q24" s="31"/>
      <c r="R24" s="31"/>
      <c r="S24" s="31"/>
      <c r="T24" s="12" t="str">
        <f t="shared" si="9"/>
        <v/>
      </c>
      <c r="U24" s="11" t="str">
        <f t="shared" si="10"/>
        <v/>
      </c>
      <c r="V24" s="32" t="str">
        <f t="shared" si="11"/>
        <v/>
      </c>
      <c r="W24" s="12" t="str">
        <f t="shared" si="12"/>
        <v/>
      </c>
      <c r="X24" s="31"/>
      <c r="Y24" s="31"/>
      <c r="Z24" s="29"/>
      <c r="AA24" s="33"/>
      <c r="AC24" s="36">
        <v>5.0</v>
      </c>
      <c r="AD24" s="42" t="str">
        <f>IF($AK$18+7*(5-1)&gt;$A$38,"",TEXT($AK$18+7*(5-1),"m/d")&amp;"-"&amp;TEXT($AK$18+7*(5-1)+6,"m/d"))</f>
        <v>12/29-1/4</v>
      </c>
      <c r="AE24" s="35">
        <f>IF($AD24="","",(SUMIFS($I$8:$I$38,$A$8:$A$38,"&gt;="&amp;$AK$18+7*(5-1),$A$8:$A$38,"&lt;="&amp;$AK$18+7*(5-1)+6)+SUMIFS('2027年01月'!$I$8:$I$38,'2027年01月'!$A$8:$A$38,"&gt;="&amp;$AK$18+7*(5-1),'2027年01月'!$A$8:$A$38,"&lt;="&amp;$AK$18+7*(5-1)+6)))</f>
        <v>0</v>
      </c>
      <c r="AF24" s="37" t="str">
        <f>IF($AD24="","",IFERROR((SUMIFS($O$8:$O$38,$A$8:$A$38,"&gt;="&amp;$AK$18+7*(5-1),$A$8:$A$38,"&lt;="&amp;$AK$18+7*(5-1)+6)+SUMIFS('2027年01月'!$O$8:$O$38,'2027年01月'!$A$8:$A$38,"&gt;="&amp;$AK$18+7*(5-1),'2027年01月'!$A$8:$A$38,"&lt;="&amp;$AK$18+7*(5-1)+6))/(SUMIFS($Q$8:$Q$38,$A$8:$A$38,"&gt;="&amp;$AK$18+7*(5-1),$A$8:$A$38,"&lt;="&amp;$AK$18+7*(5-1)+6)+SUMIFS('2027年01月'!$Q$8:$Q$38,'2027年01月'!$A$8:$A$38,"&gt;="&amp;$AK$18+7*(5-1),'2027年01月'!$A$8:$A$38,"&lt;="&amp;$AK$18+7*(5-1)+6)),""))</f>
        <v/>
      </c>
      <c r="AG24" s="35" t="str">
        <f>IF($AD24="","",IFERROR((SUMIFS($I$8:$I$38,$A$8:$A$38,"&gt;="&amp;$AK$18+7*(5-1),$A$8:$A$38,"&lt;="&amp;$AK$18+7*(5-1)+6)+SUMIFS('2027年01月'!$I$8:$I$38,'2027年01月'!$A$8:$A$38,"&gt;="&amp;$AK$18+7*(5-1),'2027年01月'!$A$8:$A$38,"&lt;="&amp;$AK$18+7*(5-1)+6))/(SUMIFS($O$8:$O$38,$A$8:$A$38,"&gt;="&amp;$AK$18+7*(5-1),$A$8:$A$38,"&lt;="&amp;$AK$18+7*(5-1)+6)+SUMIFS('2027年01月'!$O$8:$O$38,'2027年01月'!$A$8:$A$38,"&gt;="&amp;$AK$18+7*(5-1),'2027年01月'!$A$8:$A$38,"&lt;="&amp;$AK$18+7*(5-1)+6)),""))</f>
        <v/>
      </c>
      <c r="AH24" s="43" t="str">
        <f>IF($AD24="","",IFERROR((SUMIFS($P$8:$P$38,$A$8:$A$38,"&gt;="&amp;$AK$18+7*(5-1),$A$8:$A$38,"&lt;="&amp;$AK$18+7*(5-1)+6)+SUMIFS('2027年01月'!$P$8:$P$38,'2027年01月'!$A$8:$A$38,"&gt;="&amp;$AK$18+7*(5-1),'2027年01月'!$A$8:$A$38,"&lt;="&amp;$AK$18+7*(5-1)+6))/(SUMIFS($O$8:$O$38,$A$8:$A$38,"&gt;="&amp;$AK$18+7*(5-1),$A$8:$A$38,"&lt;="&amp;$AK$18+7*(5-1)+6)+SUMIFS('2027年01月'!$O$8:$O$38,'2027年01月'!$A$8:$A$38,"&gt;="&amp;$AK$18+7*(5-1),'2027年01月'!$A$8:$A$38,"&lt;="&amp;$AK$18+7*(5-1)+6)),""))</f>
        <v/>
      </c>
      <c r="AI24" s="37" t="str">
        <f>IF($AD24="","",IFERROR((SUMIFS($R$8:$R$38,$A$8:$A$38,"&gt;="&amp;$AK$18+7*(5-1),$A$8:$A$38,"&lt;="&amp;$AK$18+7*(5-1)+6)+SUMIFS('2027年01月'!$R$8:$R$38,'2027年01月'!$A$8:$A$38,"&gt;="&amp;$AK$18+7*(5-1),'2027年01月'!$A$8:$A$38,"&lt;="&amp;$AK$18+7*(5-1)+6))/(SUMIFS($Q$8:$Q$38,$A$8:$A$38,"&gt;="&amp;$AK$18+7*(5-1),$A$8:$A$38,"&lt;="&amp;$AK$18+7*(5-1)+6)+SUMIFS('2027年01月'!$Q$8:$Q$38,'2027年01月'!$A$8:$A$38,"&gt;="&amp;$AK$18+7*(5-1),'2027年01月'!$A$8:$A$38,"&lt;="&amp;$AK$18+7*(5-1)+6)),""))</f>
        <v/>
      </c>
    </row>
    <row r="25" ht="15.75" customHeight="1">
      <c r="A25" s="38">
        <v>46374.0</v>
      </c>
      <c r="B25" s="14" t="str">
        <f t="shared" si="2"/>
        <v>金</v>
      </c>
      <c r="C25" s="29"/>
      <c r="D25" s="15">
        <f t="shared" si="3"/>
        <v>0</v>
      </c>
      <c r="E25" s="29"/>
      <c r="F25" s="29"/>
      <c r="G25" s="29"/>
      <c r="H25" s="29"/>
      <c r="I25" s="15" t="str">
        <f t="shared" si="4"/>
        <v/>
      </c>
      <c r="J25" s="15" t="str">
        <f t="shared" si="5"/>
        <v/>
      </c>
      <c r="K25" s="16" t="str">
        <f t="shared" ref="K25:L25" si="32">IF(I25="","",IFERROR(I25/C25,""))</f>
        <v/>
      </c>
      <c r="L25" s="16" t="str">
        <f t="shared" si="32"/>
        <v/>
      </c>
      <c r="M25" s="15" t="str">
        <f t="shared" si="7"/>
        <v/>
      </c>
      <c r="N25" s="39" t="str">
        <f t="shared" si="8"/>
        <v>—</v>
      </c>
      <c r="O25" s="31"/>
      <c r="P25" s="31"/>
      <c r="Q25" s="31"/>
      <c r="R25" s="31"/>
      <c r="S25" s="31"/>
      <c r="T25" s="16" t="str">
        <f t="shared" si="9"/>
        <v/>
      </c>
      <c r="U25" s="15" t="str">
        <f t="shared" si="10"/>
        <v/>
      </c>
      <c r="V25" s="40" t="str">
        <f t="shared" si="11"/>
        <v/>
      </c>
      <c r="W25" s="16" t="str">
        <f t="shared" si="12"/>
        <v/>
      </c>
      <c r="X25" s="31"/>
      <c r="Y25" s="31"/>
      <c r="Z25" s="29"/>
      <c r="AA25" s="33"/>
      <c r="AC25" s="36">
        <v>6.0</v>
      </c>
      <c r="AD25" s="42" t="str">
        <f>IF($AK$18+7*(6-1)&gt;$A$38,"",TEXT($AK$18+7*(6-1),"m/d")&amp;"-"&amp;TEXT($AK$18+7*(6-1)+6,"m/d"))</f>
        <v/>
      </c>
      <c r="AE25" s="35" t="str">
        <f>IF($AD25="","",(SUMIFS($I$8:$I$38,$A$8:$A$38,"&gt;="&amp;$AK$18+7*(6-1),$A$8:$A$38,"&lt;="&amp;$AK$18+7*(6-1)+6)+SUMIFS('2027年01月'!$I$8:$I$38,'2027年01月'!$A$8:$A$38,"&gt;="&amp;$AK$18+7*(6-1),'2027年01月'!$A$8:$A$38,"&lt;="&amp;$AK$18+7*(6-1)+6)))</f>
        <v/>
      </c>
      <c r="AF25" s="37" t="str">
        <f>IF($AD25="","",IFERROR((SUMIFS($O$8:$O$38,$A$8:$A$38,"&gt;="&amp;$AK$18+7*(6-1),$A$8:$A$38,"&lt;="&amp;$AK$18+7*(6-1)+6)+SUMIFS('2027年01月'!$O$8:$O$38,'2027年01月'!$A$8:$A$38,"&gt;="&amp;$AK$18+7*(6-1),'2027年01月'!$A$8:$A$38,"&lt;="&amp;$AK$18+7*(6-1)+6))/(SUMIFS($Q$8:$Q$38,$A$8:$A$38,"&gt;="&amp;$AK$18+7*(6-1),$A$8:$A$38,"&lt;="&amp;$AK$18+7*(6-1)+6)+SUMIFS('2027年01月'!$Q$8:$Q$38,'2027年01月'!$A$8:$A$38,"&gt;="&amp;$AK$18+7*(6-1),'2027年01月'!$A$8:$A$38,"&lt;="&amp;$AK$18+7*(6-1)+6)),""))</f>
        <v/>
      </c>
      <c r="AG25" s="35" t="str">
        <f>IF($AD25="","",IFERROR((SUMIFS($I$8:$I$38,$A$8:$A$38,"&gt;="&amp;$AK$18+7*(6-1),$A$8:$A$38,"&lt;="&amp;$AK$18+7*(6-1)+6)+SUMIFS('2027年01月'!$I$8:$I$38,'2027年01月'!$A$8:$A$38,"&gt;="&amp;$AK$18+7*(6-1),'2027年01月'!$A$8:$A$38,"&lt;="&amp;$AK$18+7*(6-1)+6))/(SUMIFS($O$8:$O$38,$A$8:$A$38,"&gt;="&amp;$AK$18+7*(6-1),$A$8:$A$38,"&lt;="&amp;$AK$18+7*(6-1)+6)+SUMIFS('2027年01月'!$O$8:$O$38,'2027年01月'!$A$8:$A$38,"&gt;="&amp;$AK$18+7*(6-1),'2027年01月'!$A$8:$A$38,"&lt;="&amp;$AK$18+7*(6-1)+6)),""))</f>
        <v/>
      </c>
      <c r="AH25" s="43" t="str">
        <f>IF($AD25="","",IFERROR((SUMIFS($P$8:$P$38,$A$8:$A$38,"&gt;="&amp;$AK$18+7*(6-1),$A$8:$A$38,"&lt;="&amp;$AK$18+7*(6-1)+6)+SUMIFS('2027年01月'!$P$8:$P$38,'2027年01月'!$A$8:$A$38,"&gt;="&amp;$AK$18+7*(6-1),'2027年01月'!$A$8:$A$38,"&lt;="&amp;$AK$18+7*(6-1)+6))/(SUMIFS($O$8:$O$38,$A$8:$A$38,"&gt;="&amp;$AK$18+7*(6-1),$A$8:$A$38,"&lt;="&amp;$AK$18+7*(6-1)+6)+SUMIFS('2027年01月'!$O$8:$O$38,'2027年01月'!$A$8:$A$38,"&gt;="&amp;$AK$18+7*(6-1),'2027年01月'!$A$8:$A$38,"&lt;="&amp;$AK$18+7*(6-1)+6)),""))</f>
        <v/>
      </c>
      <c r="AI25" s="37" t="str">
        <f>IF($AD25="","",IFERROR((SUMIFS($R$8:$R$38,$A$8:$A$38,"&gt;="&amp;$AK$18+7*(6-1),$A$8:$A$38,"&lt;="&amp;$AK$18+7*(6-1)+6)+SUMIFS('2027年01月'!$R$8:$R$38,'2027年01月'!$A$8:$A$38,"&gt;="&amp;$AK$18+7*(6-1),'2027年01月'!$A$8:$A$38,"&lt;="&amp;$AK$18+7*(6-1)+6))/(SUMIFS($Q$8:$Q$38,$A$8:$A$38,"&gt;="&amp;$AK$18+7*(6-1),$A$8:$A$38,"&lt;="&amp;$AK$18+7*(6-1)+6)+SUMIFS('2027年01月'!$Q$8:$Q$38,'2027年01月'!$A$8:$A$38,"&gt;="&amp;$AK$18+7*(6-1),'2027年01月'!$A$8:$A$38,"&lt;="&amp;$AK$18+7*(6-1)+6)),""))</f>
        <v/>
      </c>
    </row>
    <row r="26" ht="15.75" customHeight="1">
      <c r="A26" s="28">
        <v>46375.0</v>
      </c>
      <c r="B26" s="10" t="str">
        <f t="shared" si="2"/>
        <v>土</v>
      </c>
      <c r="C26" s="29"/>
      <c r="D26" s="11">
        <f t="shared" si="3"/>
        <v>0</v>
      </c>
      <c r="E26" s="29"/>
      <c r="F26" s="29"/>
      <c r="G26" s="29"/>
      <c r="H26" s="29"/>
      <c r="I26" s="11" t="str">
        <f t="shared" si="4"/>
        <v/>
      </c>
      <c r="J26" s="11" t="str">
        <f t="shared" si="5"/>
        <v/>
      </c>
      <c r="K26" s="12" t="str">
        <f t="shared" ref="K26:L26" si="33">IF(I26="","",IFERROR(I26/C26,""))</f>
        <v/>
      </c>
      <c r="L26" s="12" t="str">
        <f t="shared" si="33"/>
        <v/>
      </c>
      <c r="M26" s="11" t="str">
        <f t="shared" si="7"/>
        <v/>
      </c>
      <c r="N26" s="30" t="str">
        <f t="shared" si="8"/>
        <v>—</v>
      </c>
      <c r="O26" s="31"/>
      <c r="P26" s="31"/>
      <c r="Q26" s="31"/>
      <c r="R26" s="31"/>
      <c r="S26" s="31"/>
      <c r="T26" s="12" t="str">
        <f t="shared" si="9"/>
        <v/>
      </c>
      <c r="U26" s="11" t="str">
        <f t="shared" si="10"/>
        <v/>
      </c>
      <c r="V26" s="32" t="str">
        <f t="shared" si="11"/>
        <v/>
      </c>
      <c r="W26" s="12" t="str">
        <f t="shared" si="12"/>
        <v/>
      </c>
      <c r="X26" s="31"/>
      <c r="Y26" s="31"/>
      <c r="Z26" s="29"/>
      <c r="AA26" s="33"/>
      <c r="AC26" s="22" t="s">
        <v>141</v>
      </c>
    </row>
    <row r="27" ht="15.75" customHeight="1">
      <c r="A27" s="38">
        <v>46376.0</v>
      </c>
      <c r="B27" s="14" t="str">
        <f t="shared" si="2"/>
        <v>日</v>
      </c>
      <c r="C27" s="29"/>
      <c r="D27" s="15">
        <f t="shared" si="3"/>
        <v>0</v>
      </c>
      <c r="E27" s="29"/>
      <c r="F27" s="29"/>
      <c r="G27" s="29"/>
      <c r="H27" s="29"/>
      <c r="I27" s="15" t="str">
        <f t="shared" si="4"/>
        <v/>
      </c>
      <c r="J27" s="15" t="str">
        <f t="shared" si="5"/>
        <v/>
      </c>
      <c r="K27" s="16" t="str">
        <f t="shared" ref="K27:L27" si="34">IF(I27="","",IFERROR(I27/C27,""))</f>
        <v/>
      </c>
      <c r="L27" s="16" t="str">
        <f t="shared" si="34"/>
        <v/>
      </c>
      <c r="M27" s="15" t="str">
        <f t="shared" si="7"/>
        <v/>
      </c>
      <c r="N27" s="39" t="str">
        <f t="shared" si="8"/>
        <v>—</v>
      </c>
      <c r="O27" s="31"/>
      <c r="P27" s="31"/>
      <c r="Q27" s="31"/>
      <c r="R27" s="31"/>
      <c r="S27" s="31"/>
      <c r="T27" s="16" t="str">
        <f t="shared" si="9"/>
        <v/>
      </c>
      <c r="U27" s="15" t="str">
        <f t="shared" si="10"/>
        <v/>
      </c>
      <c r="V27" s="40" t="str">
        <f t="shared" si="11"/>
        <v/>
      </c>
      <c r="W27" s="16" t="str">
        <f t="shared" si="12"/>
        <v/>
      </c>
      <c r="X27" s="31"/>
      <c r="Y27" s="31"/>
      <c r="Z27" s="29"/>
      <c r="AA27" s="33"/>
      <c r="AC27" s="22" t="s">
        <v>142</v>
      </c>
    </row>
    <row r="28" ht="15.75" customHeight="1">
      <c r="A28" s="28">
        <v>46377.0</v>
      </c>
      <c r="B28" s="10" t="str">
        <f t="shared" si="2"/>
        <v>月</v>
      </c>
      <c r="C28" s="29"/>
      <c r="D28" s="11">
        <f t="shared" si="3"/>
        <v>0</v>
      </c>
      <c r="E28" s="29"/>
      <c r="F28" s="29"/>
      <c r="G28" s="29"/>
      <c r="H28" s="29"/>
      <c r="I28" s="11" t="str">
        <f t="shared" si="4"/>
        <v/>
      </c>
      <c r="J28" s="11" t="str">
        <f t="shared" si="5"/>
        <v/>
      </c>
      <c r="K28" s="12" t="str">
        <f t="shared" ref="K28:L28" si="35">IF(I28="","",IFERROR(I28/C28,""))</f>
        <v/>
      </c>
      <c r="L28" s="12" t="str">
        <f t="shared" si="35"/>
        <v/>
      </c>
      <c r="M28" s="11" t="str">
        <f t="shared" si="7"/>
        <v/>
      </c>
      <c r="N28" s="30" t="str">
        <f t="shared" si="8"/>
        <v>—</v>
      </c>
      <c r="O28" s="31"/>
      <c r="P28" s="31"/>
      <c r="Q28" s="31"/>
      <c r="R28" s="31"/>
      <c r="S28" s="31"/>
      <c r="T28" s="12" t="str">
        <f t="shared" si="9"/>
        <v/>
      </c>
      <c r="U28" s="11" t="str">
        <f t="shared" si="10"/>
        <v/>
      </c>
      <c r="V28" s="32" t="str">
        <f t="shared" si="11"/>
        <v/>
      </c>
      <c r="W28" s="12" t="str">
        <f t="shared" si="12"/>
        <v/>
      </c>
      <c r="X28" s="31"/>
      <c r="Y28" s="31"/>
      <c r="Z28" s="29"/>
      <c r="AA28" s="33"/>
      <c r="AC28" s="22" t="s">
        <v>143</v>
      </c>
    </row>
    <row r="29" ht="15.75" customHeight="1">
      <c r="A29" s="38">
        <v>46378.0</v>
      </c>
      <c r="B29" s="14" t="str">
        <f t="shared" si="2"/>
        <v>火</v>
      </c>
      <c r="C29" s="29"/>
      <c r="D29" s="15">
        <f t="shared" si="3"/>
        <v>0</v>
      </c>
      <c r="E29" s="29"/>
      <c r="F29" s="29"/>
      <c r="G29" s="29"/>
      <c r="H29" s="29"/>
      <c r="I29" s="15" t="str">
        <f t="shared" si="4"/>
        <v/>
      </c>
      <c r="J29" s="15" t="str">
        <f t="shared" si="5"/>
        <v/>
      </c>
      <c r="K29" s="16" t="str">
        <f t="shared" ref="K29:L29" si="36">IF(I29="","",IFERROR(I29/C29,""))</f>
        <v/>
      </c>
      <c r="L29" s="16" t="str">
        <f t="shared" si="36"/>
        <v/>
      </c>
      <c r="M29" s="15" t="str">
        <f t="shared" si="7"/>
        <v/>
      </c>
      <c r="N29" s="39" t="str">
        <f t="shared" si="8"/>
        <v>—</v>
      </c>
      <c r="O29" s="31"/>
      <c r="P29" s="31"/>
      <c r="Q29" s="31"/>
      <c r="R29" s="31"/>
      <c r="S29" s="31"/>
      <c r="T29" s="16" t="str">
        <f t="shared" si="9"/>
        <v/>
      </c>
      <c r="U29" s="15" t="str">
        <f t="shared" si="10"/>
        <v/>
      </c>
      <c r="V29" s="40" t="str">
        <f t="shared" si="11"/>
        <v/>
      </c>
      <c r="W29" s="16" t="str">
        <f t="shared" si="12"/>
        <v/>
      </c>
      <c r="X29" s="31"/>
      <c r="Y29" s="31"/>
      <c r="Z29" s="29"/>
      <c r="AA29" s="33"/>
    </row>
    <row r="30" ht="15.75" customHeight="1">
      <c r="A30" s="28">
        <v>46379.0</v>
      </c>
      <c r="B30" s="10" t="str">
        <f t="shared" si="2"/>
        <v>水</v>
      </c>
      <c r="C30" s="29"/>
      <c r="D30" s="11">
        <f t="shared" si="3"/>
        <v>0</v>
      </c>
      <c r="E30" s="29"/>
      <c r="F30" s="29"/>
      <c r="G30" s="29"/>
      <c r="H30" s="29"/>
      <c r="I30" s="11" t="str">
        <f t="shared" si="4"/>
        <v/>
      </c>
      <c r="J30" s="11" t="str">
        <f t="shared" si="5"/>
        <v/>
      </c>
      <c r="K30" s="12" t="str">
        <f t="shared" ref="K30:L30" si="37">IF(I30="","",IFERROR(I30/C30,""))</f>
        <v/>
      </c>
      <c r="L30" s="12" t="str">
        <f t="shared" si="37"/>
        <v/>
      </c>
      <c r="M30" s="11" t="str">
        <f t="shared" si="7"/>
        <v/>
      </c>
      <c r="N30" s="30" t="str">
        <f t="shared" si="8"/>
        <v>—</v>
      </c>
      <c r="O30" s="31"/>
      <c r="P30" s="31"/>
      <c r="Q30" s="31"/>
      <c r="R30" s="31"/>
      <c r="S30" s="31"/>
      <c r="T30" s="12" t="str">
        <f t="shared" si="9"/>
        <v/>
      </c>
      <c r="U30" s="11" t="str">
        <f t="shared" si="10"/>
        <v/>
      </c>
      <c r="V30" s="32" t="str">
        <f t="shared" si="11"/>
        <v/>
      </c>
      <c r="W30" s="12" t="str">
        <f t="shared" si="12"/>
        <v/>
      </c>
      <c r="X30" s="31"/>
      <c r="Y30" s="31"/>
      <c r="Z30" s="29"/>
      <c r="AA30" s="33"/>
    </row>
    <row r="31" ht="15.75" customHeight="1">
      <c r="A31" s="38">
        <v>46380.0</v>
      </c>
      <c r="B31" s="14" t="str">
        <f t="shared" si="2"/>
        <v>木</v>
      </c>
      <c r="C31" s="29"/>
      <c r="D31" s="15">
        <f t="shared" si="3"/>
        <v>0</v>
      </c>
      <c r="E31" s="29"/>
      <c r="F31" s="29"/>
      <c r="G31" s="29"/>
      <c r="H31" s="29"/>
      <c r="I31" s="15" t="str">
        <f t="shared" si="4"/>
        <v/>
      </c>
      <c r="J31" s="15" t="str">
        <f t="shared" si="5"/>
        <v/>
      </c>
      <c r="K31" s="16" t="str">
        <f t="shared" ref="K31:L31" si="38">IF(I31="","",IFERROR(I31/C31,""))</f>
        <v/>
      </c>
      <c r="L31" s="16" t="str">
        <f t="shared" si="38"/>
        <v/>
      </c>
      <c r="M31" s="15" t="str">
        <f t="shared" si="7"/>
        <v/>
      </c>
      <c r="N31" s="39" t="str">
        <f t="shared" si="8"/>
        <v>—</v>
      </c>
      <c r="O31" s="31"/>
      <c r="P31" s="31"/>
      <c r="Q31" s="31"/>
      <c r="R31" s="31"/>
      <c r="S31" s="31"/>
      <c r="T31" s="16" t="str">
        <f t="shared" si="9"/>
        <v/>
      </c>
      <c r="U31" s="15" t="str">
        <f t="shared" si="10"/>
        <v/>
      </c>
      <c r="V31" s="40" t="str">
        <f t="shared" si="11"/>
        <v/>
      </c>
      <c r="W31" s="16" t="str">
        <f t="shared" si="12"/>
        <v/>
      </c>
      <c r="X31" s="31"/>
      <c r="Y31" s="31"/>
      <c r="Z31" s="29"/>
      <c r="AA31" s="33"/>
    </row>
    <row r="32" ht="15.75" customHeight="1">
      <c r="A32" s="28">
        <v>46381.0</v>
      </c>
      <c r="B32" s="10" t="str">
        <f t="shared" si="2"/>
        <v>金</v>
      </c>
      <c r="C32" s="29"/>
      <c r="D32" s="11">
        <f t="shared" si="3"/>
        <v>0</v>
      </c>
      <c r="E32" s="29"/>
      <c r="F32" s="29"/>
      <c r="G32" s="29"/>
      <c r="H32" s="29"/>
      <c r="I32" s="11" t="str">
        <f t="shared" si="4"/>
        <v/>
      </c>
      <c r="J32" s="11" t="str">
        <f t="shared" si="5"/>
        <v/>
      </c>
      <c r="K32" s="12" t="str">
        <f t="shared" ref="K32:L32" si="39">IF(I32="","",IFERROR(I32/C32,""))</f>
        <v/>
      </c>
      <c r="L32" s="12" t="str">
        <f t="shared" si="39"/>
        <v/>
      </c>
      <c r="M32" s="11" t="str">
        <f t="shared" si="7"/>
        <v/>
      </c>
      <c r="N32" s="30" t="str">
        <f t="shared" si="8"/>
        <v>—</v>
      </c>
      <c r="O32" s="31"/>
      <c r="P32" s="31"/>
      <c r="Q32" s="31"/>
      <c r="R32" s="31"/>
      <c r="S32" s="31"/>
      <c r="T32" s="12" t="str">
        <f t="shared" si="9"/>
        <v/>
      </c>
      <c r="U32" s="11" t="str">
        <f t="shared" si="10"/>
        <v/>
      </c>
      <c r="V32" s="32" t="str">
        <f t="shared" si="11"/>
        <v/>
      </c>
      <c r="W32" s="12" t="str">
        <f t="shared" si="12"/>
        <v/>
      </c>
      <c r="X32" s="31"/>
      <c r="Y32" s="31"/>
      <c r="Z32" s="29"/>
      <c r="AA32" s="33"/>
    </row>
    <row r="33" ht="15.75" customHeight="1">
      <c r="A33" s="38">
        <v>46382.0</v>
      </c>
      <c r="B33" s="14" t="str">
        <f t="shared" si="2"/>
        <v>土</v>
      </c>
      <c r="C33" s="29"/>
      <c r="D33" s="15">
        <f t="shared" si="3"/>
        <v>0</v>
      </c>
      <c r="E33" s="29"/>
      <c r="F33" s="29"/>
      <c r="G33" s="29"/>
      <c r="H33" s="29"/>
      <c r="I33" s="15" t="str">
        <f t="shared" si="4"/>
        <v/>
      </c>
      <c r="J33" s="15" t="str">
        <f t="shared" si="5"/>
        <v/>
      </c>
      <c r="K33" s="16" t="str">
        <f t="shared" ref="K33:L33" si="40">IF(I33="","",IFERROR(I33/C33,""))</f>
        <v/>
      </c>
      <c r="L33" s="16" t="str">
        <f t="shared" si="40"/>
        <v/>
      </c>
      <c r="M33" s="15" t="str">
        <f t="shared" si="7"/>
        <v/>
      </c>
      <c r="N33" s="39" t="str">
        <f t="shared" si="8"/>
        <v>—</v>
      </c>
      <c r="O33" s="31"/>
      <c r="P33" s="31"/>
      <c r="Q33" s="31"/>
      <c r="R33" s="31"/>
      <c r="S33" s="31"/>
      <c r="T33" s="16" t="str">
        <f t="shared" si="9"/>
        <v/>
      </c>
      <c r="U33" s="15" t="str">
        <f t="shared" si="10"/>
        <v/>
      </c>
      <c r="V33" s="40" t="str">
        <f t="shared" si="11"/>
        <v/>
      </c>
      <c r="W33" s="16" t="str">
        <f t="shared" si="12"/>
        <v/>
      </c>
      <c r="X33" s="31"/>
      <c r="Y33" s="31"/>
      <c r="Z33" s="29"/>
      <c r="AA33" s="33"/>
    </row>
    <row r="34" ht="15.75" customHeight="1">
      <c r="A34" s="28">
        <v>46383.0</v>
      </c>
      <c r="B34" s="10" t="str">
        <f t="shared" si="2"/>
        <v>日</v>
      </c>
      <c r="C34" s="29"/>
      <c r="D34" s="11">
        <f t="shared" si="3"/>
        <v>0</v>
      </c>
      <c r="E34" s="29"/>
      <c r="F34" s="29"/>
      <c r="G34" s="29"/>
      <c r="H34" s="29"/>
      <c r="I34" s="11" t="str">
        <f t="shared" si="4"/>
        <v/>
      </c>
      <c r="J34" s="11" t="str">
        <f t="shared" si="5"/>
        <v/>
      </c>
      <c r="K34" s="12" t="str">
        <f t="shared" ref="K34:L34" si="41">IF(I34="","",IFERROR(I34/C34,""))</f>
        <v/>
      </c>
      <c r="L34" s="12" t="str">
        <f t="shared" si="41"/>
        <v/>
      </c>
      <c r="M34" s="11" t="str">
        <f t="shared" si="7"/>
        <v/>
      </c>
      <c r="N34" s="30" t="str">
        <f t="shared" si="8"/>
        <v>—</v>
      </c>
      <c r="O34" s="31"/>
      <c r="P34" s="31"/>
      <c r="Q34" s="31"/>
      <c r="R34" s="31"/>
      <c r="S34" s="31"/>
      <c r="T34" s="12" t="str">
        <f t="shared" si="9"/>
        <v/>
      </c>
      <c r="U34" s="11" t="str">
        <f t="shared" si="10"/>
        <v/>
      </c>
      <c r="V34" s="32" t="str">
        <f t="shared" si="11"/>
        <v/>
      </c>
      <c r="W34" s="12" t="str">
        <f t="shared" si="12"/>
        <v/>
      </c>
      <c r="X34" s="31"/>
      <c r="Y34" s="31"/>
      <c r="Z34" s="29"/>
      <c r="AA34" s="33"/>
    </row>
    <row r="35" ht="15.75" customHeight="1">
      <c r="A35" s="38">
        <v>46384.0</v>
      </c>
      <c r="B35" s="14" t="str">
        <f t="shared" si="2"/>
        <v>月</v>
      </c>
      <c r="C35" s="29"/>
      <c r="D35" s="15">
        <f t="shared" si="3"/>
        <v>0</v>
      </c>
      <c r="E35" s="29"/>
      <c r="F35" s="29"/>
      <c r="G35" s="29"/>
      <c r="H35" s="29"/>
      <c r="I35" s="15" t="str">
        <f t="shared" si="4"/>
        <v/>
      </c>
      <c r="J35" s="15" t="str">
        <f t="shared" si="5"/>
        <v/>
      </c>
      <c r="K35" s="16" t="str">
        <f t="shared" ref="K35:L35" si="42">IF(I35="","",IFERROR(I35/C35,""))</f>
        <v/>
      </c>
      <c r="L35" s="16" t="str">
        <f t="shared" si="42"/>
        <v/>
      </c>
      <c r="M35" s="15" t="str">
        <f t="shared" si="7"/>
        <v/>
      </c>
      <c r="N35" s="39" t="str">
        <f t="shared" si="8"/>
        <v>—</v>
      </c>
      <c r="O35" s="31"/>
      <c r="P35" s="31"/>
      <c r="Q35" s="31"/>
      <c r="R35" s="31"/>
      <c r="S35" s="31"/>
      <c r="T35" s="16" t="str">
        <f t="shared" si="9"/>
        <v/>
      </c>
      <c r="U35" s="15" t="str">
        <f t="shared" si="10"/>
        <v/>
      </c>
      <c r="V35" s="40" t="str">
        <f t="shared" si="11"/>
        <v/>
      </c>
      <c r="W35" s="16" t="str">
        <f t="shared" si="12"/>
        <v/>
      </c>
      <c r="X35" s="31"/>
      <c r="Y35" s="31"/>
      <c r="Z35" s="29"/>
      <c r="AA35" s="33"/>
    </row>
    <row r="36" ht="15.75" customHeight="1">
      <c r="A36" s="28">
        <v>46385.0</v>
      </c>
      <c r="B36" s="10" t="str">
        <f t="shared" si="2"/>
        <v>火</v>
      </c>
      <c r="C36" s="29"/>
      <c r="D36" s="11">
        <f t="shared" si="3"/>
        <v>0</v>
      </c>
      <c r="E36" s="29"/>
      <c r="F36" s="29"/>
      <c r="G36" s="29"/>
      <c r="H36" s="29"/>
      <c r="I36" s="11" t="str">
        <f t="shared" si="4"/>
        <v/>
      </c>
      <c r="J36" s="11" t="str">
        <f t="shared" si="5"/>
        <v/>
      </c>
      <c r="K36" s="12" t="str">
        <f t="shared" ref="K36:L36" si="43">IF(I36="","",IFERROR(I36/C36,""))</f>
        <v/>
      </c>
      <c r="L36" s="12" t="str">
        <f t="shared" si="43"/>
        <v/>
      </c>
      <c r="M36" s="11" t="str">
        <f t="shared" si="7"/>
        <v/>
      </c>
      <c r="N36" s="30" t="str">
        <f t="shared" si="8"/>
        <v>—</v>
      </c>
      <c r="O36" s="31"/>
      <c r="P36" s="31"/>
      <c r="Q36" s="31"/>
      <c r="R36" s="31"/>
      <c r="S36" s="31"/>
      <c r="T36" s="12" t="str">
        <f t="shared" si="9"/>
        <v/>
      </c>
      <c r="U36" s="11" t="str">
        <f t="shared" si="10"/>
        <v/>
      </c>
      <c r="V36" s="32" t="str">
        <f t="shared" si="11"/>
        <v/>
      </c>
      <c r="W36" s="12" t="str">
        <f t="shared" si="12"/>
        <v/>
      </c>
      <c r="X36" s="31"/>
      <c r="Y36" s="31"/>
      <c r="Z36" s="29"/>
      <c r="AA36" s="33"/>
    </row>
    <row r="37" ht="15.75" customHeight="1">
      <c r="A37" s="38">
        <v>46386.0</v>
      </c>
      <c r="B37" s="14" t="str">
        <f t="shared" si="2"/>
        <v>水</v>
      </c>
      <c r="C37" s="29"/>
      <c r="D37" s="15">
        <f t="shared" si="3"/>
        <v>0</v>
      </c>
      <c r="E37" s="29"/>
      <c r="F37" s="29"/>
      <c r="G37" s="29"/>
      <c r="H37" s="29"/>
      <c r="I37" s="15" t="str">
        <f t="shared" si="4"/>
        <v/>
      </c>
      <c r="J37" s="15" t="str">
        <f t="shared" si="5"/>
        <v/>
      </c>
      <c r="K37" s="16" t="str">
        <f t="shared" ref="K37:L37" si="44">IF(I37="","",IFERROR(I37/C37,""))</f>
        <v/>
      </c>
      <c r="L37" s="16" t="str">
        <f t="shared" si="44"/>
        <v/>
      </c>
      <c r="M37" s="15" t="str">
        <f t="shared" si="7"/>
        <v/>
      </c>
      <c r="N37" s="39" t="str">
        <f t="shared" si="8"/>
        <v>—</v>
      </c>
      <c r="O37" s="31"/>
      <c r="P37" s="31"/>
      <c r="Q37" s="31"/>
      <c r="R37" s="31"/>
      <c r="S37" s="31"/>
      <c r="T37" s="16" t="str">
        <f t="shared" si="9"/>
        <v/>
      </c>
      <c r="U37" s="15" t="str">
        <f t="shared" si="10"/>
        <v/>
      </c>
      <c r="V37" s="40" t="str">
        <f t="shared" si="11"/>
        <v/>
      </c>
      <c r="W37" s="16" t="str">
        <f t="shared" si="12"/>
        <v/>
      </c>
      <c r="X37" s="31"/>
      <c r="Y37" s="31"/>
      <c r="Z37" s="29"/>
      <c r="AA37" s="33"/>
    </row>
    <row r="38" ht="15.75" customHeight="1">
      <c r="A38" s="28">
        <v>46387.0</v>
      </c>
      <c r="B38" s="10" t="str">
        <f t="shared" si="2"/>
        <v>木</v>
      </c>
      <c r="C38" s="29"/>
      <c r="D38" s="11">
        <f t="shared" si="3"/>
        <v>0</v>
      </c>
      <c r="E38" s="29"/>
      <c r="F38" s="29"/>
      <c r="G38" s="29"/>
      <c r="H38" s="29"/>
      <c r="I38" s="11" t="str">
        <f t="shared" si="4"/>
        <v/>
      </c>
      <c r="J38" s="11" t="str">
        <f t="shared" si="5"/>
        <v/>
      </c>
      <c r="K38" s="12" t="str">
        <f t="shared" ref="K38:L38" si="45">IF(I38="","",IFERROR(I38/C38,""))</f>
        <v/>
      </c>
      <c r="L38" s="12" t="str">
        <f t="shared" si="45"/>
        <v/>
      </c>
      <c r="M38" s="11" t="str">
        <f t="shared" si="7"/>
        <v/>
      </c>
      <c r="N38" s="30" t="str">
        <f t="shared" si="8"/>
        <v>—</v>
      </c>
      <c r="O38" s="31"/>
      <c r="P38" s="31"/>
      <c r="Q38" s="31"/>
      <c r="R38" s="31"/>
      <c r="S38" s="31"/>
      <c r="T38" s="12" t="str">
        <f t="shared" si="9"/>
        <v/>
      </c>
      <c r="U38" s="11" t="str">
        <f t="shared" si="10"/>
        <v/>
      </c>
      <c r="V38" s="32" t="str">
        <f t="shared" si="11"/>
        <v/>
      </c>
      <c r="W38" s="12" t="str">
        <f t="shared" si="12"/>
        <v/>
      </c>
      <c r="X38" s="31"/>
      <c r="Y38" s="31"/>
      <c r="Z38" s="29"/>
      <c r="AA38" s="33"/>
    </row>
    <row r="39" ht="15.75" customHeight="1">
      <c r="A39" s="44" t="s">
        <v>81</v>
      </c>
      <c r="B39" s="18"/>
      <c r="C39" s="19">
        <f>SUM(C8:C38)</f>
        <v>0</v>
      </c>
      <c r="D39" s="19">
        <f>C39</f>
        <v>0</v>
      </c>
      <c r="E39" s="19">
        <f t="shared" ref="E39:I39" si="46">SUM(E8:E38)</f>
        <v>0</v>
      </c>
      <c r="F39" s="19">
        <f t="shared" si="46"/>
        <v>0</v>
      </c>
      <c r="G39" s="19">
        <f t="shared" si="46"/>
        <v>0</v>
      </c>
      <c r="H39" s="19">
        <f t="shared" si="46"/>
        <v>0</v>
      </c>
      <c r="I39" s="19">
        <f t="shared" si="46"/>
        <v>0</v>
      </c>
      <c r="J39" s="19">
        <f>I39</f>
        <v>0</v>
      </c>
      <c r="K39" s="20" t="str">
        <f>IFERROR(I39/C39,"")</f>
        <v/>
      </c>
      <c r="L39" s="20" t="str">
        <f>IFERROR(I39/C39,"")</f>
        <v/>
      </c>
      <c r="M39" s="19">
        <f>I39-C39</f>
        <v>0</v>
      </c>
      <c r="N39" s="45"/>
      <c r="O39" s="21">
        <f t="shared" ref="O39:S39" si="47">SUM(O8:O38)</f>
        <v>0</v>
      </c>
      <c r="P39" s="21">
        <f t="shared" si="47"/>
        <v>0</v>
      </c>
      <c r="Q39" s="21">
        <f t="shared" si="47"/>
        <v>0</v>
      </c>
      <c r="R39" s="21">
        <f t="shared" si="47"/>
        <v>0</v>
      </c>
      <c r="S39" s="21">
        <f t="shared" si="47"/>
        <v>0</v>
      </c>
      <c r="T39" s="20" t="str">
        <f t="shared" si="9"/>
        <v/>
      </c>
      <c r="U39" s="19" t="str">
        <f t="shared" si="10"/>
        <v/>
      </c>
      <c r="V39" s="46" t="str">
        <f t="shared" si="11"/>
        <v/>
      </c>
      <c r="W39" s="20" t="str">
        <f t="shared" si="12"/>
        <v/>
      </c>
      <c r="X39" s="21">
        <f>SUM(X8:X38)</f>
        <v>0</v>
      </c>
      <c r="Y39" s="21" t="str">
        <f>IFERROR(LOOKUP(9.99E+307,Y8:Y38),"")</f>
        <v/>
      </c>
      <c r="Z39" s="19">
        <f>SUM(Z8:Z38)</f>
        <v>0</v>
      </c>
      <c r="AA39" s="47" t="s">
        <v>82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A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M8:M38">
    <cfRule type="expression" dxfId="0" priority="1">
      <formula>AND($I8&lt;&gt;"",$M8&gt;=0)</formula>
    </cfRule>
  </conditionalFormatting>
  <conditionalFormatting sqref="M8:M38">
    <cfRule type="expression" dxfId="1" priority="2">
      <formula>AND($I8&lt;&gt;"",$M8&lt;0)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0.0"/>
    <col customWidth="1" min="8" max="8" width="11.0"/>
    <col customWidth="1" min="9" max="9" width="12.0"/>
    <col customWidth="1" min="10" max="10" width="13.0"/>
    <col customWidth="1" min="11" max="12" width="9.0"/>
    <col customWidth="1" min="13" max="13" width="13.0"/>
    <col customWidth="1" min="14" max="14" width="11.0"/>
    <col customWidth="1" min="15" max="20" width="8.0"/>
    <col customWidth="1" min="21" max="21" width="11.0"/>
    <col customWidth="1" min="22" max="24" width="8.0"/>
    <col customWidth="1" min="25" max="25" width="10.0"/>
    <col customWidth="1" min="26" max="26" width="9.0"/>
    <col customWidth="1" min="27" max="27" width="28.0"/>
    <col customWidth="1" min="28" max="28" width="3.0"/>
    <col customWidth="1" min="29" max="29" width="5.0"/>
    <col customWidth="1" min="30" max="30" width="13.0"/>
    <col customWidth="1" min="31" max="31" width="12.0"/>
    <col customWidth="1" min="32" max="32" width="9.0"/>
    <col customWidth="1" min="33" max="33" width="11.0"/>
    <col customWidth="1" min="34" max="36" width="9.0"/>
    <col customWidth="1" min="37" max="37" width="8.0"/>
  </cols>
  <sheetData>
    <row r="1" ht="27.7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145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IF('設定'!$B$17="",SUM(C8:C38),'設定'!$B$17)</f>
        <v>15000000</v>
      </c>
      <c r="B4" s="6"/>
      <c r="C4" s="7">
        <f>SUM(I8:I38)</f>
        <v>0</v>
      </c>
      <c r="D4" s="6"/>
      <c r="E4" s="8">
        <f>IFERROR(C4/A4,0)</f>
        <v>0</v>
      </c>
      <c r="F4" s="6"/>
      <c r="G4" s="25">
        <f>COUNTIF(I8:I38,"&gt;0")</f>
        <v>0</v>
      </c>
      <c r="H4" s="6"/>
      <c r="I4" s="7">
        <f>A4-C4</f>
        <v>15000000</v>
      </c>
      <c r="J4" s="6"/>
      <c r="K4" s="7">
        <f>IF((31-G4)&gt;0,(A4-C4)/(31-G4),0)</f>
        <v>483870.9677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SUM(C8:C38)</f>
        <v>0</v>
      </c>
      <c r="B6" s="6"/>
      <c r="C6" s="7">
        <f>IFERROR(C4/G4*31,0)</f>
        <v>0</v>
      </c>
      <c r="D6" s="6"/>
      <c r="E6" s="8">
        <f>IFERROR(O39/Q39,0)</f>
        <v>0</v>
      </c>
      <c r="F6" s="6"/>
      <c r="G6" s="7">
        <f>IFERROR(I39/O39,0)</f>
        <v>0</v>
      </c>
      <c r="H6" s="6"/>
      <c r="I6" s="26">
        <f>IFERROR(P39/O39,0)</f>
        <v>0</v>
      </c>
      <c r="J6" s="6"/>
      <c r="K6" s="8">
        <f>IFERROR(R39/Q39,0)</f>
        <v>0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99</v>
      </c>
      <c r="H7" s="9" t="s">
        <v>146</v>
      </c>
      <c r="I7" s="9" t="s">
        <v>51</v>
      </c>
      <c r="J7" s="9" t="s">
        <v>19</v>
      </c>
      <c r="K7" s="9" t="s">
        <v>52</v>
      </c>
      <c r="L7" s="9" t="s">
        <v>53</v>
      </c>
      <c r="M7" s="9" t="s">
        <v>54</v>
      </c>
      <c r="N7" s="9" t="s">
        <v>55</v>
      </c>
      <c r="O7" s="9" t="s">
        <v>14</v>
      </c>
      <c r="P7" s="9" t="s">
        <v>56</v>
      </c>
      <c r="Q7" s="9" t="s">
        <v>15</v>
      </c>
      <c r="R7" s="9" t="s">
        <v>57</v>
      </c>
      <c r="S7" s="9" t="s">
        <v>58</v>
      </c>
      <c r="T7" s="9" t="s">
        <v>16</v>
      </c>
      <c r="U7" s="9" t="s">
        <v>17</v>
      </c>
      <c r="V7" s="9" t="s">
        <v>43</v>
      </c>
      <c r="W7" s="9" t="s">
        <v>44</v>
      </c>
      <c r="X7" s="9" t="s">
        <v>59</v>
      </c>
      <c r="Y7" s="9" t="s">
        <v>60</v>
      </c>
      <c r="Z7" s="9" t="s">
        <v>61</v>
      </c>
      <c r="AA7" s="9" t="s">
        <v>62</v>
      </c>
      <c r="AC7" s="27" t="s">
        <v>63</v>
      </c>
      <c r="AD7" s="27" t="s">
        <v>64</v>
      </c>
      <c r="AE7" s="27" t="s">
        <v>65</v>
      </c>
      <c r="AF7" s="27" t="s">
        <v>16</v>
      </c>
      <c r="AG7" s="27" t="s">
        <v>17</v>
      </c>
    </row>
    <row r="8">
      <c r="A8" s="28">
        <v>46388.0</v>
      </c>
      <c r="B8" s="10" t="str">
        <f t="shared" ref="B8:B38" si="2">MID("日月火水木金土",WEEKDAY(A8),1)</f>
        <v>金</v>
      </c>
      <c r="C8" s="29"/>
      <c r="D8" s="11">
        <f t="shared" ref="D8:D38" si="3">SUM($C$8:C8)</f>
        <v>0</v>
      </c>
      <c r="E8" s="29"/>
      <c r="F8" s="29"/>
      <c r="G8" s="29"/>
      <c r="H8" s="29"/>
      <c r="I8" s="11" t="str">
        <f t="shared" ref="I8:I38" si="4">IF(COUNT(E8:H8)=0,"",SUM(E8:H8))</f>
        <v/>
      </c>
      <c r="J8" s="11" t="str">
        <f t="shared" ref="J8:J38" si="5">IF(I8="","",SUM($I$8:I8))</f>
        <v/>
      </c>
      <c r="K8" s="12" t="str">
        <f t="shared" ref="K8:L8" si="1">IF(I8="","",IFERROR(I8/C8,""))</f>
        <v/>
      </c>
      <c r="L8" s="12" t="str">
        <f t="shared" si="1"/>
        <v/>
      </c>
      <c r="M8" s="11" t="str">
        <f t="shared" ref="M8:M38" si="7">IF(J8="","",IF(D8=0,"",J8-D8))</f>
        <v/>
      </c>
      <c r="N8" s="30" t="str">
        <f t="shared" ref="N8:N38" si="8">IF(I8="","—",IF(D8=0,"予算未入力",IF(J8&gt;=D8,"◎ ペース内","▲ 遅れ")))</f>
        <v>—</v>
      </c>
      <c r="O8" s="31"/>
      <c r="P8" s="31"/>
      <c r="Q8" s="31"/>
      <c r="R8" s="31"/>
      <c r="S8" s="31"/>
      <c r="T8" s="12" t="str">
        <f t="shared" ref="T8:T39" si="9">IFERROR(O8/Q8,"")</f>
        <v/>
      </c>
      <c r="U8" s="11" t="str">
        <f t="shared" ref="U8:U39" si="10">IFERROR(I8/O8,"")</f>
        <v/>
      </c>
      <c r="V8" s="32" t="str">
        <f t="shared" ref="V8:V39" si="11">IFERROR(P8/O8,"")</f>
        <v/>
      </c>
      <c r="W8" s="12" t="str">
        <f t="shared" ref="W8:W39" si="12">IFERROR(R8/Q8,"")</f>
        <v/>
      </c>
      <c r="X8" s="31"/>
      <c r="Y8" s="31"/>
      <c r="Z8" s="29"/>
      <c r="AA8" s="33"/>
      <c r="AC8" s="34" t="s">
        <v>7</v>
      </c>
      <c r="AD8" s="35">
        <f t="shared" ref="AD8:AD14" si="13">IFERROR(AVERAGEIFS($I$8:$I$38,$B$8:$B$38,AC8,$I$8:$I$38,"&gt;0"),0)</f>
        <v>0</v>
      </c>
      <c r="AE8" s="36">
        <f t="shared" ref="AE8:AE14" si="14">COUNTIFS($B$8:$B$38,AC8,$I$8:$I$38,"&gt;0")</f>
        <v>0</v>
      </c>
      <c r="AF8" s="37">
        <f t="shared" ref="AF8:AF14" si="15">IFERROR(SUMIF($B$8:$B$38,AC8,$O$8:$O$38)/SUMIF($B$8:$B$38,AC8,$Q$8:$Q$38),0)</f>
        <v>0</v>
      </c>
      <c r="AG8" s="35">
        <f t="shared" ref="AG8:AG14" si="16">IFERROR(SUMIF($B$8:$B$38,AC8,$I$8:$I$38)/SUMIF($B$8:$B$38,AC8,$O$8:$O$38),0)</f>
        <v>0</v>
      </c>
    </row>
    <row r="9">
      <c r="A9" s="38">
        <v>46389.0</v>
      </c>
      <c r="B9" s="14" t="str">
        <f t="shared" si="2"/>
        <v>土</v>
      </c>
      <c r="C9" s="29"/>
      <c r="D9" s="15">
        <f t="shared" si="3"/>
        <v>0</v>
      </c>
      <c r="E9" s="29"/>
      <c r="F9" s="29"/>
      <c r="G9" s="29"/>
      <c r="H9" s="29"/>
      <c r="I9" s="15" t="str">
        <f t="shared" si="4"/>
        <v/>
      </c>
      <c r="J9" s="15" t="str">
        <f t="shared" si="5"/>
        <v/>
      </c>
      <c r="K9" s="16" t="str">
        <f t="shared" ref="K9:L9" si="6">IF(I9="","",IFERROR(I9/C9,""))</f>
        <v/>
      </c>
      <c r="L9" s="16" t="str">
        <f t="shared" si="6"/>
        <v/>
      </c>
      <c r="M9" s="15" t="str">
        <f t="shared" si="7"/>
        <v/>
      </c>
      <c r="N9" s="39" t="str">
        <f t="shared" si="8"/>
        <v>—</v>
      </c>
      <c r="O9" s="31"/>
      <c r="P9" s="31"/>
      <c r="Q9" s="31"/>
      <c r="R9" s="31"/>
      <c r="S9" s="31"/>
      <c r="T9" s="16" t="str">
        <f t="shared" si="9"/>
        <v/>
      </c>
      <c r="U9" s="15" t="str">
        <f t="shared" si="10"/>
        <v/>
      </c>
      <c r="V9" s="40" t="str">
        <f t="shared" si="11"/>
        <v/>
      </c>
      <c r="W9" s="16" t="str">
        <f t="shared" si="12"/>
        <v/>
      </c>
      <c r="X9" s="31"/>
      <c r="Y9" s="31"/>
      <c r="Z9" s="29"/>
      <c r="AA9" s="33"/>
      <c r="AC9" s="34" t="s">
        <v>66</v>
      </c>
      <c r="AD9" s="35">
        <f t="shared" si="13"/>
        <v>0</v>
      </c>
      <c r="AE9" s="36">
        <f t="shared" si="14"/>
        <v>0</v>
      </c>
      <c r="AF9" s="37">
        <f t="shared" si="15"/>
        <v>0</v>
      </c>
      <c r="AG9" s="35">
        <f t="shared" si="16"/>
        <v>0</v>
      </c>
    </row>
    <row r="10">
      <c r="A10" s="28">
        <v>46390.0</v>
      </c>
      <c r="B10" s="10" t="str">
        <f t="shared" si="2"/>
        <v>日</v>
      </c>
      <c r="C10" s="29"/>
      <c r="D10" s="11">
        <f t="shared" si="3"/>
        <v>0</v>
      </c>
      <c r="E10" s="29"/>
      <c r="F10" s="29"/>
      <c r="G10" s="29"/>
      <c r="H10" s="29"/>
      <c r="I10" s="11" t="str">
        <f t="shared" si="4"/>
        <v/>
      </c>
      <c r="J10" s="11" t="str">
        <f t="shared" si="5"/>
        <v/>
      </c>
      <c r="K10" s="12" t="str">
        <f t="shared" ref="K10:L10" si="17">IF(I10="","",IFERROR(I10/C10,""))</f>
        <v/>
      </c>
      <c r="L10" s="12" t="str">
        <f t="shared" si="17"/>
        <v/>
      </c>
      <c r="M10" s="11" t="str">
        <f t="shared" si="7"/>
        <v/>
      </c>
      <c r="N10" s="30" t="str">
        <f t="shared" si="8"/>
        <v>—</v>
      </c>
      <c r="O10" s="31"/>
      <c r="P10" s="31"/>
      <c r="Q10" s="31"/>
      <c r="R10" s="31"/>
      <c r="S10" s="31"/>
      <c r="T10" s="12" t="str">
        <f t="shared" si="9"/>
        <v/>
      </c>
      <c r="U10" s="11" t="str">
        <f t="shared" si="10"/>
        <v/>
      </c>
      <c r="V10" s="32" t="str">
        <f t="shared" si="11"/>
        <v/>
      </c>
      <c r="W10" s="12" t="str">
        <f t="shared" si="12"/>
        <v/>
      </c>
      <c r="X10" s="31"/>
      <c r="Y10" s="31"/>
      <c r="Z10" s="29"/>
      <c r="AA10" s="33"/>
      <c r="AC10" s="34" t="s">
        <v>67</v>
      </c>
      <c r="AD10" s="35">
        <f t="shared" si="13"/>
        <v>0</v>
      </c>
      <c r="AE10" s="36">
        <f t="shared" si="14"/>
        <v>0</v>
      </c>
      <c r="AF10" s="37">
        <f t="shared" si="15"/>
        <v>0</v>
      </c>
      <c r="AG10" s="35">
        <f t="shared" si="16"/>
        <v>0</v>
      </c>
    </row>
    <row r="11">
      <c r="A11" s="38">
        <v>46391.0</v>
      </c>
      <c r="B11" s="14" t="str">
        <f t="shared" si="2"/>
        <v>月</v>
      </c>
      <c r="C11" s="29"/>
      <c r="D11" s="15">
        <f t="shared" si="3"/>
        <v>0</v>
      </c>
      <c r="E11" s="29"/>
      <c r="F11" s="29"/>
      <c r="G11" s="29"/>
      <c r="H11" s="29"/>
      <c r="I11" s="15" t="str">
        <f t="shared" si="4"/>
        <v/>
      </c>
      <c r="J11" s="15" t="str">
        <f t="shared" si="5"/>
        <v/>
      </c>
      <c r="K11" s="16" t="str">
        <f t="shared" ref="K11:L11" si="18">IF(I11="","",IFERROR(I11/C11,""))</f>
        <v/>
      </c>
      <c r="L11" s="16" t="str">
        <f t="shared" si="18"/>
        <v/>
      </c>
      <c r="M11" s="15" t="str">
        <f t="shared" si="7"/>
        <v/>
      </c>
      <c r="N11" s="39" t="str">
        <f t="shared" si="8"/>
        <v>—</v>
      </c>
      <c r="O11" s="31"/>
      <c r="P11" s="31"/>
      <c r="Q11" s="31"/>
      <c r="R11" s="31"/>
      <c r="S11" s="31"/>
      <c r="T11" s="16" t="str">
        <f t="shared" si="9"/>
        <v/>
      </c>
      <c r="U11" s="15" t="str">
        <f t="shared" si="10"/>
        <v/>
      </c>
      <c r="V11" s="40" t="str">
        <f t="shared" si="11"/>
        <v/>
      </c>
      <c r="W11" s="16" t="str">
        <f t="shared" si="12"/>
        <v/>
      </c>
      <c r="X11" s="31"/>
      <c r="Y11" s="31"/>
      <c r="Z11" s="29"/>
      <c r="AA11" s="33"/>
      <c r="AC11" s="34" t="s">
        <v>68</v>
      </c>
      <c r="AD11" s="35">
        <f t="shared" si="13"/>
        <v>0</v>
      </c>
      <c r="AE11" s="36">
        <f t="shared" si="14"/>
        <v>0</v>
      </c>
      <c r="AF11" s="37">
        <f t="shared" si="15"/>
        <v>0</v>
      </c>
      <c r="AG11" s="35">
        <f t="shared" si="16"/>
        <v>0</v>
      </c>
    </row>
    <row r="12">
      <c r="A12" s="28">
        <v>46392.0</v>
      </c>
      <c r="B12" s="10" t="str">
        <f t="shared" si="2"/>
        <v>火</v>
      </c>
      <c r="C12" s="29"/>
      <c r="D12" s="11">
        <f t="shared" si="3"/>
        <v>0</v>
      </c>
      <c r="E12" s="29"/>
      <c r="F12" s="29"/>
      <c r="G12" s="29"/>
      <c r="H12" s="29"/>
      <c r="I12" s="11" t="str">
        <f t="shared" si="4"/>
        <v/>
      </c>
      <c r="J12" s="11" t="str">
        <f t="shared" si="5"/>
        <v/>
      </c>
      <c r="K12" s="12" t="str">
        <f t="shared" ref="K12:L12" si="19">IF(I12="","",IFERROR(I12/C12,""))</f>
        <v/>
      </c>
      <c r="L12" s="12" t="str">
        <f t="shared" si="19"/>
        <v/>
      </c>
      <c r="M12" s="11" t="str">
        <f t="shared" si="7"/>
        <v/>
      </c>
      <c r="N12" s="30" t="str">
        <f t="shared" si="8"/>
        <v>—</v>
      </c>
      <c r="O12" s="31"/>
      <c r="P12" s="31"/>
      <c r="Q12" s="31"/>
      <c r="R12" s="31"/>
      <c r="S12" s="31"/>
      <c r="T12" s="12" t="str">
        <f t="shared" si="9"/>
        <v/>
      </c>
      <c r="U12" s="11" t="str">
        <f t="shared" si="10"/>
        <v/>
      </c>
      <c r="V12" s="32" t="str">
        <f t="shared" si="11"/>
        <v/>
      </c>
      <c r="W12" s="12" t="str">
        <f t="shared" si="12"/>
        <v/>
      </c>
      <c r="X12" s="31"/>
      <c r="Y12" s="31"/>
      <c r="Z12" s="29"/>
      <c r="AA12" s="33"/>
      <c r="AC12" s="34" t="s">
        <v>69</v>
      </c>
      <c r="AD12" s="35">
        <f t="shared" si="13"/>
        <v>0</v>
      </c>
      <c r="AE12" s="36">
        <f t="shared" si="14"/>
        <v>0</v>
      </c>
      <c r="AF12" s="37">
        <f t="shared" si="15"/>
        <v>0</v>
      </c>
      <c r="AG12" s="35">
        <f t="shared" si="16"/>
        <v>0</v>
      </c>
    </row>
    <row r="13">
      <c r="A13" s="38">
        <v>46393.0</v>
      </c>
      <c r="B13" s="14" t="str">
        <f t="shared" si="2"/>
        <v>水</v>
      </c>
      <c r="C13" s="29"/>
      <c r="D13" s="15">
        <f t="shared" si="3"/>
        <v>0</v>
      </c>
      <c r="E13" s="29"/>
      <c r="F13" s="29"/>
      <c r="G13" s="29"/>
      <c r="H13" s="29"/>
      <c r="I13" s="15" t="str">
        <f t="shared" si="4"/>
        <v/>
      </c>
      <c r="J13" s="15" t="str">
        <f t="shared" si="5"/>
        <v/>
      </c>
      <c r="K13" s="16" t="str">
        <f t="shared" ref="K13:L13" si="20">IF(I13="","",IFERROR(I13/C13,""))</f>
        <v/>
      </c>
      <c r="L13" s="16" t="str">
        <f t="shared" si="20"/>
        <v/>
      </c>
      <c r="M13" s="15" t="str">
        <f t="shared" si="7"/>
        <v/>
      </c>
      <c r="N13" s="39" t="str">
        <f t="shared" si="8"/>
        <v>—</v>
      </c>
      <c r="O13" s="31"/>
      <c r="P13" s="31"/>
      <c r="Q13" s="31"/>
      <c r="R13" s="31"/>
      <c r="S13" s="31"/>
      <c r="T13" s="16" t="str">
        <f t="shared" si="9"/>
        <v/>
      </c>
      <c r="U13" s="15" t="str">
        <f t="shared" si="10"/>
        <v/>
      </c>
      <c r="V13" s="40" t="str">
        <f t="shared" si="11"/>
        <v/>
      </c>
      <c r="W13" s="16" t="str">
        <f t="shared" si="12"/>
        <v/>
      </c>
      <c r="X13" s="31"/>
      <c r="Y13" s="31"/>
      <c r="Z13" s="29"/>
      <c r="AA13" s="33"/>
      <c r="AC13" s="34" t="s">
        <v>70</v>
      </c>
      <c r="AD13" s="35">
        <f t="shared" si="13"/>
        <v>0</v>
      </c>
      <c r="AE13" s="36">
        <f t="shared" si="14"/>
        <v>0</v>
      </c>
      <c r="AF13" s="37">
        <f t="shared" si="15"/>
        <v>0</v>
      </c>
      <c r="AG13" s="35">
        <f t="shared" si="16"/>
        <v>0</v>
      </c>
    </row>
    <row r="14">
      <c r="A14" s="28">
        <v>46394.0</v>
      </c>
      <c r="B14" s="10" t="str">
        <f t="shared" si="2"/>
        <v>木</v>
      </c>
      <c r="C14" s="29"/>
      <c r="D14" s="11">
        <f t="shared" si="3"/>
        <v>0</v>
      </c>
      <c r="E14" s="29"/>
      <c r="F14" s="29"/>
      <c r="G14" s="29"/>
      <c r="H14" s="29"/>
      <c r="I14" s="11" t="str">
        <f t="shared" si="4"/>
        <v/>
      </c>
      <c r="J14" s="11" t="str">
        <f t="shared" si="5"/>
        <v/>
      </c>
      <c r="K14" s="12" t="str">
        <f t="shared" ref="K14:L14" si="21">IF(I14="","",IFERROR(I14/C14,""))</f>
        <v/>
      </c>
      <c r="L14" s="12" t="str">
        <f t="shared" si="21"/>
        <v/>
      </c>
      <c r="M14" s="11" t="str">
        <f t="shared" si="7"/>
        <v/>
      </c>
      <c r="N14" s="30" t="str">
        <f t="shared" si="8"/>
        <v>—</v>
      </c>
      <c r="O14" s="31"/>
      <c r="P14" s="31"/>
      <c r="Q14" s="31"/>
      <c r="R14" s="31"/>
      <c r="S14" s="31"/>
      <c r="T14" s="12" t="str">
        <f t="shared" si="9"/>
        <v/>
      </c>
      <c r="U14" s="11" t="str">
        <f t="shared" si="10"/>
        <v/>
      </c>
      <c r="V14" s="32" t="str">
        <f t="shared" si="11"/>
        <v/>
      </c>
      <c r="W14" s="12" t="str">
        <f t="shared" si="12"/>
        <v/>
      </c>
      <c r="X14" s="31"/>
      <c r="Y14" s="31"/>
      <c r="Z14" s="29"/>
      <c r="AA14" s="33"/>
      <c r="AC14" s="34" t="s">
        <v>71</v>
      </c>
      <c r="AD14" s="35">
        <f t="shared" si="13"/>
        <v>0</v>
      </c>
      <c r="AE14" s="36">
        <f t="shared" si="14"/>
        <v>0</v>
      </c>
      <c r="AF14" s="37">
        <f t="shared" si="15"/>
        <v>0</v>
      </c>
      <c r="AG14" s="35">
        <f t="shared" si="16"/>
        <v>0</v>
      </c>
    </row>
    <row r="15">
      <c r="A15" s="38">
        <v>46395.0</v>
      </c>
      <c r="B15" s="14" t="str">
        <f t="shared" si="2"/>
        <v>金</v>
      </c>
      <c r="C15" s="29"/>
      <c r="D15" s="15">
        <f t="shared" si="3"/>
        <v>0</v>
      </c>
      <c r="E15" s="29"/>
      <c r="F15" s="29"/>
      <c r="G15" s="29"/>
      <c r="H15" s="29"/>
      <c r="I15" s="15" t="str">
        <f t="shared" si="4"/>
        <v/>
      </c>
      <c r="J15" s="15" t="str">
        <f t="shared" si="5"/>
        <v/>
      </c>
      <c r="K15" s="16" t="str">
        <f t="shared" ref="K15:L15" si="22">IF(I15="","",IFERROR(I15/C15,""))</f>
        <v/>
      </c>
      <c r="L15" s="16" t="str">
        <f t="shared" si="22"/>
        <v/>
      </c>
      <c r="M15" s="15" t="str">
        <f t="shared" si="7"/>
        <v/>
      </c>
      <c r="N15" s="39" t="str">
        <f t="shared" si="8"/>
        <v>—</v>
      </c>
      <c r="O15" s="31"/>
      <c r="P15" s="31"/>
      <c r="Q15" s="31"/>
      <c r="R15" s="31"/>
      <c r="S15" s="31"/>
      <c r="T15" s="16" t="str">
        <f t="shared" si="9"/>
        <v/>
      </c>
      <c r="U15" s="15" t="str">
        <f t="shared" si="10"/>
        <v/>
      </c>
      <c r="V15" s="40" t="str">
        <f t="shared" si="11"/>
        <v/>
      </c>
      <c r="W15" s="16" t="str">
        <f t="shared" si="12"/>
        <v/>
      </c>
      <c r="X15" s="31"/>
      <c r="Y15" s="31"/>
      <c r="Z15" s="29"/>
      <c r="AA15" s="33"/>
    </row>
    <row r="16">
      <c r="A16" s="28">
        <v>46396.0</v>
      </c>
      <c r="B16" s="10" t="str">
        <f t="shared" si="2"/>
        <v>土</v>
      </c>
      <c r="C16" s="29"/>
      <c r="D16" s="11">
        <f t="shared" si="3"/>
        <v>0</v>
      </c>
      <c r="E16" s="29"/>
      <c r="F16" s="29"/>
      <c r="G16" s="29"/>
      <c r="H16" s="29"/>
      <c r="I16" s="11" t="str">
        <f t="shared" si="4"/>
        <v/>
      </c>
      <c r="J16" s="11" t="str">
        <f t="shared" si="5"/>
        <v/>
      </c>
      <c r="K16" s="12" t="str">
        <f t="shared" ref="K16:L16" si="23">IF(I16="","",IFERROR(I16/C16,""))</f>
        <v/>
      </c>
      <c r="L16" s="12" t="str">
        <f t="shared" si="23"/>
        <v/>
      </c>
      <c r="M16" s="11" t="str">
        <f t="shared" si="7"/>
        <v/>
      </c>
      <c r="N16" s="30" t="str">
        <f t="shared" si="8"/>
        <v>—</v>
      </c>
      <c r="O16" s="31"/>
      <c r="P16" s="31"/>
      <c r="Q16" s="31"/>
      <c r="R16" s="31"/>
      <c r="S16" s="31"/>
      <c r="T16" s="12" t="str">
        <f t="shared" si="9"/>
        <v/>
      </c>
      <c r="U16" s="11" t="str">
        <f t="shared" si="10"/>
        <v/>
      </c>
      <c r="V16" s="32" t="str">
        <f t="shared" si="11"/>
        <v/>
      </c>
      <c r="W16" s="12" t="str">
        <f t="shared" si="12"/>
        <v/>
      </c>
      <c r="X16" s="31"/>
      <c r="Y16" s="31"/>
      <c r="Z16" s="29"/>
      <c r="AA16" s="33"/>
      <c r="AC16" s="22" t="s">
        <v>72</v>
      </c>
    </row>
    <row r="17">
      <c r="A17" s="38">
        <v>46397.0</v>
      </c>
      <c r="B17" s="14" t="str">
        <f t="shared" si="2"/>
        <v>日</v>
      </c>
      <c r="C17" s="29"/>
      <c r="D17" s="15">
        <f t="shared" si="3"/>
        <v>0</v>
      </c>
      <c r="E17" s="29"/>
      <c r="F17" s="29"/>
      <c r="G17" s="29"/>
      <c r="H17" s="29"/>
      <c r="I17" s="15" t="str">
        <f t="shared" si="4"/>
        <v/>
      </c>
      <c r="J17" s="15" t="str">
        <f t="shared" si="5"/>
        <v/>
      </c>
      <c r="K17" s="16" t="str">
        <f t="shared" ref="K17:L17" si="24">IF(I17="","",IFERROR(I17/C17,""))</f>
        <v/>
      </c>
      <c r="L17" s="16" t="str">
        <f t="shared" si="24"/>
        <v/>
      </c>
      <c r="M17" s="15" t="str">
        <f t="shared" si="7"/>
        <v/>
      </c>
      <c r="N17" s="39" t="str">
        <f t="shared" si="8"/>
        <v>—</v>
      </c>
      <c r="O17" s="31"/>
      <c r="P17" s="31"/>
      <c r="Q17" s="31"/>
      <c r="R17" s="31"/>
      <c r="S17" s="31"/>
      <c r="T17" s="16" t="str">
        <f t="shared" si="9"/>
        <v/>
      </c>
      <c r="U17" s="15" t="str">
        <f t="shared" si="10"/>
        <v/>
      </c>
      <c r="V17" s="40" t="str">
        <f t="shared" si="11"/>
        <v/>
      </c>
      <c r="W17" s="16" t="str">
        <f t="shared" si="12"/>
        <v/>
      </c>
      <c r="X17" s="31"/>
      <c r="Y17" s="31"/>
      <c r="Z17" s="29"/>
      <c r="AA17" s="33"/>
    </row>
    <row r="18">
      <c r="A18" s="28">
        <v>46398.0</v>
      </c>
      <c r="B18" s="10" t="str">
        <f t="shared" si="2"/>
        <v>月</v>
      </c>
      <c r="C18" s="29"/>
      <c r="D18" s="11">
        <f t="shared" si="3"/>
        <v>0</v>
      </c>
      <c r="E18" s="29"/>
      <c r="F18" s="29"/>
      <c r="G18" s="29"/>
      <c r="H18" s="29"/>
      <c r="I18" s="11" t="str">
        <f t="shared" si="4"/>
        <v/>
      </c>
      <c r="J18" s="11" t="str">
        <f t="shared" si="5"/>
        <v/>
      </c>
      <c r="K18" s="12" t="str">
        <f t="shared" ref="K18:L18" si="25">IF(I18="","",IFERROR(I18/C18,""))</f>
        <v/>
      </c>
      <c r="L18" s="12" t="str">
        <f t="shared" si="25"/>
        <v/>
      </c>
      <c r="M18" s="11" t="str">
        <f t="shared" si="7"/>
        <v/>
      </c>
      <c r="N18" s="30" t="str">
        <f t="shared" si="8"/>
        <v>—</v>
      </c>
      <c r="O18" s="31"/>
      <c r="P18" s="31"/>
      <c r="Q18" s="31"/>
      <c r="R18" s="31"/>
      <c r="S18" s="31"/>
      <c r="T18" s="12" t="str">
        <f t="shared" si="9"/>
        <v/>
      </c>
      <c r="U18" s="11" t="str">
        <f t="shared" si="10"/>
        <v/>
      </c>
      <c r="V18" s="32" t="str">
        <f t="shared" si="11"/>
        <v/>
      </c>
      <c r="W18" s="12" t="str">
        <f t="shared" si="12"/>
        <v/>
      </c>
      <c r="X18" s="31"/>
      <c r="Y18" s="31"/>
      <c r="Z18" s="29"/>
      <c r="AA18" s="33"/>
      <c r="AC18" s="23" t="s">
        <v>208</v>
      </c>
      <c r="AJ18" s="22" t="s">
        <v>147</v>
      </c>
      <c r="AK18" s="41">
        <f>$A$8+MOD(1-WEEKDAY($A$8,2)+7,7)</f>
        <v>46392</v>
      </c>
    </row>
    <row r="19">
      <c r="A19" s="38">
        <v>46399.0</v>
      </c>
      <c r="B19" s="14" t="str">
        <f t="shared" si="2"/>
        <v>火</v>
      </c>
      <c r="C19" s="29"/>
      <c r="D19" s="15">
        <f t="shared" si="3"/>
        <v>0</v>
      </c>
      <c r="E19" s="29"/>
      <c r="F19" s="29"/>
      <c r="G19" s="29"/>
      <c r="H19" s="29"/>
      <c r="I19" s="15" t="str">
        <f t="shared" si="4"/>
        <v/>
      </c>
      <c r="J19" s="15" t="str">
        <f t="shared" si="5"/>
        <v/>
      </c>
      <c r="K19" s="16" t="str">
        <f t="shared" ref="K19:L19" si="26">IF(I19="","",IFERROR(I19/C19,""))</f>
        <v/>
      </c>
      <c r="L19" s="16" t="str">
        <f t="shared" si="26"/>
        <v/>
      </c>
      <c r="M19" s="15" t="str">
        <f t="shared" si="7"/>
        <v/>
      </c>
      <c r="N19" s="39" t="str">
        <f t="shared" si="8"/>
        <v>—</v>
      </c>
      <c r="O19" s="31"/>
      <c r="P19" s="31"/>
      <c r="Q19" s="31"/>
      <c r="R19" s="31"/>
      <c r="S19" s="31"/>
      <c r="T19" s="16" t="str">
        <f t="shared" si="9"/>
        <v/>
      </c>
      <c r="U19" s="15" t="str">
        <f t="shared" si="10"/>
        <v/>
      </c>
      <c r="V19" s="40" t="str">
        <f t="shared" si="11"/>
        <v/>
      </c>
      <c r="W19" s="16" t="str">
        <f t="shared" si="12"/>
        <v/>
      </c>
      <c r="X19" s="31"/>
      <c r="Y19" s="31"/>
      <c r="Z19" s="29"/>
      <c r="AA19" s="33"/>
      <c r="AC19" s="27" t="s">
        <v>75</v>
      </c>
      <c r="AD19" s="27" t="s">
        <v>76</v>
      </c>
      <c r="AE19" s="27" t="s">
        <v>77</v>
      </c>
      <c r="AF19" s="27" t="s">
        <v>16</v>
      </c>
      <c r="AG19" s="27" t="s">
        <v>17</v>
      </c>
      <c r="AH19" s="27" t="s">
        <v>43</v>
      </c>
      <c r="AI19" s="27" t="s">
        <v>44</v>
      </c>
    </row>
    <row r="20">
      <c r="A20" s="28">
        <v>46400.0</v>
      </c>
      <c r="B20" s="10" t="str">
        <f t="shared" si="2"/>
        <v>水</v>
      </c>
      <c r="C20" s="29"/>
      <c r="D20" s="11">
        <f t="shared" si="3"/>
        <v>0</v>
      </c>
      <c r="E20" s="29"/>
      <c r="F20" s="29"/>
      <c r="G20" s="29"/>
      <c r="H20" s="29"/>
      <c r="I20" s="11" t="str">
        <f t="shared" si="4"/>
        <v/>
      </c>
      <c r="J20" s="11" t="str">
        <f t="shared" si="5"/>
        <v/>
      </c>
      <c r="K20" s="12" t="str">
        <f t="shared" ref="K20:L20" si="27">IF(I20="","",IFERROR(I20/C20,""))</f>
        <v/>
      </c>
      <c r="L20" s="12" t="str">
        <f t="shared" si="27"/>
        <v/>
      </c>
      <c r="M20" s="11" t="str">
        <f t="shared" si="7"/>
        <v/>
      </c>
      <c r="N20" s="30" t="str">
        <f t="shared" si="8"/>
        <v>—</v>
      </c>
      <c r="O20" s="31"/>
      <c r="P20" s="31"/>
      <c r="Q20" s="31"/>
      <c r="R20" s="31"/>
      <c r="S20" s="31"/>
      <c r="T20" s="12" t="str">
        <f t="shared" si="9"/>
        <v/>
      </c>
      <c r="U20" s="11" t="str">
        <f t="shared" si="10"/>
        <v/>
      </c>
      <c r="V20" s="32" t="str">
        <f t="shared" si="11"/>
        <v/>
      </c>
      <c r="W20" s="12" t="str">
        <f t="shared" si="12"/>
        <v/>
      </c>
      <c r="X20" s="31"/>
      <c r="Y20" s="31"/>
      <c r="Z20" s="29"/>
      <c r="AA20" s="33"/>
      <c r="AC20" s="36">
        <v>1.0</v>
      </c>
      <c r="AD20" s="42" t="str">
        <f>IF($AK$18+7*(1-1)&gt;$A$38,"",TEXT($AK$18+7*(1-1),"m/d")&amp;"-"&amp;TEXT($AK$18+7*(1-1)+6,"m/d"))</f>
        <v>1/5-1/11</v>
      </c>
      <c r="AE20" s="35">
        <f>IF($AD20="","",(SUMIFS($I$8:$I$38,$A$8:$A$38,"&gt;="&amp;$AK$18+7*(1-1),$A$8:$A$38,"&lt;="&amp;$AK$18+7*(1-1)+6)+SUMIFS('2027年02月'!$I$8:$I$35,'2027年02月'!$A$8:$A$35,"&gt;="&amp;$AK$18+7*(1-1),'2027年02月'!$A$8:$A$35,"&lt;="&amp;$AK$18+7*(1-1)+6)))</f>
        <v>0</v>
      </c>
      <c r="AF20" s="37" t="str">
        <f>IF($AD20="","",IFERROR((SUMIFS($O$8:$O$38,$A$8:$A$38,"&gt;="&amp;$AK$18+7*(1-1),$A$8:$A$38,"&lt;="&amp;$AK$18+7*(1-1)+6)+SUMIFS('2027年02月'!$O$8:$O$35,'2027年02月'!$A$8:$A$35,"&gt;="&amp;$AK$18+7*(1-1),'2027年02月'!$A$8:$A$35,"&lt;="&amp;$AK$18+7*(1-1)+6))/(SUMIFS($Q$8:$Q$38,$A$8:$A$38,"&gt;="&amp;$AK$18+7*(1-1),$A$8:$A$38,"&lt;="&amp;$AK$18+7*(1-1)+6)+SUMIFS('2027年02月'!$Q$8:$Q$35,'2027年02月'!$A$8:$A$35,"&gt;="&amp;$AK$18+7*(1-1),'2027年02月'!$A$8:$A$35,"&lt;="&amp;$AK$18+7*(1-1)+6)),""))</f>
        <v/>
      </c>
      <c r="AG20" s="35" t="str">
        <f>IF($AD20="","",IFERROR((SUMIFS($I$8:$I$38,$A$8:$A$38,"&gt;="&amp;$AK$18+7*(1-1),$A$8:$A$38,"&lt;="&amp;$AK$18+7*(1-1)+6)+SUMIFS('2027年02月'!$I$8:$I$35,'2027年02月'!$A$8:$A$35,"&gt;="&amp;$AK$18+7*(1-1),'2027年02月'!$A$8:$A$35,"&lt;="&amp;$AK$18+7*(1-1)+6))/(SUMIFS($O$8:$O$38,$A$8:$A$38,"&gt;="&amp;$AK$18+7*(1-1),$A$8:$A$38,"&lt;="&amp;$AK$18+7*(1-1)+6)+SUMIFS('2027年02月'!$O$8:$O$35,'2027年02月'!$A$8:$A$35,"&gt;="&amp;$AK$18+7*(1-1),'2027年02月'!$A$8:$A$35,"&lt;="&amp;$AK$18+7*(1-1)+6)),""))</f>
        <v/>
      </c>
      <c r="AH20" s="43" t="str">
        <f>IF($AD20="","",IFERROR((SUMIFS($P$8:$P$38,$A$8:$A$38,"&gt;="&amp;$AK$18+7*(1-1),$A$8:$A$38,"&lt;="&amp;$AK$18+7*(1-1)+6)+SUMIFS('2027年02月'!$P$8:$P$35,'2027年02月'!$A$8:$A$35,"&gt;="&amp;$AK$18+7*(1-1),'2027年02月'!$A$8:$A$35,"&lt;="&amp;$AK$18+7*(1-1)+6))/(SUMIFS($O$8:$O$38,$A$8:$A$38,"&gt;="&amp;$AK$18+7*(1-1),$A$8:$A$38,"&lt;="&amp;$AK$18+7*(1-1)+6)+SUMIFS('2027年02月'!$O$8:$O$35,'2027年02月'!$A$8:$A$35,"&gt;="&amp;$AK$18+7*(1-1),'2027年02月'!$A$8:$A$35,"&lt;="&amp;$AK$18+7*(1-1)+6)),""))</f>
        <v/>
      </c>
      <c r="AI20" s="37" t="str">
        <f>IF($AD20="","",IFERROR((SUMIFS($R$8:$R$38,$A$8:$A$38,"&gt;="&amp;$AK$18+7*(1-1),$A$8:$A$38,"&lt;="&amp;$AK$18+7*(1-1)+6)+SUMIFS('2027年02月'!$R$8:$R$35,'2027年02月'!$A$8:$A$35,"&gt;="&amp;$AK$18+7*(1-1),'2027年02月'!$A$8:$A$35,"&lt;="&amp;$AK$18+7*(1-1)+6))/(SUMIFS($Q$8:$Q$38,$A$8:$A$38,"&gt;="&amp;$AK$18+7*(1-1),$A$8:$A$38,"&lt;="&amp;$AK$18+7*(1-1)+6)+SUMIFS('2027年02月'!$Q$8:$Q$35,'2027年02月'!$A$8:$A$35,"&gt;="&amp;$AK$18+7*(1-1),'2027年02月'!$A$8:$A$35,"&lt;="&amp;$AK$18+7*(1-1)+6)),""))</f>
        <v/>
      </c>
    </row>
    <row r="21" ht="15.75" customHeight="1">
      <c r="A21" s="38">
        <v>46401.0</v>
      </c>
      <c r="B21" s="14" t="str">
        <f t="shared" si="2"/>
        <v>木</v>
      </c>
      <c r="C21" s="29"/>
      <c r="D21" s="15">
        <f t="shared" si="3"/>
        <v>0</v>
      </c>
      <c r="E21" s="29"/>
      <c r="F21" s="29"/>
      <c r="G21" s="29"/>
      <c r="H21" s="29"/>
      <c r="I21" s="15" t="str">
        <f t="shared" si="4"/>
        <v/>
      </c>
      <c r="J21" s="15" t="str">
        <f t="shared" si="5"/>
        <v/>
      </c>
      <c r="K21" s="16" t="str">
        <f t="shared" ref="K21:L21" si="28">IF(I21="","",IFERROR(I21/C21,""))</f>
        <v/>
      </c>
      <c r="L21" s="16" t="str">
        <f t="shared" si="28"/>
        <v/>
      </c>
      <c r="M21" s="15" t="str">
        <f t="shared" si="7"/>
        <v/>
      </c>
      <c r="N21" s="39" t="str">
        <f t="shared" si="8"/>
        <v>—</v>
      </c>
      <c r="O21" s="31"/>
      <c r="P21" s="31"/>
      <c r="Q21" s="31"/>
      <c r="R21" s="31"/>
      <c r="S21" s="31"/>
      <c r="T21" s="16" t="str">
        <f t="shared" si="9"/>
        <v/>
      </c>
      <c r="U21" s="15" t="str">
        <f t="shared" si="10"/>
        <v/>
      </c>
      <c r="V21" s="40" t="str">
        <f t="shared" si="11"/>
        <v/>
      </c>
      <c r="W21" s="16" t="str">
        <f t="shared" si="12"/>
        <v/>
      </c>
      <c r="X21" s="31"/>
      <c r="Y21" s="31"/>
      <c r="Z21" s="29"/>
      <c r="AA21" s="33"/>
      <c r="AC21" s="36">
        <v>2.0</v>
      </c>
      <c r="AD21" s="42" t="str">
        <f>IF($AK$18+7*(2-1)&gt;$A$38,"",TEXT($AK$18+7*(2-1),"m/d")&amp;"-"&amp;TEXT($AK$18+7*(2-1)+6,"m/d"))</f>
        <v>1/12-1/18</v>
      </c>
      <c r="AE21" s="35">
        <f>IF($AD21="","",(SUMIFS($I$8:$I$38,$A$8:$A$38,"&gt;="&amp;$AK$18+7*(2-1),$A$8:$A$38,"&lt;="&amp;$AK$18+7*(2-1)+6)+SUMIFS('2027年02月'!$I$8:$I$35,'2027年02月'!$A$8:$A$35,"&gt;="&amp;$AK$18+7*(2-1),'2027年02月'!$A$8:$A$35,"&lt;="&amp;$AK$18+7*(2-1)+6)))</f>
        <v>0</v>
      </c>
      <c r="AF21" s="37" t="str">
        <f>IF($AD21="","",IFERROR((SUMIFS($O$8:$O$38,$A$8:$A$38,"&gt;="&amp;$AK$18+7*(2-1),$A$8:$A$38,"&lt;="&amp;$AK$18+7*(2-1)+6)+SUMIFS('2027年02月'!$O$8:$O$35,'2027年02月'!$A$8:$A$35,"&gt;="&amp;$AK$18+7*(2-1),'2027年02月'!$A$8:$A$35,"&lt;="&amp;$AK$18+7*(2-1)+6))/(SUMIFS($Q$8:$Q$38,$A$8:$A$38,"&gt;="&amp;$AK$18+7*(2-1),$A$8:$A$38,"&lt;="&amp;$AK$18+7*(2-1)+6)+SUMIFS('2027年02月'!$Q$8:$Q$35,'2027年02月'!$A$8:$A$35,"&gt;="&amp;$AK$18+7*(2-1),'2027年02月'!$A$8:$A$35,"&lt;="&amp;$AK$18+7*(2-1)+6)),""))</f>
        <v/>
      </c>
      <c r="AG21" s="35" t="str">
        <f>IF($AD21="","",IFERROR((SUMIFS($I$8:$I$38,$A$8:$A$38,"&gt;="&amp;$AK$18+7*(2-1),$A$8:$A$38,"&lt;="&amp;$AK$18+7*(2-1)+6)+SUMIFS('2027年02月'!$I$8:$I$35,'2027年02月'!$A$8:$A$35,"&gt;="&amp;$AK$18+7*(2-1),'2027年02月'!$A$8:$A$35,"&lt;="&amp;$AK$18+7*(2-1)+6))/(SUMIFS($O$8:$O$38,$A$8:$A$38,"&gt;="&amp;$AK$18+7*(2-1),$A$8:$A$38,"&lt;="&amp;$AK$18+7*(2-1)+6)+SUMIFS('2027年02月'!$O$8:$O$35,'2027年02月'!$A$8:$A$35,"&gt;="&amp;$AK$18+7*(2-1),'2027年02月'!$A$8:$A$35,"&lt;="&amp;$AK$18+7*(2-1)+6)),""))</f>
        <v/>
      </c>
      <c r="AH21" s="43" t="str">
        <f>IF($AD21="","",IFERROR((SUMIFS($P$8:$P$38,$A$8:$A$38,"&gt;="&amp;$AK$18+7*(2-1),$A$8:$A$38,"&lt;="&amp;$AK$18+7*(2-1)+6)+SUMIFS('2027年02月'!$P$8:$P$35,'2027年02月'!$A$8:$A$35,"&gt;="&amp;$AK$18+7*(2-1),'2027年02月'!$A$8:$A$35,"&lt;="&amp;$AK$18+7*(2-1)+6))/(SUMIFS($O$8:$O$38,$A$8:$A$38,"&gt;="&amp;$AK$18+7*(2-1),$A$8:$A$38,"&lt;="&amp;$AK$18+7*(2-1)+6)+SUMIFS('2027年02月'!$O$8:$O$35,'2027年02月'!$A$8:$A$35,"&gt;="&amp;$AK$18+7*(2-1),'2027年02月'!$A$8:$A$35,"&lt;="&amp;$AK$18+7*(2-1)+6)),""))</f>
        <v/>
      </c>
      <c r="AI21" s="37" t="str">
        <f>IF($AD21="","",IFERROR((SUMIFS($R$8:$R$38,$A$8:$A$38,"&gt;="&amp;$AK$18+7*(2-1),$A$8:$A$38,"&lt;="&amp;$AK$18+7*(2-1)+6)+SUMIFS('2027年02月'!$R$8:$R$35,'2027年02月'!$A$8:$A$35,"&gt;="&amp;$AK$18+7*(2-1),'2027年02月'!$A$8:$A$35,"&lt;="&amp;$AK$18+7*(2-1)+6))/(SUMIFS($Q$8:$Q$38,$A$8:$A$38,"&gt;="&amp;$AK$18+7*(2-1),$A$8:$A$38,"&lt;="&amp;$AK$18+7*(2-1)+6)+SUMIFS('2027年02月'!$Q$8:$Q$35,'2027年02月'!$A$8:$A$35,"&gt;="&amp;$AK$18+7*(2-1),'2027年02月'!$A$8:$A$35,"&lt;="&amp;$AK$18+7*(2-1)+6)),""))</f>
        <v/>
      </c>
    </row>
    <row r="22" ht="15.75" customHeight="1">
      <c r="A22" s="28">
        <v>46402.0</v>
      </c>
      <c r="B22" s="10" t="str">
        <f t="shared" si="2"/>
        <v>金</v>
      </c>
      <c r="C22" s="29"/>
      <c r="D22" s="11">
        <f t="shared" si="3"/>
        <v>0</v>
      </c>
      <c r="E22" s="29"/>
      <c r="F22" s="29"/>
      <c r="G22" s="29"/>
      <c r="H22" s="29"/>
      <c r="I22" s="11" t="str">
        <f t="shared" si="4"/>
        <v/>
      </c>
      <c r="J22" s="11" t="str">
        <f t="shared" si="5"/>
        <v/>
      </c>
      <c r="K22" s="12" t="str">
        <f t="shared" ref="K22:L22" si="29">IF(I22="","",IFERROR(I22/C22,""))</f>
        <v/>
      </c>
      <c r="L22" s="12" t="str">
        <f t="shared" si="29"/>
        <v/>
      </c>
      <c r="M22" s="11" t="str">
        <f t="shared" si="7"/>
        <v/>
      </c>
      <c r="N22" s="30" t="str">
        <f t="shared" si="8"/>
        <v>—</v>
      </c>
      <c r="O22" s="31"/>
      <c r="P22" s="31"/>
      <c r="Q22" s="31"/>
      <c r="R22" s="31"/>
      <c r="S22" s="31"/>
      <c r="T22" s="12" t="str">
        <f t="shared" si="9"/>
        <v/>
      </c>
      <c r="U22" s="11" t="str">
        <f t="shared" si="10"/>
        <v/>
      </c>
      <c r="V22" s="32" t="str">
        <f t="shared" si="11"/>
        <v/>
      </c>
      <c r="W22" s="12" t="str">
        <f t="shared" si="12"/>
        <v/>
      </c>
      <c r="X22" s="31"/>
      <c r="Y22" s="31"/>
      <c r="Z22" s="29"/>
      <c r="AA22" s="33"/>
      <c r="AC22" s="36">
        <v>3.0</v>
      </c>
      <c r="AD22" s="42" t="str">
        <f>IF($AK$18+7*(3-1)&gt;$A$38,"",TEXT($AK$18+7*(3-1),"m/d")&amp;"-"&amp;TEXT($AK$18+7*(3-1)+6,"m/d"))</f>
        <v>1/19-1/25</v>
      </c>
      <c r="AE22" s="35">
        <f>IF($AD22="","",(SUMIFS($I$8:$I$38,$A$8:$A$38,"&gt;="&amp;$AK$18+7*(3-1),$A$8:$A$38,"&lt;="&amp;$AK$18+7*(3-1)+6)+SUMIFS('2027年02月'!$I$8:$I$35,'2027年02月'!$A$8:$A$35,"&gt;="&amp;$AK$18+7*(3-1),'2027年02月'!$A$8:$A$35,"&lt;="&amp;$AK$18+7*(3-1)+6)))</f>
        <v>0</v>
      </c>
      <c r="AF22" s="37" t="str">
        <f>IF($AD22="","",IFERROR((SUMIFS($O$8:$O$38,$A$8:$A$38,"&gt;="&amp;$AK$18+7*(3-1),$A$8:$A$38,"&lt;="&amp;$AK$18+7*(3-1)+6)+SUMIFS('2027年02月'!$O$8:$O$35,'2027年02月'!$A$8:$A$35,"&gt;="&amp;$AK$18+7*(3-1),'2027年02月'!$A$8:$A$35,"&lt;="&amp;$AK$18+7*(3-1)+6))/(SUMIFS($Q$8:$Q$38,$A$8:$A$38,"&gt;="&amp;$AK$18+7*(3-1),$A$8:$A$38,"&lt;="&amp;$AK$18+7*(3-1)+6)+SUMIFS('2027年02月'!$Q$8:$Q$35,'2027年02月'!$A$8:$A$35,"&gt;="&amp;$AK$18+7*(3-1),'2027年02月'!$A$8:$A$35,"&lt;="&amp;$AK$18+7*(3-1)+6)),""))</f>
        <v/>
      </c>
      <c r="AG22" s="35" t="str">
        <f>IF($AD22="","",IFERROR((SUMIFS($I$8:$I$38,$A$8:$A$38,"&gt;="&amp;$AK$18+7*(3-1),$A$8:$A$38,"&lt;="&amp;$AK$18+7*(3-1)+6)+SUMIFS('2027年02月'!$I$8:$I$35,'2027年02月'!$A$8:$A$35,"&gt;="&amp;$AK$18+7*(3-1),'2027年02月'!$A$8:$A$35,"&lt;="&amp;$AK$18+7*(3-1)+6))/(SUMIFS($O$8:$O$38,$A$8:$A$38,"&gt;="&amp;$AK$18+7*(3-1),$A$8:$A$38,"&lt;="&amp;$AK$18+7*(3-1)+6)+SUMIFS('2027年02月'!$O$8:$O$35,'2027年02月'!$A$8:$A$35,"&gt;="&amp;$AK$18+7*(3-1),'2027年02月'!$A$8:$A$35,"&lt;="&amp;$AK$18+7*(3-1)+6)),""))</f>
        <v/>
      </c>
      <c r="AH22" s="43" t="str">
        <f>IF($AD22="","",IFERROR((SUMIFS($P$8:$P$38,$A$8:$A$38,"&gt;="&amp;$AK$18+7*(3-1),$A$8:$A$38,"&lt;="&amp;$AK$18+7*(3-1)+6)+SUMIFS('2027年02月'!$P$8:$P$35,'2027年02月'!$A$8:$A$35,"&gt;="&amp;$AK$18+7*(3-1),'2027年02月'!$A$8:$A$35,"&lt;="&amp;$AK$18+7*(3-1)+6))/(SUMIFS($O$8:$O$38,$A$8:$A$38,"&gt;="&amp;$AK$18+7*(3-1),$A$8:$A$38,"&lt;="&amp;$AK$18+7*(3-1)+6)+SUMIFS('2027年02月'!$O$8:$O$35,'2027年02月'!$A$8:$A$35,"&gt;="&amp;$AK$18+7*(3-1),'2027年02月'!$A$8:$A$35,"&lt;="&amp;$AK$18+7*(3-1)+6)),""))</f>
        <v/>
      </c>
      <c r="AI22" s="37" t="str">
        <f>IF($AD22="","",IFERROR((SUMIFS($R$8:$R$38,$A$8:$A$38,"&gt;="&amp;$AK$18+7*(3-1),$A$8:$A$38,"&lt;="&amp;$AK$18+7*(3-1)+6)+SUMIFS('2027年02月'!$R$8:$R$35,'2027年02月'!$A$8:$A$35,"&gt;="&amp;$AK$18+7*(3-1),'2027年02月'!$A$8:$A$35,"&lt;="&amp;$AK$18+7*(3-1)+6))/(SUMIFS($Q$8:$Q$38,$A$8:$A$38,"&gt;="&amp;$AK$18+7*(3-1),$A$8:$A$38,"&lt;="&amp;$AK$18+7*(3-1)+6)+SUMIFS('2027年02月'!$Q$8:$Q$35,'2027年02月'!$A$8:$A$35,"&gt;="&amp;$AK$18+7*(3-1),'2027年02月'!$A$8:$A$35,"&lt;="&amp;$AK$18+7*(3-1)+6)),""))</f>
        <v/>
      </c>
    </row>
    <row r="23" ht="15.75" customHeight="1">
      <c r="A23" s="38">
        <v>46403.0</v>
      </c>
      <c r="B23" s="14" t="str">
        <f t="shared" si="2"/>
        <v>土</v>
      </c>
      <c r="C23" s="29"/>
      <c r="D23" s="15">
        <f t="shared" si="3"/>
        <v>0</v>
      </c>
      <c r="E23" s="29"/>
      <c r="F23" s="29"/>
      <c r="G23" s="29"/>
      <c r="H23" s="29"/>
      <c r="I23" s="15" t="str">
        <f t="shared" si="4"/>
        <v/>
      </c>
      <c r="J23" s="15" t="str">
        <f t="shared" si="5"/>
        <v/>
      </c>
      <c r="K23" s="16" t="str">
        <f t="shared" ref="K23:L23" si="30">IF(I23="","",IFERROR(I23/C23,""))</f>
        <v/>
      </c>
      <c r="L23" s="16" t="str">
        <f t="shared" si="30"/>
        <v/>
      </c>
      <c r="M23" s="15" t="str">
        <f t="shared" si="7"/>
        <v/>
      </c>
      <c r="N23" s="39" t="str">
        <f t="shared" si="8"/>
        <v>—</v>
      </c>
      <c r="O23" s="31"/>
      <c r="P23" s="31"/>
      <c r="Q23" s="31"/>
      <c r="R23" s="31"/>
      <c r="S23" s="31"/>
      <c r="T23" s="16" t="str">
        <f t="shared" si="9"/>
        <v/>
      </c>
      <c r="U23" s="15" t="str">
        <f t="shared" si="10"/>
        <v/>
      </c>
      <c r="V23" s="40" t="str">
        <f t="shared" si="11"/>
        <v/>
      </c>
      <c r="W23" s="16" t="str">
        <f t="shared" si="12"/>
        <v/>
      </c>
      <c r="X23" s="31"/>
      <c r="Y23" s="31"/>
      <c r="Z23" s="29"/>
      <c r="AA23" s="33"/>
      <c r="AC23" s="36">
        <v>4.0</v>
      </c>
      <c r="AD23" s="42" t="str">
        <f>IF($AK$18+7*(4-1)&gt;$A$38,"",TEXT($AK$18+7*(4-1),"m/d")&amp;"-"&amp;TEXT($AK$18+7*(4-1)+6,"m/d"))</f>
        <v>1/26-2/1</v>
      </c>
      <c r="AE23" s="35">
        <f>IF($AD23="","",(SUMIFS($I$8:$I$38,$A$8:$A$38,"&gt;="&amp;$AK$18+7*(4-1),$A$8:$A$38,"&lt;="&amp;$AK$18+7*(4-1)+6)+SUMIFS('2027年02月'!$I$8:$I$35,'2027年02月'!$A$8:$A$35,"&gt;="&amp;$AK$18+7*(4-1),'2027年02月'!$A$8:$A$35,"&lt;="&amp;$AK$18+7*(4-1)+6)))</f>
        <v>0</v>
      </c>
      <c r="AF23" s="37" t="str">
        <f>IF($AD23="","",IFERROR((SUMIFS($O$8:$O$38,$A$8:$A$38,"&gt;="&amp;$AK$18+7*(4-1),$A$8:$A$38,"&lt;="&amp;$AK$18+7*(4-1)+6)+SUMIFS('2027年02月'!$O$8:$O$35,'2027年02月'!$A$8:$A$35,"&gt;="&amp;$AK$18+7*(4-1),'2027年02月'!$A$8:$A$35,"&lt;="&amp;$AK$18+7*(4-1)+6))/(SUMIFS($Q$8:$Q$38,$A$8:$A$38,"&gt;="&amp;$AK$18+7*(4-1),$A$8:$A$38,"&lt;="&amp;$AK$18+7*(4-1)+6)+SUMIFS('2027年02月'!$Q$8:$Q$35,'2027年02月'!$A$8:$A$35,"&gt;="&amp;$AK$18+7*(4-1),'2027年02月'!$A$8:$A$35,"&lt;="&amp;$AK$18+7*(4-1)+6)),""))</f>
        <v/>
      </c>
      <c r="AG23" s="35" t="str">
        <f>IF($AD23="","",IFERROR((SUMIFS($I$8:$I$38,$A$8:$A$38,"&gt;="&amp;$AK$18+7*(4-1),$A$8:$A$38,"&lt;="&amp;$AK$18+7*(4-1)+6)+SUMIFS('2027年02月'!$I$8:$I$35,'2027年02月'!$A$8:$A$35,"&gt;="&amp;$AK$18+7*(4-1),'2027年02月'!$A$8:$A$35,"&lt;="&amp;$AK$18+7*(4-1)+6))/(SUMIFS($O$8:$O$38,$A$8:$A$38,"&gt;="&amp;$AK$18+7*(4-1),$A$8:$A$38,"&lt;="&amp;$AK$18+7*(4-1)+6)+SUMIFS('2027年02月'!$O$8:$O$35,'2027年02月'!$A$8:$A$35,"&gt;="&amp;$AK$18+7*(4-1),'2027年02月'!$A$8:$A$35,"&lt;="&amp;$AK$18+7*(4-1)+6)),""))</f>
        <v/>
      </c>
      <c r="AH23" s="43" t="str">
        <f>IF($AD23="","",IFERROR((SUMIFS($P$8:$P$38,$A$8:$A$38,"&gt;="&amp;$AK$18+7*(4-1),$A$8:$A$38,"&lt;="&amp;$AK$18+7*(4-1)+6)+SUMIFS('2027年02月'!$P$8:$P$35,'2027年02月'!$A$8:$A$35,"&gt;="&amp;$AK$18+7*(4-1),'2027年02月'!$A$8:$A$35,"&lt;="&amp;$AK$18+7*(4-1)+6))/(SUMIFS($O$8:$O$38,$A$8:$A$38,"&gt;="&amp;$AK$18+7*(4-1),$A$8:$A$38,"&lt;="&amp;$AK$18+7*(4-1)+6)+SUMIFS('2027年02月'!$O$8:$O$35,'2027年02月'!$A$8:$A$35,"&gt;="&amp;$AK$18+7*(4-1),'2027年02月'!$A$8:$A$35,"&lt;="&amp;$AK$18+7*(4-1)+6)),""))</f>
        <v/>
      </c>
      <c r="AI23" s="37" t="str">
        <f>IF($AD23="","",IFERROR((SUMIFS($R$8:$R$38,$A$8:$A$38,"&gt;="&amp;$AK$18+7*(4-1),$A$8:$A$38,"&lt;="&amp;$AK$18+7*(4-1)+6)+SUMIFS('2027年02月'!$R$8:$R$35,'2027年02月'!$A$8:$A$35,"&gt;="&amp;$AK$18+7*(4-1),'2027年02月'!$A$8:$A$35,"&lt;="&amp;$AK$18+7*(4-1)+6))/(SUMIFS($Q$8:$Q$38,$A$8:$A$38,"&gt;="&amp;$AK$18+7*(4-1),$A$8:$A$38,"&lt;="&amp;$AK$18+7*(4-1)+6)+SUMIFS('2027年02月'!$Q$8:$Q$35,'2027年02月'!$A$8:$A$35,"&gt;="&amp;$AK$18+7*(4-1),'2027年02月'!$A$8:$A$35,"&lt;="&amp;$AK$18+7*(4-1)+6)),""))</f>
        <v/>
      </c>
    </row>
    <row r="24" ht="15.75" customHeight="1">
      <c r="A24" s="28">
        <v>46404.0</v>
      </c>
      <c r="B24" s="10" t="str">
        <f t="shared" si="2"/>
        <v>日</v>
      </c>
      <c r="C24" s="29"/>
      <c r="D24" s="11">
        <f t="shared" si="3"/>
        <v>0</v>
      </c>
      <c r="E24" s="29"/>
      <c r="F24" s="29"/>
      <c r="G24" s="29"/>
      <c r="H24" s="29"/>
      <c r="I24" s="11" t="str">
        <f t="shared" si="4"/>
        <v/>
      </c>
      <c r="J24" s="11" t="str">
        <f t="shared" si="5"/>
        <v/>
      </c>
      <c r="K24" s="12" t="str">
        <f t="shared" ref="K24:L24" si="31">IF(I24="","",IFERROR(I24/C24,""))</f>
        <v/>
      </c>
      <c r="L24" s="12" t="str">
        <f t="shared" si="31"/>
        <v/>
      </c>
      <c r="M24" s="11" t="str">
        <f t="shared" si="7"/>
        <v/>
      </c>
      <c r="N24" s="30" t="str">
        <f t="shared" si="8"/>
        <v>—</v>
      </c>
      <c r="O24" s="31"/>
      <c r="P24" s="31"/>
      <c r="Q24" s="31"/>
      <c r="R24" s="31"/>
      <c r="S24" s="31"/>
      <c r="T24" s="12" t="str">
        <f t="shared" si="9"/>
        <v/>
      </c>
      <c r="U24" s="11" t="str">
        <f t="shared" si="10"/>
        <v/>
      </c>
      <c r="V24" s="32" t="str">
        <f t="shared" si="11"/>
        <v/>
      </c>
      <c r="W24" s="12" t="str">
        <f t="shared" si="12"/>
        <v/>
      </c>
      <c r="X24" s="31"/>
      <c r="Y24" s="31"/>
      <c r="Z24" s="29"/>
      <c r="AA24" s="33"/>
      <c r="AC24" s="36">
        <v>5.0</v>
      </c>
      <c r="AD24" s="42" t="str">
        <f>IF($AK$18+7*(5-1)&gt;$A$38,"",TEXT($AK$18+7*(5-1),"m/d")&amp;"-"&amp;TEXT($AK$18+7*(5-1)+6,"m/d"))</f>
        <v/>
      </c>
      <c r="AE24" s="35" t="str">
        <f>IF($AD24="","",(SUMIFS($I$8:$I$38,$A$8:$A$38,"&gt;="&amp;$AK$18+7*(5-1),$A$8:$A$38,"&lt;="&amp;$AK$18+7*(5-1)+6)+SUMIFS('2027年02月'!$I$8:$I$35,'2027年02月'!$A$8:$A$35,"&gt;="&amp;$AK$18+7*(5-1),'2027年02月'!$A$8:$A$35,"&lt;="&amp;$AK$18+7*(5-1)+6)))</f>
        <v/>
      </c>
      <c r="AF24" s="37" t="str">
        <f>IF($AD24="","",IFERROR((SUMIFS($O$8:$O$38,$A$8:$A$38,"&gt;="&amp;$AK$18+7*(5-1),$A$8:$A$38,"&lt;="&amp;$AK$18+7*(5-1)+6)+SUMIFS('2027年02月'!$O$8:$O$35,'2027年02月'!$A$8:$A$35,"&gt;="&amp;$AK$18+7*(5-1),'2027年02月'!$A$8:$A$35,"&lt;="&amp;$AK$18+7*(5-1)+6))/(SUMIFS($Q$8:$Q$38,$A$8:$A$38,"&gt;="&amp;$AK$18+7*(5-1),$A$8:$A$38,"&lt;="&amp;$AK$18+7*(5-1)+6)+SUMIFS('2027年02月'!$Q$8:$Q$35,'2027年02月'!$A$8:$A$35,"&gt;="&amp;$AK$18+7*(5-1),'2027年02月'!$A$8:$A$35,"&lt;="&amp;$AK$18+7*(5-1)+6)),""))</f>
        <v/>
      </c>
      <c r="AG24" s="35" t="str">
        <f>IF($AD24="","",IFERROR((SUMIFS($I$8:$I$38,$A$8:$A$38,"&gt;="&amp;$AK$18+7*(5-1),$A$8:$A$38,"&lt;="&amp;$AK$18+7*(5-1)+6)+SUMIFS('2027年02月'!$I$8:$I$35,'2027年02月'!$A$8:$A$35,"&gt;="&amp;$AK$18+7*(5-1),'2027年02月'!$A$8:$A$35,"&lt;="&amp;$AK$18+7*(5-1)+6))/(SUMIFS($O$8:$O$38,$A$8:$A$38,"&gt;="&amp;$AK$18+7*(5-1),$A$8:$A$38,"&lt;="&amp;$AK$18+7*(5-1)+6)+SUMIFS('2027年02月'!$O$8:$O$35,'2027年02月'!$A$8:$A$35,"&gt;="&amp;$AK$18+7*(5-1),'2027年02月'!$A$8:$A$35,"&lt;="&amp;$AK$18+7*(5-1)+6)),""))</f>
        <v/>
      </c>
      <c r="AH24" s="43" t="str">
        <f>IF($AD24="","",IFERROR((SUMIFS($P$8:$P$38,$A$8:$A$38,"&gt;="&amp;$AK$18+7*(5-1),$A$8:$A$38,"&lt;="&amp;$AK$18+7*(5-1)+6)+SUMIFS('2027年02月'!$P$8:$P$35,'2027年02月'!$A$8:$A$35,"&gt;="&amp;$AK$18+7*(5-1),'2027年02月'!$A$8:$A$35,"&lt;="&amp;$AK$18+7*(5-1)+6))/(SUMIFS($O$8:$O$38,$A$8:$A$38,"&gt;="&amp;$AK$18+7*(5-1),$A$8:$A$38,"&lt;="&amp;$AK$18+7*(5-1)+6)+SUMIFS('2027年02月'!$O$8:$O$35,'2027年02月'!$A$8:$A$35,"&gt;="&amp;$AK$18+7*(5-1),'2027年02月'!$A$8:$A$35,"&lt;="&amp;$AK$18+7*(5-1)+6)),""))</f>
        <v/>
      </c>
      <c r="AI24" s="37" t="str">
        <f>IF($AD24="","",IFERROR((SUMIFS($R$8:$R$38,$A$8:$A$38,"&gt;="&amp;$AK$18+7*(5-1),$A$8:$A$38,"&lt;="&amp;$AK$18+7*(5-1)+6)+SUMIFS('2027年02月'!$R$8:$R$35,'2027年02月'!$A$8:$A$35,"&gt;="&amp;$AK$18+7*(5-1),'2027年02月'!$A$8:$A$35,"&lt;="&amp;$AK$18+7*(5-1)+6))/(SUMIFS($Q$8:$Q$38,$A$8:$A$38,"&gt;="&amp;$AK$18+7*(5-1),$A$8:$A$38,"&lt;="&amp;$AK$18+7*(5-1)+6)+SUMIFS('2027年02月'!$Q$8:$Q$35,'2027年02月'!$A$8:$A$35,"&gt;="&amp;$AK$18+7*(5-1),'2027年02月'!$A$8:$A$35,"&lt;="&amp;$AK$18+7*(5-1)+6)),""))</f>
        <v/>
      </c>
    </row>
    <row r="25" ht="15.75" customHeight="1">
      <c r="A25" s="38">
        <v>46405.0</v>
      </c>
      <c r="B25" s="14" t="str">
        <f t="shared" si="2"/>
        <v>月</v>
      </c>
      <c r="C25" s="29"/>
      <c r="D25" s="15">
        <f t="shared" si="3"/>
        <v>0</v>
      </c>
      <c r="E25" s="29"/>
      <c r="F25" s="29"/>
      <c r="G25" s="29"/>
      <c r="H25" s="29"/>
      <c r="I25" s="15" t="str">
        <f t="shared" si="4"/>
        <v/>
      </c>
      <c r="J25" s="15" t="str">
        <f t="shared" si="5"/>
        <v/>
      </c>
      <c r="K25" s="16" t="str">
        <f t="shared" ref="K25:L25" si="32">IF(I25="","",IFERROR(I25/C25,""))</f>
        <v/>
      </c>
      <c r="L25" s="16" t="str">
        <f t="shared" si="32"/>
        <v/>
      </c>
      <c r="M25" s="15" t="str">
        <f t="shared" si="7"/>
        <v/>
      </c>
      <c r="N25" s="39" t="str">
        <f t="shared" si="8"/>
        <v>—</v>
      </c>
      <c r="O25" s="31"/>
      <c r="P25" s="31"/>
      <c r="Q25" s="31"/>
      <c r="R25" s="31"/>
      <c r="S25" s="31"/>
      <c r="T25" s="16" t="str">
        <f t="shared" si="9"/>
        <v/>
      </c>
      <c r="U25" s="15" t="str">
        <f t="shared" si="10"/>
        <v/>
      </c>
      <c r="V25" s="40" t="str">
        <f t="shared" si="11"/>
        <v/>
      </c>
      <c r="W25" s="16" t="str">
        <f t="shared" si="12"/>
        <v/>
      </c>
      <c r="X25" s="31"/>
      <c r="Y25" s="31"/>
      <c r="Z25" s="29"/>
      <c r="AA25" s="33"/>
      <c r="AC25" s="36">
        <v>6.0</v>
      </c>
      <c r="AD25" s="42" t="str">
        <f>IF($AK$18+7*(6-1)&gt;$A$38,"",TEXT($AK$18+7*(6-1),"m/d")&amp;"-"&amp;TEXT($AK$18+7*(6-1)+6,"m/d"))</f>
        <v/>
      </c>
      <c r="AE25" s="35" t="str">
        <f>IF($AD25="","",(SUMIFS($I$8:$I$38,$A$8:$A$38,"&gt;="&amp;$AK$18+7*(6-1),$A$8:$A$38,"&lt;="&amp;$AK$18+7*(6-1)+6)+SUMIFS('2027年02月'!$I$8:$I$35,'2027年02月'!$A$8:$A$35,"&gt;="&amp;$AK$18+7*(6-1),'2027年02月'!$A$8:$A$35,"&lt;="&amp;$AK$18+7*(6-1)+6)))</f>
        <v/>
      </c>
      <c r="AF25" s="37" t="str">
        <f>IF($AD25="","",IFERROR((SUMIFS($O$8:$O$38,$A$8:$A$38,"&gt;="&amp;$AK$18+7*(6-1),$A$8:$A$38,"&lt;="&amp;$AK$18+7*(6-1)+6)+SUMIFS('2027年02月'!$O$8:$O$35,'2027年02月'!$A$8:$A$35,"&gt;="&amp;$AK$18+7*(6-1),'2027年02月'!$A$8:$A$35,"&lt;="&amp;$AK$18+7*(6-1)+6))/(SUMIFS($Q$8:$Q$38,$A$8:$A$38,"&gt;="&amp;$AK$18+7*(6-1),$A$8:$A$38,"&lt;="&amp;$AK$18+7*(6-1)+6)+SUMIFS('2027年02月'!$Q$8:$Q$35,'2027年02月'!$A$8:$A$35,"&gt;="&amp;$AK$18+7*(6-1),'2027年02月'!$A$8:$A$35,"&lt;="&amp;$AK$18+7*(6-1)+6)),""))</f>
        <v/>
      </c>
      <c r="AG25" s="35" t="str">
        <f>IF($AD25="","",IFERROR((SUMIFS($I$8:$I$38,$A$8:$A$38,"&gt;="&amp;$AK$18+7*(6-1),$A$8:$A$38,"&lt;="&amp;$AK$18+7*(6-1)+6)+SUMIFS('2027年02月'!$I$8:$I$35,'2027年02月'!$A$8:$A$35,"&gt;="&amp;$AK$18+7*(6-1),'2027年02月'!$A$8:$A$35,"&lt;="&amp;$AK$18+7*(6-1)+6))/(SUMIFS($O$8:$O$38,$A$8:$A$38,"&gt;="&amp;$AK$18+7*(6-1),$A$8:$A$38,"&lt;="&amp;$AK$18+7*(6-1)+6)+SUMIFS('2027年02月'!$O$8:$O$35,'2027年02月'!$A$8:$A$35,"&gt;="&amp;$AK$18+7*(6-1),'2027年02月'!$A$8:$A$35,"&lt;="&amp;$AK$18+7*(6-1)+6)),""))</f>
        <v/>
      </c>
      <c r="AH25" s="43" t="str">
        <f>IF($AD25="","",IFERROR((SUMIFS($P$8:$P$38,$A$8:$A$38,"&gt;="&amp;$AK$18+7*(6-1),$A$8:$A$38,"&lt;="&amp;$AK$18+7*(6-1)+6)+SUMIFS('2027年02月'!$P$8:$P$35,'2027年02月'!$A$8:$A$35,"&gt;="&amp;$AK$18+7*(6-1),'2027年02月'!$A$8:$A$35,"&lt;="&amp;$AK$18+7*(6-1)+6))/(SUMIFS($O$8:$O$38,$A$8:$A$38,"&gt;="&amp;$AK$18+7*(6-1),$A$8:$A$38,"&lt;="&amp;$AK$18+7*(6-1)+6)+SUMIFS('2027年02月'!$O$8:$O$35,'2027年02月'!$A$8:$A$35,"&gt;="&amp;$AK$18+7*(6-1),'2027年02月'!$A$8:$A$35,"&lt;="&amp;$AK$18+7*(6-1)+6)),""))</f>
        <v/>
      </c>
      <c r="AI25" s="37" t="str">
        <f>IF($AD25="","",IFERROR((SUMIFS($R$8:$R$38,$A$8:$A$38,"&gt;="&amp;$AK$18+7*(6-1),$A$8:$A$38,"&lt;="&amp;$AK$18+7*(6-1)+6)+SUMIFS('2027年02月'!$R$8:$R$35,'2027年02月'!$A$8:$A$35,"&gt;="&amp;$AK$18+7*(6-1),'2027年02月'!$A$8:$A$35,"&lt;="&amp;$AK$18+7*(6-1)+6))/(SUMIFS($Q$8:$Q$38,$A$8:$A$38,"&gt;="&amp;$AK$18+7*(6-1),$A$8:$A$38,"&lt;="&amp;$AK$18+7*(6-1)+6)+SUMIFS('2027年02月'!$Q$8:$Q$35,'2027年02月'!$A$8:$A$35,"&gt;="&amp;$AK$18+7*(6-1),'2027年02月'!$A$8:$A$35,"&lt;="&amp;$AK$18+7*(6-1)+6)),""))</f>
        <v/>
      </c>
    </row>
    <row r="26" ht="15.75" customHeight="1">
      <c r="A26" s="28">
        <v>46406.0</v>
      </c>
      <c r="B26" s="10" t="str">
        <f t="shared" si="2"/>
        <v>火</v>
      </c>
      <c r="C26" s="29"/>
      <c r="D26" s="11">
        <f t="shared" si="3"/>
        <v>0</v>
      </c>
      <c r="E26" s="29"/>
      <c r="F26" s="29"/>
      <c r="G26" s="29"/>
      <c r="H26" s="29"/>
      <c r="I26" s="11" t="str">
        <f t="shared" si="4"/>
        <v/>
      </c>
      <c r="J26" s="11" t="str">
        <f t="shared" si="5"/>
        <v/>
      </c>
      <c r="K26" s="12" t="str">
        <f t="shared" ref="K26:L26" si="33">IF(I26="","",IFERROR(I26/C26,""))</f>
        <v/>
      </c>
      <c r="L26" s="12" t="str">
        <f t="shared" si="33"/>
        <v/>
      </c>
      <c r="M26" s="11" t="str">
        <f t="shared" si="7"/>
        <v/>
      </c>
      <c r="N26" s="30" t="str">
        <f t="shared" si="8"/>
        <v>—</v>
      </c>
      <c r="O26" s="31"/>
      <c r="P26" s="31"/>
      <c r="Q26" s="31"/>
      <c r="R26" s="31"/>
      <c r="S26" s="31"/>
      <c r="T26" s="12" t="str">
        <f t="shared" si="9"/>
        <v/>
      </c>
      <c r="U26" s="11" t="str">
        <f t="shared" si="10"/>
        <v/>
      </c>
      <c r="V26" s="32" t="str">
        <f t="shared" si="11"/>
        <v/>
      </c>
      <c r="W26" s="12" t="str">
        <f t="shared" si="12"/>
        <v/>
      </c>
      <c r="X26" s="31"/>
      <c r="Y26" s="31"/>
      <c r="Z26" s="29"/>
      <c r="AA26" s="33"/>
      <c r="AC26" s="22" t="s">
        <v>148</v>
      </c>
    </row>
    <row r="27" ht="15.75" customHeight="1">
      <c r="A27" s="38">
        <v>46407.0</v>
      </c>
      <c r="B27" s="14" t="str">
        <f t="shared" si="2"/>
        <v>水</v>
      </c>
      <c r="C27" s="29"/>
      <c r="D27" s="15">
        <f t="shared" si="3"/>
        <v>0</v>
      </c>
      <c r="E27" s="29"/>
      <c r="F27" s="29"/>
      <c r="G27" s="29"/>
      <c r="H27" s="29"/>
      <c r="I27" s="15" t="str">
        <f t="shared" si="4"/>
        <v/>
      </c>
      <c r="J27" s="15" t="str">
        <f t="shared" si="5"/>
        <v/>
      </c>
      <c r="K27" s="16" t="str">
        <f t="shared" ref="K27:L27" si="34">IF(I27="","",IFERROR(I27/C27,""))</f>
        <v/>
      </c>
      <c r="L27" s="16" t="str">
        <f t="shared" si="34"/>
        <v/>
      </c>
      <c r="M27" s="15" t="str">
        <f t="shared" si="7"/>
        <v/>
      </c>
      <c r="N27" s="39" t="str">
        <f t="shared" si="8"/>
        <v>—</v>
      </c>
      <c r="O27" s="31"/>
      <c r="P27" s="31"/>
      <c r="Q27" s="31"/>
      <c r="R27" s="31"/>
      <c r="S27" s="31"/>
      <c r="T27" s="16" t="str">
        <f t="shared" si="9"/>
        <v/>
      </c>
      <c r="U27" s="15" t="str">
        <f t="shared" si="10"/>
        <v/>
      </c>
      <c r="V27" s="40" t="str">
        <f t="shared" si="11"/>
        <v/>
      </c>
      <c r="W27" s="16" t="str">
        <f t="shared" si="12"/>
        <v/>
      </c>
      <c r="X27" s="31"/>
      <c r="Y27" s="31"/>
      <c r="Z27" s="29"/>
      <c r="AA27" s="33"/>
      <c r="AC27" s="22" t="s">
        <v>149</v>
      </c>
    </row>
    <row r="28" ht="15.75" customHeight="1">
      <c r="A28" s="28">
        <v>46408.0</v>
      </c>
      <c r="B28" s="10" t="str">
        <f t="shared" si="2"/>
        <v>木</v>
      </c>
      <c r="C28" s="29"/>
      <c r="D28" s="11">
        <f t="shared" si="3"/>
        <v>0</v>
      </c>
      <c r="E28" s="29"/>
      <c r="F28" s="29"/>
      <c r="G28" s="29"/>
      <c r="H28" s="29"/>
      <c r="I28" s="11" t="str">
        <f t="shared" si="4"/>
        <v/>
      </c>
      <c r="J28" s="11" t="str">
        <f t="shared" si="5"/>
        <v/>
      </c>
      <c r="K28" s="12" t="str">
        <f t="shared" ref="K28:L28" si="35">IF(I28="","",IFERROR(I28/C28,""))</f>
        <v/>
      </c>
      <c r="L28" s="12" t="str">
        <f t="shared" si="35"/>
        <v/>
      </c>
      <c r="M28" s="11" t="str">
        <f t="shared" si="7"/>
        <v/>
      </c>
      <c r="N28" s="30" t="str">
        <f t="shared" si="8"/>
        <v>—</v>
      </c>
      <c r="O28" s="31"/>
      <c r="P28" s="31"/>
      <c r="Q28" s="31"/>
      <c r="R28" s="31"/>
      <c r="S28" s="31"/>
      <c r="T28" s="12" t="str">
        <f t="shared" si="9"/>
        <v/>
      </c>
      <c r="U28" s="11" t="str">
        <f t="shared" si="10"/>
        <v/>
      </c>
      <c r="V28" s="32" t="str">
        <f t="shared" si="11"/>
        <v/>
      </c>
      <c r="W28" s="12" t="str">
        <f t="shared" si="12"/>
        <v/>
      </c>
      <c r="X28" s="31"/>
      <c r="Y28" s="31"/>
      <c r="Z28" s="29"/>
      <c r="AA28" s="33"/>
      <c r="AC28" s="22" t="s">
        <v>150</v>
      </c>
    </row>
    <row r="29" ht="15.75" customHeight="1">
      <c r="A29" s="38">
        <v>46409.0</v>
      </c>
      <c r="B29" s="14" t="str">
        <f t="shared" si="2"/>
        <v>金</v>
      </c>
      <c r="C29" s="29"/>
      <c r="D29" s="15">
        <f t="shared" si="3"/>
        <v>0</v>
      </c>
      <c r="E29" s="29"/>
      <c r="F29" s="29"/>
      <c r="G29" s="29"/>
      <c r="H29" s="29"/>
      <c r="I29" s="15" t="str">
        <f t="shared" si="4"/>
        <v/>
      </c>
      <c r="J29" s="15" t="str">
        <f t="shared" si="5"/>
        <v/>
      </c>
      <c r="K29" s="16" t="str">
        <f t="shared" ref="K29:L29" si="36">IF(I29="","",IFERROR(I29/C29,""))</f>
        <v/>
      </c>
      <c r="L29" s="16" t="str">
        <f t="shared" si="36"/>
        <v/>
      </c>
      <c r="M29" s="15" t="str">
        <f t="shared" si="7"/>
        <v/>
      </c>
      <c r="N29" s="39" t="str">
        <f t="shared" si="8"/>
        <v>—</v>
      </c>
      <c r="O29" s="31"/>
      <c r="P29" s="31"/>
      <c r="Q29" s="31"/>
      <c r="R29" s="31"/>
      <c r="S29" s="31"/>
      <c r="T29" s="16" t="str">
        <f t="shared" si="9"/>
        <v/>
      </c>
      <c r="U29" s="15" t="str">
        <f t="shared" si="10"/>
        <v/>
      </c>
      <c r="V29" s="40" t="str">
        <f t="shared" si="11"/>
        <v/>
      </c>
      <c r="W29" s="16" t="str">
        <f t="shared" si="12"/>
        <v/>
      </c>
      <c r="X29" s="31"/>
      <c r="Y29" s="31"/>
      <c r="Z29" s="29"/>
      <c r="AA29" s="33"/>
    </row>
    <row r="30" ht="15.75" customHeight="1">
      <c r="A30" s="28">
        <v>46410.0</v>
      </c>
      <c r="B30" s="10" t="str">
        <f t="shared" si="2"/>
        <v>土</v>
      </c>
      <c r="C30" s="29"/>
      <c r="D30" s="11">
        <f t="shared" si="3"/>
        <v>0</v>
      </c>
      <c r="E30" s="29"/>
      <c r="F30" s="29"/>
      <c r="G30" s="29"/>
      <c r="H30" s="29"/>
      <c r="I30" s="11" t="str">
        <f t="shared" si="4"/>
        <v/>
      </c>
      <c r="J30" s="11" t="str">
        <f t="shared" si="5"/>
        <v/>
      </c>
      <c r="K30" s="12" t="str">
        <f t="shared" ref="K30:L30" si="37">IF(I30="","",IFERROR(I30/C30,""))</f>
        <v/>
      </c>
      <c r="L30" s="12" t="str">
        <f t="shared" si="37"/>
        <v/>
      </c>
      <c r="M30" s="11" t="str">
        <f t="shared" si="7"/>
        <v/>
      </c>
      <c r="N30" s="30" t="str">
        <f t="shared" si="8"/>
        <v>—</v>
      </c>
      <c r="O30" s="31"/>
      <c r="P30" s="31"/>
      <c r="Q30" s="31"/>
      <c r="R30" s="31"/>
      <c r="S30" s="31"/>
      <c r="T30" s="12" t="str">
        <f t="shared" si="9"/>
        <v/>
      </c>
      <c r="U30" s="11" t="str">
        <f t="shared" si="10"/>
        <v/>
      </c>
      <c r="V30" s="32" t="str">
        <f t="shared" si="11"/>
        <v/>
      </c>
      <c r="W30" s="12" t="str">
        <f t="shared" si="12"/>
        <v/>
      </c>
      <c r="X30" s="31"/>
      <c r="Y30" s="31"/>
      <c r="Z30" s="29"/>
      <c r="AA30" s="33"/>
    </row>
    <row r="31" ht="15.75" customHeight="1">
      <c r="A31" s="38">
        <v>46411.0</v>
      </c>
      <c r="B31" s="14" t="str">
        <f t="shared" si="2"/>
        <v>日</v>
      </c>
      <c r="C31" s="29"/>
      <c r="D31" s="15">
        <f t="shared" si="3"/>
        <v>0</v>
      </c>
      <c r="E31" s="29"/>
      <c r="F31" s="29"/>
      <c r="G31" s="29"/>
      <c r="H31" s="29"/>
      <c r="I31" s="15" t="str">
        <f t="shared" si="4"/>
        <v/>
      </c>
      <c r="J31" s="15" t="str">
        <f t="shared" si="5"/>
        <v/>
      </c>
      <c r="K31" s="16" t="str">
        <f t="shared" ref="K31:L31" si="38">IF(I31="","",IFERROR(I31/C31,""))</f>
        <v/>
      </c>
      <c r="L31" s="16" t="str">
        <f t="shared" si="38"/>
        <v/>
      </c>
      <c r="M31" s="15" t="str">
        <f t="shared" si="7"/>
        <v/>
      </c>
      <c r="N31" s="39" t="str">
        <f t="shared" si="8"/>
        <v>—</v>
      </c>
      <c r="O31" s="31"/>
      <c r="P31" s="31"/>
      <c r="Q31" s="31"/>
      <c r="R31" s="31"/>
      <c r="S31" s="31"/>
      <c r="T31" s="16" t="str">
        <f t="shared" si="9"/>
        <v/>
      </c>
      <c r="U31" s="15" t="str">
        <f t="shared" si="10"/>
        <v/>
      </c>
      <c r="V31" s="40" t="str">
        <f t="shared" si="11"/>
        <v/>
      </c>
      <c r="W31" s="16" t="str">
        <f t="shared" si="12"/>
        <v/>
      </c>
      <c r="X31" s="31"/>
      <c r="Y31" s="31"/>
      <c r="Z31" s="29"/>
      <c r="AA31" s="33"/>
    </row>
    <row r="32" ht="15.75" customHeight="1">
      <c r="A32" s="28">
        <v>46412.0</v>
      </c>
      <c r="B32" s="10" t="str">
        <f t="shared" si="2"/>
        <v>月</v>
      </c>
      <c r="C32" s="29"/>
      <c r="D32" s="11">
        <f t="shared" si="3"/>
        <v>0</v>
      </c>
      <c r="E32" s="29"/>
      <c r="F32" s="29"/>
      <c r="G32" s="29"/>
      <c r="H32" s="29"/>
      <c r="I32" s="11" t="str">
        <f t="shared" si="4"/>
        <v/>
      </c>
      <c r="J32" s="11" t="str">
        <f t="shared" si="5"/>
        <v/>
      </c>
      <c r="K32" s="12" t="str">
        <f t="shared" ref="K32:L32" si="39">IF(I32="","",IFERROR(I32/C32,""))</f>
        <v/>
      </c>
      <c r="L32" s="12" t="str">
        <f t="shared" si="39"/>
        <v/>
      </c>
      <c r="M32" s="11" t="str">
        <f t="shared" si="7"/>
        <v/>
      </c>
      <c r="N32" s="30" t="str">
        <f t="shared" si="8"/>
        <v>—</v>
      </c>
      <c r="O32" s="31"/>
      <c r="P32" s="31"/>
      <c r="Q32" s="31"/>
      <c r="R32" s="31"/>
      <c r="S32" s="31"/>
      <c r="T32" s="12" t="str">
        <f t="shared" si="9"/>
        <v/>
      </c>
      <c r="U32" s="11" t="str">
        <f t="shared" si="10"/>
        <v/>
      </c>
      <c r="V32" s="32" t="str">
        <f t="shared" si="11"/>
        <v/>
      </c>
      <c r="W32" s="12" t="str">
        <f t="shared" si="12"/>
        <v/>
      </c>
      <c r="X32" s="31"/>
      <c r="Y32" s="31"/>
      <c r="Z32" s="29"/>
      <c r="AA32" s="33"/>
    </row>
    <row r="33" ht="15.75" customHeight="1">
      <c r="A33" s="38">
        <v>46413.0</v>
      </c>
      <c r="B33" s="14" t="str">
        <f t="shared" si="2"/>
        <v>火</v>
      </c>
      <c r="C33" s="29"/>
      <c r="D33" s="15">
        <f t="shared" si="3"/>
        <v>0</v>
      </c>
      <c r="E33" s="29"/>
      <c r="F33" s="29"/>
      <c r="G33" s="29"/>
      <c r="H33" s="29"/>
      <c r="I33" s="15" t="str">
        <f t="shared" si="4"/>
        <v/>
      </c>
      <c r="J33" s="15" t="str">
        <f t="shared" si="5"/>
        <v/>
      </c>
      <c r="K33" s="16" t="str">
        <f t="shared" ref="K33:L33" si="40">IF(I33="","",IFERROR(I33/C33,""))</f>
        <v/>
      </c>
      <c r="L33" s="16" t="str">
        <f t="shared" si="40"/>
        <v/>
      </c>
      <c r="M33" s="15" t="str">
        <f t="shared" si="7"/>
        <v/>
      </c>
      <c r="N33" s="39" t="str">
        <f t="shared" si="8"/>
        <v>—</v>
      </c>
      <c r="O33" s="31"/>
      <c r="P33" s="31"/>
      <c r="Q33" s="31"/>
      <c r="R33" s="31"/>
      <c r="S33" s="31"/>
      <c r="T33" s="16" t="str">
        <f t="shared" si="9"/>
        <v/>
      </c>
      <c r="U33" s="15" t="str">
        <f t="shared" si="10"/>
        <v/>
      </c>
      <c r="V33" s="40" t="str">
        <f t="shared" si="11"/>
        <v/>
      </c>
      <c r="W33" s="16" t="str">
        <f t="shared" si="12"/>
        <v/>
      </c>
      <c r="X33" s="31"/>
      <c r="Y33" s="31"/>
      <c r="Z33" s="29"/>
      <c r="AA33" s="33"/>
    </row>
    <row r="34" ht="15.75" customHeight="1">
      <c r="A34" s="28">
        <v>46414.0</v>
      </c>
      <c r="B34" s="10" t="str">
        <f t="shared" si="2"/>
        <v>水</v>
      </c>
      <c r="C34" s="29"/>
      <c r="D34" s="11">
        <f t="shared" si="3"/>
        <v>0</v>
      </c>
      <c r="E34" s="29"/>
      <c r="F34" s="29"/>
      <c r="G34" s="29"/>
      <c r="H34" s="29"/>
      <c r="I34" s="11" t="str">
        <f t="shared" si="4"/>
        <v/>
      </c>
      <c r="J34" s="11" t="str">
        <f t="shared" si="5"/>
        <v/>
      </c>
      <c r="K34" s="12" t="str">
        <f t="shared" ref="K34:L34" si="41">IF(I34="","",IFERROR(I34/C34,""))</f>
        <v/>
      </c>
      <c r="L34" s="12" t="str">
        <f t="shared" si="41"/>
        <v/>
      </c>
      <c r="M34" s="11" t="str">
        <f t="shared" si="7"/>
        <v/>
      </c>
      <c r="N34" s="30" t="str">
        <f t="shared" si="8"/>
        <v>—</v>
      </c>
      <c r="O34" s="31"/>
      <c r="P34" s="31"/>
      <c r="Q34" s="31"/>
      <c r="R34" s="31"/>
      <c r="S34" s="31"/>
      <c r="T34" s="12" t="str">
        <f t="shared" si="9"/>
        <v/>
      </c>
      <c r="U34" s="11" t="str">
        <f t="shared" si="10"/>
        <v/>
      </c>
      <c r="V34" s="32" t="str">
        <f t="shared" si="11"/>
        <v/>
      </c>
      <c r="W34" s="12" t="str">
        <f t="shared" si="12"/>
        <v/>
      </c>
      <c r="X34" s="31"/>
      <c r="Y34" s="31"/>
      <c r="Z34" s="29"/>
      <c r="AA34" s="33"/>
    </row>
    <row r="35" ht="15.75" customHeight="1">
      <c r="A35" s="38">
        <v>46415.0</v>
      </c>
      <c r="B35" s="14" t="str">
        <f t="shared" si="2"/>
        <v>木</v>
      </c>
      <c r="C35" s="29"/>
      <c r="D35" s="15">
        <f t="shared" si="3"/>
        <v>0</v>
      </c>
      <c r="E35" s="29"/>
      <c r="F35" s="29"/>
      <c r="G35" s="29"/>
      <c r="H35" s="29"/>
      <c r="I35" s="15" t="str">
        <f t="shared" si="4"/>
        <v/>
      </c>
      <c r="J35" s="15" t="str">
        <f t="shared" si="5"/>
        <v/>
      </c>
      <c r="K35" s="16" t="str">
        <f t="shared" ref="K35:L35" si="42">IF(I35="","",IFERROR(I35/C35,""))</f>
        <v/>
      </c>
      <c r="L35" s="16" t="str">
        <f t="shared" si="42"/>
        <v/>
      </c>
      <c r="M35" s="15" t="str">
        <f t="shared" si="7"/>
        <v/>
      </c>
      <c r="N35" s="39" t="str">
        <f t="shared" si="8"/>
        <v>—</v>
      </c>
      <c r="O35" s="31"/>
      <c r="P35" s="31"/>
      <c r="Q35" s="31"/>
      <c r="R35" s="31"/>
      <c r="S35" s="31"/>
      <c r="T35" s="16" t="str">
        <f t="shared" si="9"/>
        <v/>
      </c>
      <c r="U35" s="15" t="str">
        <f t="shared" si="10"/>
        <v/>
      </c>
      <c r="V35" s="40" t="str">
        <f t="shared" si="11"/>
        <v/>
      </c>
      <c r="W35" s="16" t="str">
        <f t="shared" si="12"/>
        <v/>
      </c>
      <c r="X35" s="31"/>
      <c r="Y35" s="31"/>
      <c r="Z35" s="29"/>
      <c r="AA35" s="33"/>
    </row>
    <row r="36" ht="15.75" customHeight="1">
      <c r="A36" s="28">
        <v>46416.0</v>
      </c>
      <c r="B36" s="10" t="str">
        <f t="shared" si="2"/>
        <v>金</v>
      </c>
      <c r="C36" s="29"/>
      <c r="D36" s="11">
        <f t="shared" si="3"/>
        <v>0</v>
      </c>
      <c r="E36" s="29"/>
      <c r="F36" s="29"/>
      <c r="G36" s="29"/>
      <c r="H36" s="29"/>
      <c r="I36" s="11" t="str">
        <f t="shared" si="4"/>
        <v/>
      </c>
      <c r="J36" s="11" t="str">
        <f t="shared" si="5"/>
        <v/>
      </c>
      <c r="K36" s="12" t="str">
        <f t="shared" ref="K36:L36" si="43">IF(I36="","",IFERROR(I36/C36,""))</f>
        <v/>
      </c>
      <c r="L36" s="12" t="str">
        <f t="shared" si="43"/>
        <v/>
      </c>
      <c r="M36" s="11" t="str">
        <f t="shared" si="7"/>
        <v/>
      </c>
      <c r="N36" s="30" t="str">
        <f t="shared" si="8"/>
        <v>—</v>
      </c>
      <c r="O36" s="31"/>
      <c r="P36" s="31"/>
      <c r="Q36" s="31"/>
      <c r="R36" s="31"/>
      <c r="S36" s="31"/>
      <c r="T36" s="12" t="str">
        <f t="shared" si="9"/>
        <v/>
      </c>
      <c r="U36" s="11" t="str">
        <f t="shared" si="10"/>
        <v/>
      </c>
      <c r="V36" s="32" t="str">
        <f t="shared" si="11"/>
        <v/>
      </c>
      <c r="W36" s="12" t="str">
        <f t="shared" si="12"/>
        <v/>
      </c>
      <c r="X36" s="31"/>
      <c r="Y36" s="31"/>
      <c r="Z36" s="29"/>
      <c r="AA36" s="33"/>
    </row>
    <row r="37" ht="15.75" customHeight="1">
      <c r="A37" s="38">
        <v>46417.0</v>
      </c>
      <c r="B37" s="14" t="str">
        <f t="shared" si="2"/>
        <v>土</v>
      </c>
      <c r="C37" s="29"/>
      <c r="D37" s="15">
        <f t="shared" si="3"/>
        <v>0</v>
      </c>
      <c r="E37" s="29"/>
      <c r="F37" s="29"/>
      <c r="G37" s="29"/>
      <c r="H37" s="29"/>
      <c r="I37" s="15" t="str">
        <f t="shared" si="4"/>
        <v/>
      </c>
      <c r="J37" s="15" t="str">
        <f t="shared" si="5"/>
        <v/>
      </c>
      <c r="K37" s="16" t="str">
        <f t="shared" ref="K37:L37" si="44">IF(I37="","",IFERROR(I37/C37,""))</f>
        <v/>
      </c>
      <c r="L37" s="16" t="str">
        <f t="shared" si="44"/>
        <v/>
      </c>
      <c r="M37" s="15" t="str">
        <f t="shared" si="7"/>
        <v/>
      </c>
      <c r="N37" s="39" t="str">
        <f t="shared" si="8"/>
        <v>—</v>
      </c>
      <c r="O37" s="31"/>
      <c r="P37" s="31"/>
      <c r="Q37" s="31"/>
      <c r="R37" s="31"/>
      <c r="S37" s="31"/>
      <c r="T37" s="16" t="str">
        <f t="shared" si="9"/>
        <v/>
      </c>
      <c r="U37" s="15" t="str">
        <f t="shared" si="10"/>
        <v/>
      </c>
      <c r="V37" s="40" t="str">
        <f t="shared" si="11"/>
        <v/>
      </c>
      <c r="W37" s="16" t="str">
        <f t="shared" si="12"/>
        <v/>
      </c>
      <c r="X37" s="31"/>
      <c r="Y37" s="31"/>
      <c r="Z37" s="29"/>
      <c r="AA37" s="33"/>
    </row>
    <row r="38" ht="15.75" customHeight="1">
      <c r="A38" s="28">
        <v>46418.0</v>
      </c>
      <c r="B38" s="10" t="str">
        <f t="shared" si="2"/>
        <v>日</v>
      </c>
      <c r="C38" s="29"/>
      <c r="D38" s="11">
        <f t="shared" si="3"/>
        <v>0</v>
      </c>
      <c r="E38" s="29"/>
      <c r="F38" s="29"/>
      <c r="G38" s="29"/>
      <c r="H38" s="29"/>
      <c r="I38" s="11" t="str">
        <f t="shared" si="4"/>
        <v/>
      </c>
      <c r="J38" s="11" t="str">
        <f t="shared" si="5"/>
        <v/>
      </c>
      <c r="K38" s="12" t="str">
        <f t="shared" ref="K38:L38" si="45">IF(I38="","",IFERROR(I38/C38,""))</f>
        <v/>
      </c>
      <c r="L38" s="12" t="str">
        <f t="shared" si="45"/>
        <v/>
      </c>
      <c r="M38" s="11" t="str">
        <f t="shared" si="7"/>
        <v/>
      </c>
      <c r="N38" s="30" t="str">
        <f t="shared" si="8"/>
        <v>—</v>
      </c>
      <c r="O38" s="31"/>
      <c r="P38" s="31"/>
      <c r="Q38" s="31"/>
      <c r="R38" s="31"/>
      <c r="S38" s="31"/>
      <c r="T38" s="12" t="str">
        <f t="shared" si="9"/>
        <v/>
      </c>
      <c r="U38" s="11" t="str">
        <f t="shared" si="10"/>
        <v/>
      </c>
      <c r="V38" s="32" t="str">
        <f t="shared" si="11"/>
        <v/>
      </c>
      <c r="W38" s="12" t="str">
        <f t="shared" si="12"/>
        <v/>
      </c>
      <c r="X38" s="31"/>
      <c r="Y38" s="31"/>
      <c r="Z38" s="29"/>
      <c r="AA38" s="33"/>
    </row>
    <row r="39" ht="15.75" customHeight="1">
      <c r="A39" s="44" t="s">
        <v>81</v>
      </c>
      <c r="B39" s="18"/>
      <c r="C39" s="19">
        <f>SUM(C8:C38)</f>
        <v>0</v>
      </c>
      <c r="D39" s="19">
        <f>C39</f>
        <v>0</v>
      </c>
      <c r="E39" s="19">
        <f t="shared" ref="E39:I39" si="46">SUM(E8:E38)</f>
        <v>0</v>
      </c>
      <c r="F39" s="19">
        <f t="shared" si="46"/>
        <v>0</v>
      </c>
      <c r="G39" s="19">
        <f t="shared" si="46"/>
        <v>0</v>
      </c>
      <c r="H39" s="19">
        <f t="shared" si="46"/>
        <v>0</v>
      </c>
      <c r="I39" s="19">
        <f t="shared" si="46"/>
        <v>0</v>
      </c>
      <c r="J39" s="19">
        <f>I39</f>
        <v>0</v>
      </c>
      <c r="K39" s="20" t="str">
        <f>IFERROR(I39/C39,"")</f>
        <v/>
      </c>
      <c r="L39" s="20" t="str">
        <f>IFERROR(I39/C39,"")</f>
        <v/>
      </c>
      <c r="M39" s="19">
        <f>I39-C39</f>
        <v>0</v>
      </c>
      <c r="N39" s="45"/>
      <c r="O39" s="21">
        <f t="shared" ref="O39:S39" si="47">SUM(O8:O38)</f>
        <v>0</v>
      </c>
      <c r="P39" s="21">
        <f t="shared" si="47"/>
        <v>0</v>
      </c>
      <c r="Q39" s="21">
        <f t="shared" si="47"/>
        <v>0</v>
      </c>
      <c r="R39" s="21">
        <f t="shared" si="47"/>
        <v>0</v>
      </c>
      <c r="S39" s="21">
        <f t="shared" si="47"/>
        <v>0</v>
      </c>
      <c r="T39" s="20" t="str">
        <f t="shared" si="9"/>
        <v/>
      </c>
      <c r="U39" s="19" t="str">
        <f t="shared" si="10"/>
        <v/>
      </c>
      <c r="V39" s="46" t="str">
        <f t="shared" si="11"/>
        <v/>
      </c>
      <c r="W39" s="20" t="str">
        <f t="shared" si="12"/>
        <v/>
      </c>
      <c r="X39" s="21">
        <f>SUM(X8:X38)</f>
        <v>0</v>
      </c>
      <c r="Y39" s="21" t="str">
        <f>IFERROR(LOOKUP(9.99E+307,Y8:Y38),"")</f>
        <v/>
      </c>
      <c r="Z39" s="19">
        <f>SUM(Z8:Z38)</f>
        <v>0</v>
      </c>
      <c r="AA39" s="47" t="s">
        <v>82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A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M8:M38">
    <cfRule type="expression" dxfId="0" priority="1">
      <formula>AND($I8&lt;&gt;"",$M8&gt;=0)</formula>
    </cfRule>
  </conditionalFormatting>
  <conditionalFormatting sqref="M8:M38">
    <cfRule type="expression" dxfId="1" priority="2">
      <formula>AND($I8&lt;&gt;"",$M8&lt;0)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0.0"/>
    <col customWidth="1" min="8" max="8" width="11.0"/>
    <col customWidth="1" min="9" max="9" width="12.0"/>
    <col customWidth="1" min="10" max="10" width="13.0"/>
    <col customWidth="1" min="11" max="12" width="9.0"/>
    <col customWidth="1" min="13" max="13" width="13.0"/>
    <col customWidth="1" min="14" max="14" width="11.0"/>
    <col customWidth="1" min="15" max="20" width="8.0"/>
    <col customWidth="1" min="21" max="21" width="11.0"/>
    <col customWidth="1" min="22" max="24" width="8.0"/>
    <col customWidth="1" min="25" max="25" width="10.0"/>
    <col customWidth="1" min="26" max="26" width="9.0"/>
    <col customWidth="1" min="27" max="27" width="28.0"/>
    <col customWidth="1" min="28" max="28" width="3.0"/>
    <col customWidth="1" min="29" max="29" width="5.0"/>
    <col customWidth="1" min="30" max="30" width="13.0"/>
    <col customWidth="1" min="31" max="31" width="12.0"/>
    <col customWidth="1" min="32" max="32" width="9.0"/>
    <col customWidth="1" min="33" max="33" width="11.0"/>
    <col customWidth="1" min="34" max="36" width="9.0"/>
    <col customWidth="1" min="37" max="37" width="8.0"/>
  </cols>
  <sheetData>
    <row r="1" ht="27.75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152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IF('設定'!$B$18="",SUM(C8:C35),'設定'!$B$18)</f>
        <v>12000000</v>
      </c>
      <c r="B4" s="6"/>
      <c r="C4" s="7">
        <f>SUM(I8:I35)</f>
        <v>0</v>
      </c>
      <c r="D4" s="6"/>
      <c r="E4" s="8">
        <f>IFERROR(C4/A4,0)</f>
        <v>0</v>
      </c>
      <c r="F4" s="6"/>
      <c r="G4" s="25">
        <f>COUNTIF(I8:I35,"&gt;0")</f>
        <v>0</v>
      </c>
      <c r="H4" s="6"/>
      <c r="I4" s="7">
        <f>A4-C4</f>
        <v>12000000</v>
      </c>
      <c r="J4" s="6"/>
      <c r="K4" s="7">
        <f>IF((28-G4)&gt;0,(A4-C4)/(28-G4),0)</f>
        <v>428571.4286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SUM(C8:C35)</f>
        <v>0</v>
      </c>
      <c r="B6" s="6"/>
      <c r="C6" s="7">
        <f>IFERROR(C4/G4*28,0)</f>
        <v>0</v>
      </c>
      <c r="D6" s="6"/>
      <c r="E6" s="8">
        <f>IFERROR(O36/Q36,0)</f>
        <v>0</v>
      </c>
      <c r="F6" s="6"/>
      <c r="G6" s="7">
        <f>IFERROR(I36/O36,0)</f>
        <v>0</v>
      </c>
      <c r="H6" s="6"/>
      <c r="I6" s="26">
        <f>IFERROR(P36/O36,0)</f>
        <v>0</v>
      </c>
      <c r="J6" s="6"/>
      <c r="K6" s="8">
        <f>IFERROR(R36/Q36,0)</f>
        <v>0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99</v>
      </c>
      <c r="H7" s="9" t="s">
        <v>153</v>
      </c>
      <c r="I7" s="9" t="s">
        <v>51</v>
      </c>
      <c r="J7" s="9" t="s">
        <v>19</v>
      </c>
      <c r="K7" s="9" t="s">
        <v>52</v>
      </c>
      <c r="L7" s="9" t="s">
        <v>53</v>
      </c>
      <c r="M7" s="9" t="s">
        <v>54</v>
      </c>
      <c r="N7" s="9" t="s">
        <v>55</v>
      </c>
      <c r="O7" s="9" t="s">
        <v>14</v>
      </c>
      <c r="P7" s="9" t="s">
        <v>56</v>
      </c>
      <c r="Q7" s="9" t="s">
        <v>15</v>
      </c>
      <c r="R7" s="9" t="s">
        <v>57</v>
      </c>
      <c r="S7" s="9" t="s">
        <v>58</v>
      </c>
      <c r="T7" s="9" t="s">
        <v>16</v>
      </c>
      <c r="U7" s="9" t="s">
        <v>17</v>
      </c>
      <c r="V7" s="9" t="s">
        <v>43</v>
      </c>
      <c r="W7" s="9" t="s">
        <v>44</v>
      </c>
      <c r="X7" s="9" t="s">
        <v>59</v>
      </c>
      <c r="Y7" s="9" t="s">
        <v>60</v>
      </c>
      <c r="Z7" s="9" t="s">
        <v>61</v>
      </c>
      <c r="AA7" s="9" t="s">
        <v>62</v>
      </c>
      <c r="AC7" s="27" t="s">
        <v>63</v>
      </c>
      <c r="AD7" s="27" t="s">
        <v>64</v>
      </c>
      <c r="AE7" s="27" t="s">
        <v>65</v>
      </c>
      <c r="AF7" s="27" t="s">
        <v>16</v>
      </c>
      <c r="AG7" s="27" t="s">
        <v>17</v>
      </c>
    </row>
    <row r="8">
      <c r="A8" s="28">
        <v>46419.0</v>
      </c>
      <c r="B8" s="10" t="str">
        <f t="shared" ref="B8:B35" si="2">MID("日月火水木金土",WEEKDAY(A8),1)</f>
        <v>月</v>
      </c>
      <c r="C8" s="29"/>
      <c r="D8" s="11">
        <f t="shared" ref="D8:D35" si="3">SUM($C$8:C8)</f>
        <v>0</v>
      </c>
      <c r="E8" s="29"/>
      <c r="F8" s="29"/>
      <c r="G8" s="29"/>
      <c r="H8" s="29"/>
      <c r="I8" s="11" t="str">
        <f t="shared" ref="I8:I35" si="4">IF(COUNT(E8:H8)=0,"",SUM(E8:H8))</f>
        <v/>
      </c>
      <c r="J8" s="11" t="str">
        <f t="shared" ref="J8:J35" si="5">IF(I8="","",SUM($I$8:I8))</f>
        <v/>
      </c>
      <c r="K8" s="12" t="str">
        <f t="shared" ref="K8:L8" si="1">IF(I8="","",IFERROR(I8/C8,""))</f>
        <v/>
      </c>
      <c r="L8" s="12" t="str">
        <f t="shared" si="1"/>
        <v/>
      </c>
      <c r="M8" s="11" t="str">
        <f t="shared" ref="M8:M35" si="7">IF(J8="","",IF(D8=0,"",J8-D8))</f>
        <v/>
      </c>
      <c r="N8" s="30" t="str">
        <f t="shared" ref="N8:N35" si="8">IF(I8="","—",IF(D8=0,"予算未入力",IF(J8&gt;=D8,"◎ ペース内","▲ 遅れ")))</f>
        <v>—</v>
      </c>
      <c r="O8" s="31"/>
      <c r="P8" s="31"/>
      <c r="Q8" s="31"/>
      <c r="R8" s="31"/>
      <c r="S8" s="31"/>
      <c r="T8" s="12" t="str">
        <f t="shared" ref="T8:T36" si="9">IFERROR(O8/Q8,"")</f>
        <v/>
      </c>
      <c r="U8" s="11" t="str">
        <f t="shared" ref="U8:U36" si="10">IFERROR(I8/O8,"")</f>
        <v/>
      </c>
      <c r="V8" s="32" t="str">
        <f t="shared" ref="V8:V36" si="11">IFERROR(P8/O8,"")</f>
        <v/>
      </c>
      <c r="W8" s="12" t="str">
        <f t="shared" ref="W8:W36" si="12">IFERROR(R8/Q8,"")</f>
        <v/>
      </c>
      <c r="X8" s="31"/>
      <c r="Y8" s="31"/>
      <c r="Z8" s="29"/>
      <c r="AA8" s="33"/>
      <c r="AC8" s="34" t="s">
        <v>7</v>
      </c>
      <c r="AD8" s="35">
        <f t="shared" ref="AD8:AD14" si="13">IFERROR(AVERAGEIFS($I$8:$I$35,$B$8:$B$35,AC8,$I$8:$I$35,"&gt;0"),0)</f>
        <v>0</v>
      </c>
      <c r="AE8" s="36">
        <f t="shared" ref="AE8:AE14" si="14">COUNTIFS($B$8:$B$35,AC8,$I$8:$I$35,"&gt;0")</f>
        <v>0</v>
      </c>
      <c r="AF8" s="37">
        <f t="shared" ref="AF8:AF14" si="15">IFERROR(SUMIF($B$8:$B$35,AC8,$O$8:$O$35)/SUMIF($B$8:$B$35,AC8,$Q$8:$Q$35),0)</f>
        <v>0</v>
      </c>
      <c r="AG8" s="35">
        <f t="shared" ref="AG8:AG14" si="16">IFERROR(SUMIF($B$8:$B$35,AC8,$I$8:$I$35)/SUMIF($B$8:$B$35,AC8,$O$8:$O$35),0)</f>
        <v>0</v>
      </c>
    </row>
    <row r="9">
      <c r="A9" s="38">
        <v>46420.0</v>
      </c>
      <c r="B9" s="14" t="str">
        <f t="shared" si="2"/>
        <v>火</v>
      </c>
      <c r="C9" s="29"/>
      <c r="D9" s="15">
        <f t="shared" si="3"/>
        <v>0</v>
      </c>
      <c r="E9" s="29"/>
      <c r="F9" s="29"/>
      <c r="G9" s="29"/>
      <c r="H9" s="29"/>
      <c r="I9" s="15" t="str">
        <f t="shared" si="4"/>
        <v/>
      </c>
      <c r="J9" s="15" t="str">
        <f t="shared" si="5"/>
        <v/>
      </c>
      <c r="K9" s="16" t="str">
        <f t="shared" ref="K9:L9" si="6">IF(I9="","",IFERROR(I9/C9,""))</f>
        <v/>
      </c>
      <c r="L9" s="16" t="str">
        <f t="shared" si="6"/>
        <v/>
      </c>
      <c r="M9" s="15" t="str">
        <f t="shared" si="7"/>
        <v/>
      </c>
      <c r="N9" s="39" t="str">
        <f t="shared" si="8"/>
        <v>—</v>
      </c>
      <c r="O9" s="31"/>
      <c r="P9" s="31"/>
      <c r="Q9" s="31"/>
      <c r="R9" s="31"/>
      <c r="S9" s="31"/>
      <c r="T9" s="16" t="str">
        <f t="shared" si="9"/>
        <v/>
      </c>
      <c r="U9" s="15" t="str">
        <f t="shared" si="10"/>
        <v/>
      </c>
      <c r="V9" s="40" t="str">
        <f t="shared" si="11"/>
        <v/>
      </c>
      <c r="W9" s="16" t="str">
        <f t="shared" si="12"/>
        <v/>
      </c>
      <c r="X9" s="31"/>
      <c r="Y9" s="31"/>
      <c r="Z9" s="29"/>
      <c r="AA9" s="33"/>
      <c r="AC9" s="34" t="s">
        <v>66</v>
      </c>
      <c r="AD9" s="35">
        <f t="shared" si="13"/>
        <v>0</v>
      </c>
      <c r="AE9" s="36">
        <f t="shared" si="14"/>
        <v>0</v>
      </c>
      <c r="AF9" s="37">
        <f t="shared" si="15"/>
        <v>0</v>
      </c>
      <c r="AG9" s="35">
        <f t="shared" si="16"/>
        <v>0</v>
      </c>
    </row>
    <row r="10">
      <c r="A10" s="28">
        <v>46421.0</v>
      </c>
      <c r="B10" s="10" t="str">
        <f t="shared" si="2"/>
        <v>水</v>
      </c>
      <c r="C10" s="29"/>
      <c r="D10" s="11">
        <f t="shared" si="3"/>
        <v>0</v>
      </c>
      <c r="E10" s="29"/>
      <c r="F10" s="29"/>
      <c r="G10" s="29"/>
      <c r="H10" s="29"/>
      <c r="I10" s="11" t="str">
        <f t="shared" si="4"/>
        <v/>
      </c>
      <c r="J10" s="11" t="str">
        <f t="shared" si="5"/>
        <v/>
      </c>
      <c r="K10" s="12" t="str">
        <f t="shared" ref="K10:L10" si="17">IF(I10="","",IFERROR(I10/C10,""))</f>
        <v/>
      </c>
      <c r="L10" s="12" t="str">
        <f t="shared" si="17"/>
        <v/>
      </c>
      <c r="M10" s="11" t="str">
        <f t="shared" si="7"/>
        <v/>
      </c>
      <c r="N10" s="30" t="str">
        <f t="shared" si="8"/>
        <v>—</v>
      </c>
      <c r="O10" s="31"/>
      <c r="P10" s="31"/>
      <c r="Q10" s="31"/>
      <c r="R10" s="31"/>
      <c r="S10" s="31"/>
      <c r="T10" s="12" t="str">
        <f t="shared" si="9"/>
        <v/>
      </c>
      <c r="U10" s="11" t="str">
        <f t="shared" si="10"/>
        <v/>
      </c>
      <c r="V10" s="32" t="str">
        <f t="shared" si="11"/>
        <v/>
      </c>
      <c r="W10" s="12" t="str">
        <f t="shared" si="12"/>
        <v/>
      </c>
      <c r="X10" s="31"/>
      <c r="Y10" s="31"/>
      <c r="Z10" s="29"/>
      <c r="AA10" s="33"/>
      <c r="AC10" s="34" t="s">
        <v>67</v>
      </c>
      <c r="AD10" s="35">
        <f t="shared" si="13"/>
        <v>0</v>
      </c>
      <c r="AE10" s="36">
        <f t="shared" si="14"/>
        <v>0</v>
      </c>
      <c r="AF10" s="37">
        <f t="shared" si="15"/>
        <v>0</v>
      </c>
      <c r="AG10" s="35">
        <f t="shared" si="16"/>
        <v>0</v>
      </c>
    </row>
    <row r="11">
      <c r="A11" s="38">
        <v>46422.0</v>
      </c>
      <c r="B11" s="14" t="str">
        <f t="shared" si="2"/>
        <v>木</v>
      </c>
      <c r="C11" s="29"/>
      <c r="D11" s="15">
        <f t="shared" si="3"/>
        <v>0</v>
      </c>
      <c r="E11" s="29"/>
      <c r="F11" s="29"/>
      <c r="G11" s="29"/>
      <c r="H11" s="29"/>
      <c r="I11" s="15" t="str">
        <f t="shared" si="4"/>
        <v/>
      </c>
      <c r="J11" s="15" t="str">
        <f t="shared" si="5"/>
        <v/>
      </c>
      <c r="K11" s="16" t="str">
        <f t="shared" ref="K11:L11" si="18">IF(I11="","",IFERROR(I11/C11,""))</f>
        <v/>
      </c>
      <c r="L11" s="16" t="str">
        <f t="shared" si="18"/>
        <v/>
      </c>
      <c r="M11" s="15" t="str">
        <f t="shared" si="7"/>
        <v/>
      </c>
      <c r="N11" s="39" t="str">
        <f t="shared" si="8"/>
        <v>—</v>
      </c>
      <c r="O11" s="31"/>
      <c r="P11" s="31"/>
      <c r="Q11" s="31"/>
      <c r="R11" s="31"/>
      <c r="S11" s="31"/>
      <c r="T11" s="16" t="str">
        <f t="shared" si="9"/>
        <v/>
      </c>
      <c r="U11" s="15" t="str">
        <f t="shared" si="10"/>
        <v/>
      </c>
      <c r="V11" s="40" t="str">
        <f t="shared" si="11"/>
        <v/>
      </c>
      <c r="W11" s="16" t="str">
        <f t="shared" si="12"/>
        <v/>
      </c>
      <c r="X11" s="31"/>
      <c r="Y11" s="31"/>
      <c r="Z11" s="29"/>
      <c r="AA11" s="33"/>
      <c r="AC11" s="34" t="s">
        <v>68</v>
      </c>
      <c r="AD11" s="35">
        <f t="shared" si="13"/>
        <v>0</v>
      </c>
      <c r="AE11" s="36">
        <f t="shared" si="14"/>
        <v>0</v>
      </c>
      <c r="AF11" s="37">
        <f t="shared" si="15"/>
        <v>0</v>
      </c>
      <c r="AG11" s="35">
        <f t="shared" si="16"/>
        <v>0</v>
      </c>
    </row>
    <row r="12">
      <c r="A12" s="28">
        <v>46423.0</v>
      </c>
      <c r="B12" s="10" t="str">
        <f t="shared" si="2"/>
        <v>金</v>
      </c>
      <c r="C12" s="29"/>
      <c r="D12" s="11">
        <f t="shared" si="3"/>
        <v>0</v>
      </c>
      <c r="E12" s="29"/>
      <c r="F12" s="29"/>
      <c r="G12" s="29"/>
      <c r="H12" s="29"/>
      <c r="I12" s="11" t="str">
        <f t="shared" si="4"/>
        <v/>
      </c>
      <c r="J12" s="11" t="str">
        <f t="shared" si="5"/>
        <v/>
      </c>
      <c r="K12" s="12" t="str">
        <f t="shared" ref="K12:L12" si="19">IF(I12="","",IFERROR(I12/C12,""))</f>
        <v/>
      </c>
      <c r="L12" s="12" t="str">
        <f t="shared" si="19"/>
        <v/>
      </c>
      <c r="M12" s="11" t="str">
        <f t="shared" si="7"/>
        <v/>
      </c>
      <c r="N12" s="30" t="str">
        <f t="shared" si="8"/>
        <v>—</v>
      </c>
      <c r="O12" s="31"/>
      <c r="P12" s="31"/>
      <c r="Q12" s="31"/>
      <c r="R12" s="31"/>
      <c r="S12" s="31"/>
      <c r="T12" s="12" t="str">
        <f t="shared" si="9"/>
        <v/>
      </c>
      <c r="U12" s="11" t="str">
        <f t="shared" si="10"/>
        <v/>
      </c>
      <c r="V12" s="32" t="str">
        <f t="shared" si="11"/>
        <v/>
      </c>
      <c r="W12" s="12" t="str">
        <f t="shared" si="12"/>
        <v/>
      </c>
      <c r="X12" s="31"/>
      <c r="Y12" s="31"/>
      <c r="Z12" s="29"/>
      <c r="AA12" s="33"/>
      <c r="AC12" s="34" t="s">
        <v>69</v>
      </c>
      <c r="AD12" s="35">
        <f t="shared" si="13"/>
        <v>0</v>
      </c>
      <c r="AE12" s="36">
        <f t="shared" si="14"/>
        <v>0</v>
      </c>
      <c r="AF12" s="37">
        <f t="shared" si="15"/>
        <v>0</v>
      </c>
      <c r="AG12" s="35">
        <f t="shared" si="16"/>
        <v>0</v>
      </c>
    </row>
    <row r="13">
      <c r="A13" s="38">
        <v>46424.0</v>
      </c>
      <c r="B13" s="14" t="str">
        <f t="shared" si="2"/>
        <v>土</v>
      </c>
      <c r="C13" s="29"/>
      <c r="D13" s="15">
        <f t="shared" si="3"/>
        <v>0</v>
      </c>
      <c r="E13" s="29"/>
      <c r="F13" s="29"/>
      <c r="G13" s="29"/>
      <c r="H13" s="29"/>
      <c r="I13" s="15" t="str">
        <f t="shared" si="4"/>
        <v/>
      </c>
      <c r="J13" s="15" t="str">
        <f t="shared" si="5"/>
        <v/>
      </c>
      <c r="K13" s="16" t="str">
        <f t="shared" ref="K13:L13" si="20">IF(I13="","",IFERROR(I13/C13,""))</f>
        <v/>
      </c>
      <c r="L13" s="16" t="str">
        <f t="shared" si="20"/>
        <v/>
      </c>
      <c r="M13" s="15" t="str">
        <f t="shared" si="7"/>
        <v/>
      </c>
      <c r="N13" s="39" t="str">
        <f t="shared" si="8"/>
        <v>—</v>
      </c>
      <c r="O13" s="31"/>
      <c r="P13" s="31"/>
      <c r="Q13" s="31"/>
      <c r="R13" s="31"/>
      <c r="S13" s="31"/>
      <c r="T13" s="16" t="str">
        <f t="shared" si="9"/>
        <v/>
      </c>
      <c r="U13" s="15" t="str">
        <f t="shared" si="10"/>
        <v/>
      </c>
      <c r="V13" s="40" t="str">
        <f t="shared" si="11"/>
        <v/>
      </c>
      <c r="W13" s="16" t="str">
        <f t="shared" si="12"/>
        <v/>
      </c>
      <c r="X13" s="31"/>
      <c r="Y13" s="31"/>
      <c r="Z13" s="29"/>
      <c r="AA13" s="33"/>
      <c r="AC13" s="34" t="s">
        <v>70</v>
      </c>
      <c r="AD13" s="35">
        <f t="shared" si="13"/>
        <v>0</v>
      </c>
      <c r="AE13" s="36">
        <f t="shared" si="14"/>
        <v>0</v>
      </c>
      <c r="AF13" s="37">
        <f t="shared" si="15"/>
        <v>0</v>
      </c>
      <c r="AG13" s="35">
        <f t="shared" si="16"/>
        <v>0</v>
      </c>
    </row>
    <row r="14">
      <c r="A14" s="28">
        <v>46425.0</v>
      </c>
      <c r="B14" s="10" t="str">
        <f t="shared" si="2"/>
        <v>日</v>
      </c>
      <c r="C14" s="29"/>
      <c r="D14" s="11">
        <f t="shared" si="3"/>
        <v>0</v>
      </c>
      <c r="E14" s="29"/>
      <c r="F14" s="29"/>
      <c r="G14" s="29"/>
      <c r="H14" s="29"/>
      <c r="I14" s="11" t="str">
        <f t="shared" si="4"/>
        <v/>
      </c>
      <c r="J14" s="11" t="str">
        <f t="shared" si="5"/>
        <v/>
      </c>
      <c r="K14" s="12" t="str">
        <f t="shared" ref="K14:L14" si="21">IF(I14="","",IFERROR(I14/C14,""))</f>
        <v/>
      </c>
      <c r="L14" s="12" t="str">
        <f t="shared" si="21"/>
        <v/>
      </c>
      <c r="M14" s="11" t="str">
        <f t="shared" si="7"/>
        <v/>
      </c>
      <c r="N14" s="30" t="str">
        <f t="shared" si="8"/>
        <v>—</v>
      </c>
      <c r="O14" s="31"/>
      <c r="P14" s="31"/>
      <c r="Q14" s="31"/>
      <c r="R14" s="31"/>
      <c r="S14" s="31"/>
      <c r="T14" s="12" t="str">
        <f t="shared" si="9"/>
        <v/>
      </c>
      <c r="U14" s="11" t="str">
        <f t="shared" si="10"/>
        <v/>
      </c>
      <c r="V14" s="32" t="str">
        <f t="shared" si="11"/>
        <v/>
      </c>
      <c r="W14" s="12" t="str">
        <f t="shared" si="12"/>
        <v/>
      </c>
      <c r="X14" s="31"/>
      <c r="Y14" s="31"/>
      <c r="Z14" s="29"/>
      <c r="AA14" s="33"/>
      <c r="AC14" s="34" t="s">
        <v>71</v>
      </c>
      <c r="AD14" s="35">
        <f t="shared" si="13"/>
        <v>0</v>
      </c>
      <c r="AE14" s="36">
        <f t="shared" si="14"/>
        <v>0</v>
      </c>
      <c r="AF14" s="37">
        <f t="shared" si="15"/>
        <v>0</v>
      </c>
      <c r="AG14" s="35">
        <f t="shared" si="16"/>
        <v>0</v>
      </c>
    </row>
    <row r="15">
      <c r="A15" s="38">
        <v>46426.0</v>
      </c>
      <c r="B15" s="14" t="str">
        <f t="shared" si="2"/>
        <v>月</v>
      </c>
      <c r="C15" s="29"/>
      <c r="D15" s="15">
        <f t="shared" si="3"/>
        <v>0</v>
      </c>
      <c r="E15" s="29"/>
      <c r="F15" s="29"/>
      <c r="G15" s="29"/>
      <c r="H15" s="29"/>
      <c r="I15" s="15" t="str">
        <f t="shared" si="4"/>
        <v/>
      </c>
      <c r="J15" s="15" t="str">
        <f t="shared" si="5"/>
        <v/>
      </c>
      <c r="K15" s="16" t="str">
        <f t="shared" ref="K15:L15" si="22">IF(I15="","",IFERROR(I15/C15,""))</f>
        <v/>
      </c>
      <c r="L15" s="16" t="str">
        <f t="shared" si="22"/>
        <v/>
      </c>
      <c r="M15" s="15" t="str">
        <f t="shared" si="7"/>
        <v/>
      </c>
      <c r="N15" s="39" t="str">
        <f t="shared" si="8"/>
        <v>—</v>
      </c>
      <c r="O15" s="31"/>
      <c r="P15" s="31"/>
      <c r="Q15" s="31"/>
      <c r="R15" s="31"/>
      <c r="S15" s="31"/>
      <c r="T15" s="16" t="str">
        <f t="shared" si="9"/>
        <v/>
      </c>
      <c r="U15" s="15" t="str">
        <f t="shared" si="10"/>
        <v/>
      </c>
      <c r="V15" s="40" t="str">
        <f t="shared" si="11"/>
        <v/>
      </c>
      <c r="W15" s="16" t="str">
        <f t="shared" si="12"/>
        <v/>
      </c>
      <c r="X15" s="31"/>
      <c r="Y15" s="31"/>
      <c r="Z15" s="29"/>
      <c r="AA15" s="33"/>
    </row>
    <row r="16">
      <c r="A16" s="28">
        <v>46427.0</v>
      </c>
      <c r="B16" s="10" t="str">
        <f t="shared" si="2"/>
        <v>火</v>
      </c>
      <c r="C16" s="29"/>
      <c r="D16" s="11">
        <f t="shared" si="3"/>
        <v>0</v>
      </c>
      <c r="E16" s="29"/>
      <c r="F16" s="29"/>
      <c r="G16" s="29"/>
      <c r="H16" s="29"/>
      <c r="I16" s="11" t="str">
        <f t="shared" si="4"/>
        <v/>
      </c>
      <c r="J16" s="11" t="str">
        <f t="shared" si="5"/>
        <v/>
      </c>
      <c r="K16" s="12" t="str">
        <f t="shared" ref="K16:L16" si="23">IF(I16="","",IFERROR(I16/C16,""))</f>
        <v/>
      </c>
      <c r="L16" s="12" t="str">
        <f t="shared" si="23"/>
        <v/>
      </c>
      <c r="M16" s="11" t="str">
        <f t="shared" si="7"/>
        <v/>
      </c>
      <c r="N16" s="30" t="str">
        <f t="shared" si="8"/>
        <v>—</v>
      </c>
      <c r="O16" s="31"/>
      <c r="P16" s="31"/>
      <c r="Q16" s="31"/>
      <c r="R16" s="31"/>
      <c r="S16" s="31"/>
      <c r="T16" s="12" t="str">
        <f t="shared" si="9"/>
        <v/>
      </c>
      <c r="U16" s="11" t="str">
        <f t="shared" si="10"/>
        <v/>
      </c>
      <c r="V16" s="32" t="str">
        <f t="shared" si="11"/>
        <v/>
      </c>
      <c r="W16" s="12" t="str">
        <f t="shared" si="12"/>
        <v/>
      </c>
      <c r="X16" s="31"/>
      <c r="Y16" s="31"/>
      <c r="Z16" s="29"/>
      <c r="AA16" s="33"/>
      <c r="AC16" s="22" t="s">
        <v>72</v>
      </c>
    </row>
    <row r="17">
      <c r="A17" s="38">
        <v>46428.0</v>
      </c>
      <c r="B17" s="14" t="str">
        <f t="shared" si="2"/>
        <v>水</v>
      </c>
      <c r="C17" s="29"/>
      <c r="D17" s="15">
        <f t="shared" si="3"/>
        <v>0</v>
      </c>
      <c r="E17" s="29"/>
      <c r="F17" s="29"/>
      <c r="G17" s="29"/>
      <c r="H17" s="29"/>
      <c r="I17" s="15" t="str">
        <f t="shared" si="4"/>
        <v/>
      </c>
      <c r="J17" s="15" t="str">
        <f t="shared" si="5"/>
        <v/>
      </c>
      <c r="K17" s="16" t="str">
        <f t="shared" ref="K17:L17" si="24">IF(I17="","",IFERROR(I17/C17,""))</f>
        <v/>
      </c>
      <c r="L17" s="16" t="str">
        <f t="shared" si="24"/>
        <v/>
      </c>
      <c r="M17" s="15" t="str">
        <f t="shared" si="7"/>
        <v/>
      </c>
      <c r="N17" s="39" t="str">
        <f t="shared" si="8"/>
        <v>—</v>
      </c>
      <c r="O17" s="31"/>
      <c r="P17" s="31"/>
      <c r="Q17" s="31"/>
      <c r="R17" s="31"/>
      <c r="S17" s="31"/>
      <c r="T17" s="16" t="str">
        <f t="shared" si="9"/>
        <v/>
      </c>
      <c r="U17" s="15" t="str">
        <f t="shared" si="10"/>
        <v/>
      </c>
      <c r="V17" s="40" t="str">
        <f t="shared" si="11"/>
        <v/>
      </c>
      <c r="W17" s="16" t="str">
        <f t="shared" si="12"/>
        <v/>
      </c>
      <c r="X17" s="31"/>
      <c r="Y17" s="31"/>
      <c r="Z17" s="29"/>
      <c r="AA17" s="33"/>
    </row>
    <row r="18">
      <c r="A18" s="28">
        <v>46429.0</v>
      </c>
      <c r="B18" s="10" t="str">
        <f t="shared" si="2"/>
        <v>木</v>
      </c>
      <c r="C18" s="29"/>
      <c r="D18" s="11">
        <f t="shared" si="3"/>
        <v>0</v>
      </c>
      <c r="E18" s="29"/>
      <c r="F18" s="29"/>
      <c r="G18" s="29"/>
      <c r="H18" s="29"/>
      <c r="I18" s="11" t="str">
        <f t="shared" si="4"/>
        <v/>
      </c>
      <c r="J18" s="11" t="str">
        <f t="shared" si="5"/>
        <v/>
      </c>
      <c r="K18" s="12" t="str">
        <f t="shared" ref="K18:L18" si="25">IF(I18="","",IFERROR(I18/C18,""))</f>
        <v/>
      </c>
      <c r="L18" s="12" t="str">
        <f t="shared" si="25"/>
        <v/>
      </c>
      <c r="M18" s="11" t="str">
        <f t="shared" si="7"/>
        <v/>
      </c>
      <c r="N18" s="30" t="str">
        <f t="shared" si="8"/>
        <v>—</v>
      </c>
      <c r="O18" s="31"/>
      <c r="P18" s="31"/>
      <c r="Q18" s="31"/>
      <c r="R18" s="31"/>
      <c r="S18" s="31"/>
      <c r="T18" s="12" t="str">
        <f t="shared" si="9"/>
        <v/>
      </c>
      <c r="U18" s="11" t="str">
        <f t="shared" si="10"/>
        <v/>
      </c>
      <c r="V18" s="32" t="str">
        <f t="shared" si="11"/>
        <v/>
      </c>
      <c r="W18" s="12" t="str">
        <f t="shared" si="12"/>
        <v/>
      </c>
      <c r="X18" s="31"/>
      <c r="Y18" s="31"/>
      <c r="Z18" s="29"/>
      <c r="AA18" s="33"/>
      <c r="AC18" s="23" t="s">
        <v>209</v>
      </c>
      <c r="AJ18" s="22" t="s">
        <v>154</v>
      </c>
      <c r="AK18" s="41">
        <f>$A$8+MOD(1-WEEKDAY($A$8,2)+7,7)</f>
        <v>46420</v>
      </c>
    </row>
    <row r="19">
      <c r="A19" s="38">
        <v>46430.0</v>
      </c>
      <c r="B19" s="14" t="str">
        <f t="shared" si="2"/>
        <v>金</v>
      </c>
      <c r="C19" s="29"/>
      <c r="D19" s="15">
        <f t="shared" si="3"/>
        <v>0</v>
      </c>
      <c r="E19" s="29"/>
      <c r="F19" s="29"/>
      <c r="G19" s="29"/>
      <c r="H19" s="29"/>
      <c r="I19" s="15" t="str">
        <f t="shared" si="4"/>
        <v/>
      </c>
      <c r="J19" s="15" t="str">
        <f t="shared" si="5"/>
        <v/>
      </c>
      <c r="K19" s="16" t="str">
        <f t="shared" ref="K19:L19" si="26">IF(I19="","",IFERROR(I19/C19,""))</f>
        <v/>
      </c>
      <c r="L19" s="16" t="str">
        <f t="shared" si="26"/>
        <v/>
      </c>
      <c r="M19" s="15" t="str">
        <f t="shared" si="7"/>
        <v/>
      </c>
      <c r="N19" s="39" t="str">
        <f t="shared" si="8"/>
        <v>—</v>
      </c>
      <c r="O19" s="31"/>
      <c r="P19" s="31"/>
      <c r="Q19" s="31"/>
      <c r="R19" s="31"/>
      <c r="S19" s="31"/>
      <c r="T19" s="16" t="str">
        <f t="shared" si="9"/>
        <v/>
      </c>
      <c r="U19" s="15" t="str">
        <f t="shared" si="10"/>
        <v/>
      </c>
      <c r="V19" s="40" t="str">
        <f t="shared" si="11"/>
        <v/>
      </c>
      <c r="W19" s="16" t="str">
        <f t="shared" si="12"/>
        <v/>
      </c>
      <c r="X19" s="31"/>
      <c r="Y19" s="31"/>
      <c r="Z19" s="29"/>
      <c r="AA19" s="33"/>
      <c r="AC19" s="27" t="s">
        <v>75</v>
      </c>
      <c r="AD19" s="27" t="s">
        <v>76</v>
      </c>
      <c r="AE19" s="27" t="s">
        <v>77</v>
      </c>
      <c r="AF19" s="27" t="s">
        <v>16</v>
      </c>
      <c r="AG19" s="27" t="s">
        <v>17</v>
      </c>
      <c r="AH19" s="27" t="s">
        <v>43</v>
      </c>
      <c r="AI19" s="27" t="s">
        <v>44</v>
      </c>
    </row>
    <row r="20">
      <c r="A20" s="28">
        <v>46431.0</v>
      </c>
      <c r="B20" s="10" t="str">
        <f t="shared" si="2"/>
        <v>土</v>
      </c>
      <c r="C20" s="29"/>
      <c r="D20" s="11">
        <f t="shared" si="3"/>
        <v>0</v>
      </c>
      <c r="E20" s="29"/>
      <c r="F20" s="29"/>
      <c r="G20" s="29"/>
      <c r="H20" s="29"/>
      <c r="I20" s="11" t="str">
        <f t="shared" si="4"/>
        <v/>
      </c>
      <c r="J20" s="11" t="str">
        <f t="shared" si="5"/>
        <v/>
      </c>
      <c r="K20" s="12" t="str">
        <f t="shared" ref="K20:L20" si="27">IF(I20="","",IFERROR(I20/C20,""))</f>
        <v/>
      </c>
      <c r="L20" s="12" t="str">
        <f t="shared" si="27"/>
        <v/>
      </c>
      <c r="M20" s="11" t="str">
        <f t="shared" si="7"/>
        <v/>
      </c>
      <c r="N20" s="30" t="str">
        <f t="shared" si="8"/>
        <v>—</v>
      </c>
      <c r="O20" s="31"/>
      <c r="P20" s="31"/>
      <c r="Q20" s="31"/>
      <c r="R20" s="31"/>
      <c r="S20" s="31"/>
      <c r="T20" s="12" t="str">
        <f t="shared" si="9"/>
        <v/>
      </c>
      <c r="U20" s="11" t="str">
        <f t="shared" si="10"/>
        <v/>
      </c>
      <c r="V20" s="32" t="str">
        <f t="shared" si="11"/>
        <v/>
      </c>
      <c r="W20" s="12" t="str">
        <f t="shared" si="12"/>
        <v/>
      </c>
      <c r="X20" s="31"/>
      <c r="Y20" s="31"/>
      <c r="Z20" s="29"/>
      <c r="AA20" s="33"/>
      <c r="AC20" s="36">
        <v>1.0</v>
      </c>
      <c r="AD20" s="42" t="str">
        <f>IF($AK$18+7*(1-1)&gt;$A$35,"",TEXT($AK$18+7*(1-1),"m/d")&amp;"-"&amp;TEXT($AK$18+7*(1-1)+6,"m/d"))</f>
        <v>2/2-2/8</v>
      </c>
      <c r="AE20" s="35">
        <f>IF($AD20="","",(SUMIFS($I$8:$I$35,$A$8:$A$35,"&gt;="&amp;$AK$18+7*(1-1),$A$8:$A$35,"&lt;="&amp;$AK$18+7*(1-1)+6)+SUMIFS('2027年03月'!$I$8:$I$38,'2027年03月'!$A$8:$A$38,"&gt;="&amp;$AK$18+7*(1-1),'2027年03月'!$A$8:$A$38,"&lt;="&amp;$AK$18+7*(1-1)+6)))</f>
        <v>0</v>
      </c>
      <c r="AF20" s="37" t="str">
        <f>IF($AD20="","",IFERROR((SUMIFS($O$8:$O$35,$A$8:$A$35,"&gt;="&amp;$AK$18+7*(1-1),$A$8:$A$35,"&lt;="&amp;$AK$18+7*(1-1)+6)+SUMIFS('2027年03月'!$O$8:$O$38,'2027年03月'!$A$8:$A$38,"&gt;="&amp;$AK$18+7*(1-1),'2027年03月'!$A$8:$A$38,"&lt;="&amp;$AK$18+7*(1-1)+6))/(SUMIFS($Q$8:$Q$35,$A$8:$A$35,"&gt;="&amp;$AK$18+7*(1-1),$A$8:$A$35,"&lt;="&amp;$AK$18+7*(1-1)+6)+SUMIFS('2027年03月'!$Q$8:$Q$38,'2027年03月'!$A$8:$A$38,"&gt;="&amp;$AK$18+7*(1-1),'2027年03月'!$A$8:$A$38,"&lt;="&amp;$AK$18+7*(1-1)+6)),""))</f>
        <v/>
      </c>
      <c r="AG20" s="35" t="str">
        <f>IF($AD20="","",IFERROR((SUMIFS($I$8:$I$35,$A$8:$A$35,"&gt;="&amp;$AK$18+7*(1-1),$A$8:$A$35,"&lt;="&amp;$AK$18+7*(1-1)+6)+SUMIFS('2027年03月'!$I$8:$I$38,'2027年03月'!$A$8:$A$38,"&gt;="&amp;$AK$18+7*(1-1),'2027年03月'!$A$8:$A$38,"&lt;="&amp;$AK$18+7*(1-1)+6))/(SUMIFS($O$8:$O$35,$A$8:$A$35,"&gt;="&amp;$AK$18+7*(1-1),$A$8:$A$35,"&lt;="&amp;$AK$18+7*(1-1)+6)+SUMIFS('2027年03月'!$O$8:$O$38,'2027年03月'!$A$8:$A$38,"&gt;="&amp;$AK$18+7*(1-1),'2027年03月'!$A$8:$A$38,"&lt;="&amp;$AK$18+7*(1-1)+6)),""))</f>
        <v/>
      </c>
      <c r="AH20" s="43" t="str">
        <f>IF($AD20="","",IFERROR((SUMIFS($P$8:$P$35,$A$8:$A$35,"&gt;="&amp;$AK$18+7*(1-1),$A$8:$A$35,"&lt;="&amp;$AK$18+7*(1-1)+6)+SUMIFS('2027年03月'!$P$8:$P$38,'2027年03月'!$A$8:$A$38,"&gt;="&amp;$AK$18+7*(1-1),'2027年03月'!$A$8:$A$38,"&lt;="&amp;$AK$18+7*(1-1)+6))/(SUMIFS($O$8:$O$35,$A$8:$A$35,"&gt;="&amp;$AK$18+7*(1-1),$A$8:$A$35,"&lt;="&amp;$AK$18+7*(1-1)+6)+SUMIFS('2027年03月'!$O$8:$O$38,'2027年03月'!$A$8:$A$38,"&gt;="&amp;$AK$18+7*(1-1),'2027年03月'!$A$8:$A$38,"&lt;="&amp;$AK$18+7*(1-1)+6)),""))</f>
        <v/>
      </c>
      <c r="AI20" s="37" t="str">
        <f>IF($AD20="","",IFERROR((SUMIFS($R$8:$R$35,$A$8:$A$35,"&gt;="&amp;$AK$18+7*(1-1),$A$8:$A$35,"&lt;="&amp;$AK$18+7*(1-1)+6)+SUMIFS('2027年03月'!$R$8:$R$38,'2027年03月'!$A$8:$A$38,"&gt;="&amp;$AK$18+7*(1-1),'2027年03月'!$A$8:$A$38,"&lt;="&amp;$AK$18+7*(1-1)+6))/(SUMIFS($Q$8:$Q$35,$A$8:$A$35,"&gt;="&amp;$AK$18+7*(1-1),$A$8:$A$35,"&lt;="&amp;$AK$18+7*(1-1)+6)+SUMIFS('2027年03月'!$Q$8:$Q$38,'2027年03月'!$A$8:$A$38,"&gt;="&amp;$AK$18+7*(1-1),'2027年03月'!$A$8:$A$38,"&lt;="&amp;$AK$18+7*(1-1)+6)),""))</f>
        <v/>
      </c>
    </row>
    <row r="21" ht="15.75" customHeight="1">
      <c r="A21" s="38">
        <v>46432.0</v>
      </c>
      <c r="B21" s="14" t="str">
        <f t="shared" si="2"/>
        <v>日</v>
      </c>
      <c r="C21" s="29"/>
      <c r="D21" s="15">
        <f t="shared" si="3"/>
        <v>0</v>
      </c>
      <c r="E21" s="29"/>
      <c r="F21" s="29"/>
      <c r="G21" s="29"/>
      <c r="H21" s="29"/>
      <c r="I21" s="15" t="str">
        <f t="shared" si="4"/>
        <v/>
      </c>
      <c r="J21" s="15" t="str">
        <f t="shared" si="5"/>
        <v/>
      </c>
      <c r="K21" s="16" t="str">
        <f t="shared" ref="K21:L21" si="28">IF(I21="","",IFERROR(I21/C21,""))</f>
        <v/>
      </c>
      <c r="L21" s="16" t="str">
        <f t="shared" si="28"/>
        <v/>
      </c>
      <c r="M21" s="15" t="str">
        <f t="shared" si="7"/>
        <v/>
      </c>
      <c r="N21" s="39" t="str">
        <f t="shared" si="8"/>
        <v>—</v>
      </c>
      <c r="O21" s="31"/>
      <c r="P21" s="31"/>
      <c r="Q21" s="31"/>
      <c r="R21" s="31"/>
      <c r="S21" s="31"/>
      <c r="T21" s="16" t="str">
        <f t="shared" si="9"/>
        <v/>
      </c>
      <c r="U21" s="15" t="str">
        <f t="shared" si="10"/>
        <v/>
      </c>
      <c r="V21" s="40" t="str">
        <f t="shared" si="11"/>
        <v/>
      </c>
      <c r="W21" s="16" t="str">
        <f t="shared" si="12"/>
        <v/>
      </c>
      <c r="X21" s="31"/>
      <c r="Y21" s="31"/>
      <c r="Z21" s="29"/>
      <c r="AA21" s="33"/>
      <c r="AC21" s="36">
        <v>2.0</v>
      </c>
      <c r="AD21" s="42" t="str">
        <f>IF($AK$18+7*(2-1)&gt;$A$35,"",TEXT($AK$18+7*(2-1),"m/d")&amp;"-"&amp;TEXT($AK$18+7*(2-1)+6,"m/d"))</f>
        <v>2/9-2/15</v>
      </c>
      <c r="AE21" s="35">
        <f>IF($AD21="","",(SUMIFS($I$8:$I$35,$A$8:$A$35,"&gt;="&amp;$AK$18+7*(2-1),$A$8:$A$35,"&lt;="&amp;$AK$18+7*(2-1)+6)+SUMIFS('2027年03月'!$I$8:$I$38,'2027年03月'!$A$8:$A$38,"&gt;="&amp;$AK$18+7*(2-1),'2027年03月'!$A$8:$A$38,"&lt;="&amp;$AK$18+7*(2-1)+6)))</f>
        <v>0</v>
      </c>
      <c r="AF21" s="37" t="str">
        <f>IF($AD21="","",IFERROR((SUMIFS($O$8:$O$35,$A$8:$A$35,"&gt;="&amp;$AK$18+7*(2-1),$A$8:$A$35,"&lt;="&amp;$AK$18+7*(2-1)+6)+SUMIFS('2027年03月'!$O$8:$O$38,'2027年03月'!$A$8:$A$38,"&gt;="&amp;$AK$18+7*(2-1),'2027年03月'!$A$8:$A$38,"&lt;="&amp;$AK$18+7*(2-1)+6))/(SUMIFS($Q$8:$Q$35,$A$8:$A$35,"&gt;="&amp;$AK$18+7*(2-1),$A$8:$A$35,"&lt;="&amp;$AK$18+7*(2-1)+6)+SUMIFS('2027年03月'!$Q$8:$Q$38,'2027年03月'!$A$8:$A$38,"&gt;="&amp;$AK$18+7*(2-1),'2027年03月'!$A$8:$A$38,"&lt;="&amp;$AK$18+7*(2-1)+6)),""))</f>
        <v/>
      </c>
      <c r="AG21" s="35" t="str">
        <f>IF($AD21="","",IFERROR((SUMIFS($I$8:$I$35,$A$8:$A$35,"&gt;="&amp;$AK$18+7*(2-1),$A$8:$A$35,"&lt;="&amp;$AK$18+7*(2-1)+6)+SUMIFS('2027年03月'!$I$8:$I$38,'2027年03月'!$A$8:$A$38,"&gt;="&amp;$AK$18+7*(2-1),'2027年03月'!$A$8:$A$38,"&lt;="&amp;$AK$18+7*(2-1)+6))/(SUMIFS($O$8:$O$35,$A$8:$A$35,"&gt;="&amp;$AK$18+7*(2-1),$A$8:$A$35,"&lt;="&amp;$AK$18+7*(2-1)+6)+SUMIFS('2027年03月'!$O$8:$O$38,'2027年03月'!$A$8:$A$38,"&gt;="&amp;$AK$18+7*(2-1),'2027年03月'!$A$8:$A$38,"&lt;="&amp;$AK$18+7*(2-1)+6)),""))</f>
        <v/>
      </c>
      <c r="AH21" s="43" t="str">
        <f>IF($AD21="","",IFERROR((SUMIFS($P$8:$P$35,$A$8:$A$35,"&gt;="&amp;$AK$18+7*(2-1),$A$8:$A$35,"&lt;="&amp;$AK$18+7*(2-1)+6)+SUMIFS('2027年03月'!$P$8:$P$38,'2027年03月'!$A$8:$A$38,"&gt;="&amp;$AK$18+7*(2-1),'2027年03月'!$A$8:$A$38,"&lt;="&amp;$AK$18+7*(2-1)+6))/(SUMIFS($O$8:$O$35,$A$8:$A$35,"&gt;="&amp;$AK$18+7*(2-1),$A$8:$A$35,"&lt;="&amp;$AK$18+7*(2-1)+6)+SUMIFS('2027年03月'!$O$8:$O$38,'2027年03月'!$A$8:$A$38,"&gt;="&amp;$AK$18+7*(2-1),'2027年03月'!$A$8:$A$38,"&lt;="&amp;$AK$18+7*(2-1)+6)),""))</f>
        <v/>
      </c>
      <c r="AI21" s="37" t="str">
        <f>IF($AD21="","",IFERROR((SUMIFS($R$8:$R$35,$A$8:$A$35,"&gt;="&amp;$AK$18+7*(2-1),$A$8:$A$35,"&lt;="&amp;$AK$18+7*(2-1)+6)+SUMIFS('2027年03月'!$R$8:$R$38,'2027年03月'!$A$8:$A$38,"&gt;="&amp;$AK$18+7*(2-1),'2027年03月'!$A$8:$A$38,"&lt;="&amp;$AK$18+7*(2-1)+6))/(SUMIFS($Q$8:$Q$35,$A$8:$A$35,"&gt;="&amp;$AK$18+7*(2-1),$A$8:$A$35,"&lt;="&amp;$AK$18+7*(2-1)+6)+SUMIFS('2027年03月'!$Q$8:$Q$38,'2027年03月'!$A$8:$A$38,"&gt;="&amp;$AK$18+7*(2-1),'2027年03月'!$A$8:$A$38,"&lt;="&amp;$AK$18+7*(2-1)+6)),""))</f>
        <v/>
      </c>
    </row>
    <row r="22" ht="15.75" customHeight="1">
      <c r="A22" s="28">
        <v>46433.0</v>
      </c>
      <c r="B22" s="10" t="str">
        <f t="shared" si="2"/>
        <v>月</v>
      </c>
      <c r="C22" s="29"/>
      <c r="D22" s="11">
        <f t="shared" si="3"/>
        <v>0</v>
      </c>
      <c r="E22" s="29"/>
      <c r="F22" s="29"/>
      <c r="G22" s="29"/>
      <c r="H22" s="29"/>
      <c r="I22" s="11" t="str">
        <f t="shared" si="4"/>
        <v/>
      </c>
      <c r="J22" s="11" t="str">
        <f t="shared" si="5"/>
        <v/>
      </c>
      <c r="K22" s="12" t="str">
        <f t="shared" ref="K22:L22" si="29">IF(I22="","",IFERROR(I22/C22,""))</f>
        <v/>
      </c>
      <c r="L22" s="12" t="str">
        <f t="shared" si="29"/>
        <v/>
      </c>
      <c r="M22" s="11" t="str">
        <f t="shared" si="7"/>
        <v/>
      </c>
      <c r="N22" s="30" t="str">
        <f t="shared" si="8"/>
        <v>—</v>
      </c>
      <c r="O22" s="31"/>
      <c r="P22" s="31"/>
      <c r="Q22" s="31"/>
      <c r="R22" s="31"/>
      <c r="S22" s="31"/>
      <c r="T22" s="12" t="str">
        <f t="shared" si="9"/>
        <v/>
      </c>
      <c r="U22" s="11" t="str">
        <f t="shared" si="10"/>
        <v/>
      </c>
      <c r="V22" s="32" t="str">
        <f t="shared" si="11"/>
        <v/>
      </c>
      <c r="W22" s="12" t="str">
        <f t="shared" si="12"/>
        <v/>
      </c>
      <c r="X22" s="31"/>
      <c r="Y22" s="31"/>
      <c r="Z22" s="29"/>
      <c r="AA22" s="33"/>
      <c r="AC22" s="36">
        <v>3.0</v>
      </c>
      <c r="AD22" s="42" t="str">
        <f>IF($AK$18+7*(3-1)&gt;$A$35,"",TEXT($AK$18+7*(3-1),"m/d")&amp;"-"&amp;TEXT($AK$18+7*(3-1)+6,"m/d"))</f>
        <v>2/16-2/22</v>
      </c>
      <c r="AE22" s="35">
        <f>IF($AD22="","",(SUMIFS($I$8:$I$35,$A$8:$A$35,"&gt;="&amp;$AK$18+7*(3-1),$A$8:$A$35,"&lt;="&amp;$AK$18+7*(3-1)+6)+SUMIFS('2027年03月'!$I$8:$I$38,'2027年03月'!$A$8:$A$38,"&gt;="&amp;$AK$18+7*(3-1),'2027年03月'!$A$8:$A$38,"&lt;="&amp;$AK$18+7*(3-1)+6)))</f>
        <v>0</v>
      </c>
      <c r="AF22" s="37" t="str">
        <f>IF($AD22="","",IFERROR((SUMIFS($O$8:$O$35,$A$8:$A$35,"&gt;="&amp;$AK$18+7*(3-1),$A$8:$A$35,"&lt;="&amp;$AK$18+7*(3-1)+6)+SUMIFS('2027年03月'!$O$8:$O$38,'2027年03月'!$A$8:$A$38,"&gt;="&amp;$AK$18+7*(3-1),'2027年03月'!$A$8:$A$38,"&lt;="&amp;$AK$18+7*(3-1)+6))/(SUMIFS($Q$8:$Q$35,$A$8:$A$35,"&gt;="&amp;$AK$18+7*(3-1),$A$8:$A$35,"&lt;="&amp;$AK$18+7*(3-1)+6)+SUMIFS('2027年03月'!$Q$8:$Q$38,'2027年03月'!$A$8:$A$38,"&gt;="&amp;$AK$18+7*(3-1),'2027年03月'!$A$8:$A$38,"&lt;="&amp;$AK$18+7*(3-1)+6)),""))</f>
        <v/>
      </c>
      <c r="AG22" s="35" t="str">
        <f>IF($AD22="","",IFERROR((SUMIFS($I$8:$I$35,$A$8:$A$35,"&gt;="&amp;$AK$18+7*(3-1),$A$8:$A$35,"&lt;="&amp;$AK$18+7*(3-1)+6)+SUMIFS('2027年03月'!$I$8:$I$38,'2027年03月'!$A$8:$A$38,"&gt;="&amp;$AK$18+7*(3-1),'2027年03月'!$A$8:$A$38,"&lt;="&amp;$AK$18+7*(3-1)+6))/(SUMIFS($O$8:$O$35,$A$8:$A$35,"&gt;="&amp;$AK$18+7*(3-1),$A$8:$A$35,"&lt;="&amp;$AK$18+7*(3-1)+6)+SUMIFS('2027年03月'!$O$8:$O$38,'2027年03月'!$A$8:$A$38,"&gt;="&amp;$AK$18+7*(3-1),'2027年03月'!$A$8:$A$38,"&lt;="&amp;$AK$18+7*(3-1)+6)),""))</f>
        <v/>
      </c>
      <c r="AH22" s="43" t="str">
        <f>IF($AD22="","",IFERROR((SUMIFS($P$8:$P$35,$A$8:$A$35,"&gt;="&amp;$AK$18+7*(3-1),$A$8:$A$35,"&lt;="&amp;$AK$18+7*(3-1)+6)+SUMIFS('2027年03月'!$P$8:$P$38,'2027年03月'!$A$8:$A$38,"&gt;="&amp;$AK$18+7*(3-1),'2027年03月'!$A$8:$A$38,"&lt;="&amp;$AK$18+7*(3-1)+6))/(SUMIFS($O$8:$O$35,$A$8:$A$35,"&gt;="&amp;$AK$18+7*(3-1),$A$8:$A$35,"&lt;="&amp;$AK$18+7*(3-1)+6)+SUMIFS('2027年03月'!$O$8:$O$38,'2027年03月'!$A$8:$A$38,"&gt;="&amp;$AK$18+7*(3-1),'2027年03月'!$A$8:$A$38,"&lt;="&amp;$AK$18+7*(3-1)+6)),""))</f>
        <v/>
      </c>
      <c r="AI22" s="37" t="str">
        <f>IF($AD22="","",IFERROR((SUMIFS($R$8:$R$35,$A$8:$A$35,"&gt;="&amp;$AK$18+7*(3-1),$A$8:$A$35,"&lt;="&amp;$AK$18+7*(3-1)+6)+SUMIFS('2027年03月'!$R$8:$R$38,'2027年03月'!$A$8:$A$38,"&gt;="&amp;$AK$18+7*(3-1),'2027年03月'!$A$8:$A$38,"&lt;="&amp;$AK$18+7*(3-1)+6))/(SUMIFS($Q$8:$Q$35,$A$8:$A$35,"&gt;="&amp;$AK$18+7*(3-1),$A$8:$A$35,"&lt;="&amp;$AK$18+7*(3-1)+6)+SUMIFS('2027年03月'!$Q$8:$Q$38,'2027年03月'!$A$8:$A$38,"&gt;="&amp;$AK$18+7*(3-1),'2027年03月'!$A$8:$A$38,"&lt;="&amp;$AK$18+7*(3-1)+6)),""))</f>
        <v/>
      </c>
    </row>
    <row r="23" ht="15.75" customHeight="1">
      <c r="A23" s="38">
        <v>46434.0</v>
      </c>
      <c r="B23" s="14" t="str">
        <f t="shared" si="2"/>
        <v>火</v>
      </c>
      <c r="C23" s="29"/>
      <c r="D23" s="15">
        <f t="shared" si="3"/>
        <v>0</v>
      </c>
      <c r="E23" s="29"/>
      <c r="F23" s="29"/>
      <c r="G23" s="29"/>
      <c r="H23" s="29"/>
      <c r="I23" s="15" t="str">
        <f t="shared" si="4"/>
        <v/>
      </c>
      <c r="J23" s="15" t="str">
        <f t="shared" si="5"/>
        <v/>
      </c>
      <c r="K23" s="16" t="str">
        <f t="shared" ref="K23:L23" si="30">IF(I23="","",IFERROR(I23/C23,""))</f>
        <v/>
      </c>
      <c r="L23" s="16" t="str">
        <f t="shared" si="30"/>
        <v/>
      </c>
      <c r="M23" s="15" t="str">
        <f t="shared" si="7"/>
        <v/>
      </c>
      <c r="N23" s="39" t="str">
        <f t="shared" si="8"/>
        <v>—</v>
      </c>
      <c r="O23" s="31"/>
      <c r="P23" s="31"/>
      <c r="Q23" s="31"/>
      <c r="R23" s="31"/>
      <c r="S23" s="31"/>
      <c r="T23" s="16" t="str">
        <f t="shared" si="9"/>
        <v/>
      </c>
      <c r="U23" s="15" t="str">
        <f t="shared" si="10"/>
        <v/>
      </c>
      <c r="V23" s="40" t="str">
        <f t="shared" si="11"/>
        <v/>
      </c>
      <c r="W23" s="16" t="str">
        <f t="shared" si="12"/>
        <v/>
      </c>
      <c r="X23" s="31"/>
      <c r="Y23" s="31"/>
      <c r="Z23" s="29"/>
      <c r="AA23" s="33"/>
      <c r="AC23" s="36">
        <v>4.0</v>
      </c>
      <c r="AD23" s="42" t="str">
        <f>IF($AK$18+7*(4-1)&gt;$A$35,"",TEXT($AK$18+7*(4-1),"m/d")&amp;"-"&amp;TEXT($AK$18+7*(4-1)+6,"m/d"))</f>
        <v>2/23-3/1</v>
      </c>
      <c r="AE23" s="35">
        <f>IF($AD23="","",(SUMIFS($I$8:$I$35,$A$8:$A$35,"&gt;="&amp;$AK$18+7*(4-1),$A$8:$A$35,"&lt;="&amp;$AK$18+7*(4-1)+6)+SUMIFS('2027年03月'!$I$8:$I$38,'2027年03月'!$A$8:$A$38,"&gt;="&amp;$AK$18+7*(4-1),'2027年03月'!$A$8:$A$38,"&lt;="&amp;$AK$18+7*(4-1)+6)))</f>
        <v>0</v>
      </c>
      <c r="AF23" s="37" t="str">
        <f>IF($AD23="","",IFERROR((SUMIFS($O$8:$O$35,$A$8:$A$35,"&gt;="&amp;$AK$18+7*(4-1),$A$8:$A$35,"&lt;="&amp;$AK$18+7*(4-1)+6)+SUMIFS('2027年03月'!$O$8:$O$38,'2027年03月'!$A$8:$A$38,"&gt;="&amp;$AK$18+7*(4-1),'2027年03月'!$A$8:$A$38,"&lt;="&amp;$AK$18+7*(4-1)+6))/(SUMIFS($Q$8:$Q$35,$A$8:$A$35,"&gt;="&amp;$AK$18+7*(4-1),$A$8:$A$35,"&lt;="&amp;$AK$18+7*(4-1)+6)+SUMIFS('2027年03月'!$Q$8:$Q$38,'2027年03月'!$A$8:$A$38,"&gt;="&amp;$AK$18+7*(4-1),'2027年03月'!$A$8:$A$38,"&lt;="&amp;$AK$18+7*(4-1)+6)),""))</f>
        <v/>
      </c>
      <c r="AG23" s="35" t="str">
        <f>IF($AD23="","",IFERROR((SUMIFS($I$8:$I$35,$A$8:$A$35,"&gt;="&amp;$AK$18+7*(4-1),$A$8:$A$35,"&lt;="&amp;$AK$18+7*(4-1)+6)+SUMIFS('2027年03月'!$I$8:$I$38,'2027年03月'!$A$8:$A$38,"&gt;="&amp;$AK$18+7*(4-1),'2027年03月'!$A$8:$A$38,"&lt;="&amp;$AK$18+7*(4-1)+6))/(SUMIFS($O$8:$O$35,$A$8:$A$35,"&gt;="&amp;$AK$18+7*(4-1),$A$8:$A$35,"&lt;="&amp;$AK$18+7*(4-1)+6)+SUMIFS('2027年03月'!$O$8:$O$38,'2027年03月'!$A$8:$A$38,"&gt;="&amp;$AK$18+7*(4-1),'2027年03月'!$A$8:$A$38,"&lt;="&amp;$AK$18+7*(4-1)+6)),""))</f>
        <v/>
      </c>
      <c r="AH23" s="43" t="str">
        <f>IF($AD23="","",IFERROR((SUMIFS($P$8:$P$35,$A$8:$A$35,"&gt;="&amp;$AK$18+7*(4-1),$A$8:$A$35,"&lt;="&amp;$AK$18+7*(4-1)+6)+SUMIFS('2027年03月'!$P$8:$P$38,'2027年03月'!$A$8:$A$38,"&gt;="&amp;$AK$18+7*(4-1),'2027年03月'!$A$8:$A$38,"&lt;="&amp;$AK$18+7*(4-1)+6))/(SUMIFS($O$8:$O$35,$A$8:$A$35,"&gt;="&amp;$AK$18+7*(4-1),$A$8:$A$35,"&lt;="&amp;$AK$18+7*(4-1)+6)+SUMIFS('2027年03月'!$O$8:$O$38,'2027年03月'!$A$8:$A$38,"&gt;="&amp;$AK$18+7*(4-1),'2027年03月'!$A$8:$A$38,"&lt;="&amp;$AK$18+7*(4-1)+6)),""))</f>
        <v/>
      </c>
      <c r="AI23" s="37" t="str">
        <f>IF($AD23="","",IFERROR((SUMIFS($R$8:$R$35,$A$8:$A$35,"&gt;="&amp;$AK$18+7*(4-1),$A$8:$A$35,"&lt;="&amp;$AK$18+7*(4-1)+6)+SUMIFS('2027年03月'!$R$8:$R$38,'2027年03月'!$A$8:$A$38,"&gt;="&amp;$AK$18+7*(4-1),'2027年03月'!$A$8:$A$38,"&lt;="&amp;$AK$18+7*(4-1)+6))/(SUMIFS($Q$8:$Q$35,$A$8:$A$35,"&gt;="&amp;$AK$18+7*(4-1),$A$8:$A$35,"&lt;="&amp;$AK$18+7*(4-1)+6)+SUMIFS('2027年03月'!$Q$8:$Q$38,'2027年03月'!$A$8:$A$38,"&gt;="&amp;$AK$18+7*(4-1),'2027年03月'!$A$8:$A$38,"&lt;="&amp;$AK$18+7*(4-1)+6)),""))</f>
        <v/>
      </c>
    </row>
    <row r="24" ht="15.75" customHeight="1">
      <c r="A24" s="28">
        <v>46435.0</v>
      </c>
      <c r="B24" s="10" t="str">
        <f t="shared" si="2"/>
        <v>水</v>
      </c>
      <c r="C24" s="29"/>
      <c r="D24" s="11">
        <f t="shared" si="3"/>
        <v>0</v>
      </c>
      <c r="E24" s="29"/>
      <c r="F24" s="29"/>
      <c r="G24" s="29"/>
      <c r="H24" s="29"/>
      <c r="I24" s="11" t="str">
        <f t="shared" si="4"/>
        <v/>
      </c>
      <c r="J24" s="11" t="str">
        <f t="shared" si="5"/>
        <v/>
      </c>
      <c r="K24" s="12" t="str">
        <f t="shared" ref="K24:L24" si="31">IF(I24="","",IFERROR(I24/C24,""))</f>
        <v/>
      </c>
      <c r="L24" s="12" t="str">
        <f t="shared" si="31"/>
        <v/>
      </c>
      <c r="M24" s="11" t="str">
        <f t="shared" si="7"/>
        <v/>
      </c>
      <c r="N24" s="30" t="str">
        <f t="shared" si="8"/>
        <v>—</v>
      </c>
      <c r="O24" s="31"/>
      <c r="P24" s="31"/>
      <c r="Q24" s="31"/>
      <c r="R24" s="31"/>
      <c r="S24" s="31"/>
      <c r="T24" s="12" t="str">
        <f t="shared" si="9"/>
        <v/>
      </c>
      <c r="U24" s="11" t="str">
        <f t="shared" si="10"/>
        <v/>
      </c>
      <c r="V24" s="32" t="str">
        <f t="shared" si="11"/>
        <v/>
      </c>
      <c r="W24" s="12" t="str">
        <f t="shared" si="12"/>
        <v/>
      </c>
      <c r="X24" s="31"/>
      <c r="Y24" s="31"/>
      <c r="Z24" s="29"/>
      <c r="AA24" s="33"/>
      <c r="AC24" s="36">
        <v>5.0</v>
      </c>
      <c r="AD24" s="42" t="str">
        <f>IF($AK$18+7*(5-1)&gt;$A$35,"",TEXT($AK$18+7*(5-1),"m/d")&amp;"-"&amp;TEXT($AK$18+7*(5-1)+6,"m/d"))</f>
        <v/>
      </c>
      <c r="AE24" s="35" t="str">
        <f>IF($AD24="","",(SUMIFS($I$8:$I$35,$A$8:$A$35,"&gt;="&amp;$AK$18+7*(5-1),$A$8:$A$35,"&lt;="&amp;$AK$18+7*(5-1)+6)+SUMIFS('2027年03月'!$I$8:$I$38,'2027年03月'!$A$8:$A$38,"&gt;="&amp;$AK$18+7*(5-1),'2027年03月'!$A$8:$A$38,"&lt;="&amp;$AK$18+7*(5-1)+6)))</f>
        <v/>
      </c>
      <c r="AF24" s="37" t="str">
        <f>IF($AD24="","",IFERROR((SUMIFS($O$8:$O$35,$A$8:$A$35,"&gt;="&amp;$AK$18+7*(5-1),$A$8:$A$35,"&lt;="&amp;$AK$18+7*(5-1)+6)+SUMIFS('2027年03月'!$O$8:$O$38,'2027年03月'!$A$8:$A$38,"&gt;="&amp;$AK$18+7*(5-1),'2027年03月'!$A$8:$A$38,"&lt;="&amp;$AK$18+7*(5-1)+6))/(SUMIFS($Q$8:$Q$35,$A$8:$A$35,"&gt;="&amp;$AK$18+7*(5-1),$A$8:$A$35,"&lt;="&amp;$AK$18+7*(5-1)+6)+SUMIFS('2027年03月'!$Q$8:$Q$38,'2027年03月'!$A$8:$A$38,"&gt;="&amp;$AK$18+7*(5-1),'2027年03月'!$A$8:$A$38,"&lt;="&amp;$AK$18+7*(5-1)+6)),""))</f>
        <v/>
      </c>
      <c r="AG24" s="35" t="str">
        <f>IF($AD24="","",IFERROR((SUMIFS($I$8:$I$35,$A$8:$A$35,"&gt;="&amp;$AK$18+7*(5-1),$A$8:$A$35,"&lt;="&amp;$AK$18+7*(5-1)+6)+SUMIFS('2027年03月'!$I$8:$I$38,'2027年03月'!$A$8:$A$38,"&gt;="&amp;$AK$18+7*(5-1),'2027年03月'!$A$8:$A$38,"&lt;="&amp;$AK$18+7*(5-1)+6))/(SUMIFS($O$8:$O$35,$A$8:$A$35,"&gt;="&amp;$AK$18+7*(5-1),$A$8:$A$35,"&lt;="&amp;$AK$18+7*(5-1)+6)+SUMIFS('2027年03月'!$O$8:$O$38,'2027年03月'!$A$8:$A$38,"&gt;="&amp;$AK$18+7*(5-1),'2027年03月'!$A$8:$A$38,"&lt;="&amp;$AK$18+7*(5-1)+6)),""))</f>
        <v/>
      </c>
      <c r="AH24" s="43" t="str">
        <f>IF($AD24="","",IFERROR((SUMIFS($P$8:$P$35,$A$8:$A$35,"&gt;="&amp;$AK$18+7*(5-1),$A$8:$A$35,"&lt;="&amp;$AK$18+7*(5-1)+6)+SUMIFS('2027年03月'!$P$8:$P$38,'2027年03月'!$A$8:$A$38,"&gt;="&amp;$AK$18+7*(5-1),'2027年03月'!$A$8:$A$38,"&lt;="&amp;$AK$18+7*(5-1)+6))/(SUMIFS($O$8:$O$35,$A$8:$A$35,"&gt;="&amp;$AK$18+7*(5-1),$A$8:$A$35,"&lt;="&amp;$AK$18+7*(5-1)+6)+SUMIFS('2027年03月'!$O$8:$O$38,'2027年03月'!$A$8:$A$38,"&gt;="&amp;$AK$18+7*(5-1),'2027年03月'!$A$8:$A$38,"&lt;="&amp;$AK$18+7*(5-1)+6)),""))</f>
        <v/>
      </c>
      <c r="AI24" s="37" t="str">
        <f>IF($AD24="","",IFERROR((SUMIFS($R$8:$R$35,$A$8:$A$35,"&gt;="&amp;$AK$18+7*(5-1),$A$8:$A$35,"&lt;="&amp;$AK$18+7*(5-1)+6)+SUMIFS('2027年03月'!$R$8:$R$38,'2027年03月'!$A$8:$A$38,"&gt;="&amp;$AK$18+7*(5-1),'2027年03月'!$A$8:$A$38,"&lt;="&amp;$AK$18+7*(5-1)+6))/(SUMIFS($Q$8:$Q$35,$A$8:$A$35,"&gt;="&amp;$AK$18+7*(5-1),$A$8:$A$35,"&lt;="&amp;$AK$18+7*(5-1)+6)+SUMIFS('2027年03月'!$Q$8:$Q$38,'2027年03月'!$A$8:$A$38,"&gt;="&amp;$AK$18+7*(5-1),'2027年03月'!$A$8:$A$38,"&lt;="&amp;$AK$18+7*(5-1)+6)),""))</f>
        <v/>
      </c>
    </row>
    <row r="25" ht="15.75" customHeight="1">
      <c r="A25" s="38">
        <v>46436.0</v>
      </c>
      <c r="B25" s="14" t="str">
        <f t="shared" si="2"/>
        <v>木</v>
      </c>
      <c r="C25" s="29"/>
      <c r="D25" s="15">
        <f t="shared" si="3"/>
        <v>0</v>
      </c>
      <c r="E25" s="29"/>
      <c r="F25" s="29"/>
      <c r="G25" s="29"/>
      <c r="H25" s="29"/>
      <c r="I25" s="15" t="str">
        <f t="shared" si="4"/>
        <v/>
      </c>
      <c r="J25" s="15" t="str">
        <f t="shared" si="5"/>
        <v/>
      </c>
      <c r="K25" s="16" t="str">
        <f t="shared" ref="K25:L25" si="32">IF(I25="","",IFERROR(I25/C25,""))</f>
        <v/>
      </c>
      <c r="L25" s="16" t="str">
        <f t="shared" si="32"/>
        <v/>
      </c>
      <c r="M25" s="15" t="str">
        <f t="shared" si="7"/>
        <v/>
      </c>
      <c r="N25" s="39" t="str">
        <f t="shared" si="8"/>
        <v>—</v>
      </c>
      <c r="O25" s="31"/>
      <c r="P25" s="31"/>
      <c r="Q25" s="31"/>
      <c r="R25" s="31"/>
      <c r="S25" s="31"/>
      <c r="T25" s="16" t="str">
        <f t="shared" si="9"/>
        <v/>
      </c>
      <c r="U25" s="15" t="str">
        <f t="shared" si="10"/>
        <v/>
      </c>
      <c r="V25" s="40" t="str">
        <f t="shared" si="11"/>
        <v/>
      </c>
      <c r="W25" s="16" t="str">
        <f t="shared" si="12"/>
        <v/>
      </c>
      <c r="X25" s="31"/>
      <c r="Y25" s="31"/>
      <c r="Z25" s="29"/>
      <c r="AA25" s="33"/>
      <c r="AC25" s="36">
        <v>6.0</v>
      </c>
      <c r="AD25" s="42" t="str">
        <f>IF($AK$18+7*(6-1)&gt;$A$35,"",TEXT($AK$18+7*(6-1),"m/d")&amp;"-"&amp;TEXT($AK$18+7*(6-1)+6,"m/d"))</f>
        <v/>
      </c>
      <c r="AE25" s="35" t="str">
        <f>IF($AD25="","",(SUMIFS($I$8:$I$35,$A$8:$A$35,"&gt;="&amp;$AK$18+7*(6-1),$A$8:$A$35,"&lt;="&amp;$AK$18+7*(6-1)+6)+SUMIFS('2027年03月'!$I$8:$I$38,'2027年03月'!$A$8:$A$38,"&gt;="&amp;$AK$18+7*(6-1),'2027年03月'!$A$8:$A$38,"&lt;="&amp;$AK$18+7*(6-1)+6)))</f>
        <v/>
      </c>
      <c r="AF25" s="37" t="str">
        <f>IF($AD25="","",IFERROR((SUMIFS($O$8:$O$35,$A$8:$A$35,"&gt;="&amp;$AK$18+7*(6-1),$A$8:$A$35,"&lt;="&amp;$AK$18+7*(6-1)+6)+SUMIFS('2027年03月'!$O$8:$O$38,'2027年03月'!$A$8:$A$38,"&gt;="&amp;$AK$18+7*(6-1),'2027年03月'!$A$8:$A$38,"&lt;="&amp;$AK$18+7*(6-1)+6))/(SUMIFS($Q$8:$Q$35,$A$8:$A$35,"&gt;="&amp;$AK$18+7*(6-1),$A$8:$A$35,"&lt;="&amp;$AK$18+7*(6-1)+6)+SUMIFS('2027年03月'!$Q$8:$Q$38,'2027年03月'!$A$8:$A$38,"&gt;="&amp;$AK$18+7*(6-1),'2027年03月'!$A$8:$A$38,"&lt;="&amp;$AK$18+7*(6-1)+6)),""))</f>
        <v/>
      </c>
      <c r="AG25" s="35" t="str">
        <f>IF($AD25="","",IFERROR((SUMIFS($I$8:$I$35,$A$8:$A$35,"&gt;="&amp;$AK$18+7*(6-1),$A$8:$A$35,"&lt;="&amp;$AK$18+7*(6-1)+6)+SUMIFS('2027年03月'!$I$8:$I$38,'2027年03月'!$A$8:$A$38,"&gt;="&amp;$AK$18+7*(6-1),'2027年03月'!$A$8:$A$38,"&lt;="&amp;$AK$18+7*(6-1)+6))/(SUMIFS($O$8:$O$35,$A$8:$A$35,"&gt;="&amp;$AK$18+7*(6-1),$A$8:$A$35,"&lt;="&amp;$AK$18+7*(6-1)+6)+SUMIFS('2027年03月'!$O$8:$O$38,'2027年03月'!$A$8:$A$38,"&gt;="&amp;$AK$18+7*(6-1),'2027年03月'!$A$8:$A$38,"&lt;="&amp;$AK$18+7*(6-1)+6)),""))</f>
        <v/>
      </c>
      <c r="AH25" s="43" t="str">
        <f>IF($AD25="","",IFERROR((SUMIFS($P$8:$P$35,$A$8:$A$35,"&gt;="&amp;$AK$18+7*(6-1),$A$8:$A$35,"&lt;="&amp;$AK$18+7*(6-1)+6)+SUMIFS('2027年03月'!$P$8:$P$38,'2027年03月'!$A$8:$A$38,"&gt;="&amp;$AK$18+7*(6-1),'2027年03月'!$A$8:$A$38,"&lt;="&amp;$AK$18+7*(6-1)+6))/(SUMIFS($O$8:$O$35,$A$8:$A$35,"&gt;="&amp;$AK$18+7*(6-1),$A$8:$A$35,"&lt;="&amp;$AK$18+7*(6-1)+6)+SUMIFS('2027年03月'!$O$8:$O$38,'2027年03月'!$A$8:$A$38,"&gt;="&amp;$AK$18+7*(6-1),'2027年03月'!$A$8:$A$38,"&lt;="&amp;$AK$18+7*(6-1)+6)),""))</f>
        <v/>
      </c>
      <c r="AI25" s="37" t="str">
        <f>IF($AD25="","",IFERROR((SUMIFS($R$8:$R$35,$A$8:$A$35,"&gt;="&amp;$AK$18+7*(6-1),$A$8:$A$35,"&lt;="&amp;$AK$18+7*(6-1)+6)+SUMIFS('2027年03月'!$R$8:$R$38,'2027年03月'!$A$8:$A$38,"&gt;="&amp;$AK$18+7*(6-1),'2027年03月'!$A$8:$A$38,"&lt;="&amp;$AK$18+7*(6-1)+6))/(SUMIFS($Q$8:$Q$35,$A$8:$A$35,"&gt;="&amp;$AK$18+7*(6-1),$A$8:$A$35,"&lt;="&amp;$AK$18+7*(6-1)+6)+SUMIFS('2027年03月'!$Q$8:$Q$38,'2027年03月'!$A$8:$A$38,"&gt;="&amp;$AK$18+7*(6-1),'2027年03月'!$A$8:$A$38,"&lt;="&amp;$AK$18+7*(6-1)+6)),""))</f>
        <v/>
      </c>
    </row>
    <row r="26" ht="15.75" customHeight="1">
      <c r="A26" s="28">
        <v>46437.0</v>
      </c>
      <c r="B26" s="10" t="str">
        <f t="shared" si="2"/>
        <v>金</v>
      </c>
      <c r="C26" s="29"/>
      <c r="D26" s="11">
        <f t="shared" si="3"/>
        <v>0</v>
      </c>
      <c r="E26" s="29"/>
      <c r="F26" s="29"/>
      <c r="G26" s="29"/>
      <c r="H26" s="29"/>
      <c r="I26" s="11" t="str">
        <f t="shared" si="4"/>
        <v/>
      </c>
      <c r="J26" s="11" t="str">
        <f t="shared" si="5"/>
        <v/>
      </c>
      <c r="K26" s="12" t="str">
        <f t="shared" ref="K26:L26" si="33">IF(I26="","",IFERROR(I26/C26,""))</f>
        <v/>
      </c>
      <c r="L26" s="12" t="str">
        <f t="shared" si="33"/>
        <v/>
      </c>
      <c r="M26" s="11" t="str">
        <f t="shared" si="7"/>
        <v/>
      </c>
      <c r="N26" s="30" t="str">
        <f t="shared" si="8"/>
        <v>—</v>
      </c>
      <c r="O26" s="31"/>
      <c r="P26" s="31"/>
      <c r="Q26" s="31"/>
      <c r="R26" s="31"/>
      <c r="S26" s="31"/>
      <c r="T26" s="12" t="str">
        <f t="shared" si="9"/>
        <v/>
      </c>
      <c r="U26" s="11" t="str">
        <f t="shared" si="10"/>
        <v/>
      </c>
      <c r="V26" s="32" t="str">
        <f t="shared" si="11"/>
        <v/>
      </c>
      <c r="W26" s="12" t="str">
        <f t="shared" si="12"/>
        <v/>
      </c>
      <c r="X26" s="31"/>
      <c r="Y26" s="31"/>
      <c r="Z26" s="29"/>
      <c r="AA26" s="33"/>
      <c r="AC26" s="22" t="s">
        <v>155</v>
      </c>
    </row>
    <row r="27" ht="15.75" customHeight="1">
      <c r="A27" s="38">
        <v>46438.0</v>
      </c>
      <c r="B27" s="14" t="str">
        <f t="shared" si="2"/>
        <v>土</v>
      </c>
      <c r="C27" s="29"/>
      <c r="D27" s="15">
        <f t="shared" si="3"/>
        <v>0</v>
      </c>
      <c r="E27" s="29"/>
      <c r="F27" s="29"/>
      <c r="G27" s="29"/>
      <c r="H27" s="29"/>
      <c r="I27" s="15" t="str">
        <f t="shared" si="4"/>
        <v/>
      </c>
      <c r="J27" s="15" t="str">
        <f t="shared" si="5"/>
        <v/>
      </c>
      <c r="K27" s="16" t="str">
        <f t="shared" ref="K27:L27" si="34">IF(I27="","",IFERROR(I27/C27,""))</f>
        <v/>
      </c>
      <c r="L27" s="16" t="str">
        <f t="shared" si="34"/>
        <v/>
      </c>
      <c r="M27" s="15" t="str">
        <f t="shared" si="7"/>
        <v/>
      </c>
      <c r="N27" s="39" t="str">
        <f t="shared" si="8"/>
        <v>—</v>
      </c>
      <c r="O27" s="31"/>
      <c r="P27" s="31"/>
      <c r="Q27" s="31"/>
      <c r="R27" s="31"/>
      <c r="S27" s="31"/>
      <c r="T27" s="16" t="str">
        <f t="shared" si="9"/>
        <v/>
      </c>
      <c r="U27" s="15" t="str">
        <f t="shared" si="10"/>
        <v/>
      </c>
      <c r="V27" s="40" t="str">
        <f t="shared" si="11"/>
        <v/>
      </c>
      <c r="W27" s="16" t="str">
        <f t="shared" si="12"/>
        <v/>
      </c>
      <c r="X27" s="31"/>
      <c r="Y27" s="31"/>
      <c r="Z27" s="29"/>
      <c r="AA27" s="33"/>
      <c r="AC27" s="22" t="s">
        <v>156</v>
      </c>
    </row>
    <row r="28" ht="15.75" customHeight="1">
      <c r="A28" s="28">
        <v>46439.0</v>
      </c>
      <c r="B28" s="10" t="str">
        <f t="shared" si="2"/>
        <v>日</v>
      </c>
      <c r="C28" s="29"/>
      <c r="D28" s="11">
        <f t="shared" si="3"/>
        <v>0</v>
      </c>
      <c r="E28" s="29"/>
      <c r="F28" s="29"/>
      <c r="G28" s="29"/>
      <c r="H28" s="29"/>
      <c r="I28" s="11" t="str">
        <f t="shared" si="4"/>
        <v/>
      </c>
      <c r="J28" s="11" t="str">
        <f t="shared" si="5"/>
        <v/>
      </c>
      <c r="K28" s="12" t="str">
        <f t="shared" ref="K28:L28" si="35">IF(I28="","",IFERROR(I28/C28,""))</f>
        <v/>
      </c>
      <c r="L28" s="12" t="str">
        <f t="shared" si="35"/>
        <v/>
      </c>
      <c r="M28" s="11" t="str">
        <f t="shared" si="7"/>
        <v/>
      </c>
      <c r="N28" s="30" t="str">
        <f t="shared" si="8"/>
        <v>—</v>
      </c>
      <c r="O28" s="31"/>
      <c r="P28" s="31"/>
      <c r="Q28" s="31"/>
      <c r="R28" s="31"/>
      <c r="S28" s="31"/>
      <c r="T28" s="12" t="str">
        <f t="shared" si="9"/>
        <v/>
      </c>
      <c r="U28" s="11" t="str">
        <f t="shared" si="10"/>
        <v/>
      </c>
      <c r="V28" s="32" t="str">
        <f t="shared" si="11"/>
        <v/>
      </c>
      <c r="W28" s="12" t="str">
        <f t="shared" si="12"/>
        <v/>
      </c>
      <c r="X28" s="31"/>
      <c r="Y28" s="31"/>
      <c r="Z28" s="29"/>
      <c r="AA28" s="33"/>
      <c r="AC28" s="22" t="s">
        <v>157</v>
      </c>
    </row>
    <row r="29" ht="15.75" customHeight="1">
      <c r="A29" s="38">
        <v>46440.0</v>
      </c>
      <c r="B29" s="14" t="str">
        <f t="shared" si="2"/>
        <v>月</v>
      </c>
      <c r="C29" s="29"/>
      <c r="D29" s="15">
        <f t="shared" si="3"/>
        <v>0</v>
      </c>
      <c r="E29" s="29"/>
      <c r="F29" s="29"/>
      <c r="G29" s="29"/>
      <c r="H29" s="29"/>
      <c r="I29" s="15" t="str">
        <f t="shared" si="4"/>
        <v/>
      </c>
      <c r="J29" s="15" t="str">
        <f t="shared" si="5"/>
        <v/>
      </c>
      <c r="K29" s="16" t="str">
        <f t="shared" ref="K29:L29" si="36">IF(I29="","",IFERROR(I29/C29,""))</f>
        <v/>
      </c>
      <c r="L29" s="16" t="str">
        <f t="shared" si="36"/>
        <v/>
      </c>
      <c r="M29" s="15" t="str">
        <f t="shared" si="7"/>
        <v/>
      </c>
      <c r="N29" s="39" t="str">
        <f t="shared" si="8"/>
        <v>—</v>
      </c>
      <c r="O29" s="31"/>
      <c r="P29" s="31"/>
      <c r="Q29" s="31"/>
      <c r="R29" s="31"/>
      <c r="S29" s="31"/>
      <c r="T29" s="16" t="str">
        <f t="shared" si="9"/>
        <v/>
      </c>
      <c r="U29" s="15" t="str">
        <f t="shared" si="10"/>
        <v/>
      </c>
      <c r="V29" s="40" t="str">
        <f t="shared" si="11"/>
        <v/>
      </c>
      <c r="W29" s="16" t="str">
        <f t="shared" si="12"/>
        <v/>
      </c>
      <c r="X29" s="31"/>
      <c r="Y29" s="31"/>
      <c r="Z29" s="29"/>
      <c r="AA29" s="33"/>
    </row>
    <row r="30" ht="15.75" customHeight="1">
      <c r="A30" s="28">
        <v>46441.0</v>
      </c>
      <c r="B30" s="10" t="str">
        <f t="shared" si="2"/>
        <v>火</v>
      </c>
      <c r="C30" s="29"/>
      <c r="D30" s="11">
        <f t="shared" si="3"/>
        <v>0</v>
      </c>
      <c r="E30" s="29"/>
      <c r="F30" s="29"/>
      <c r="G30" s="29"/>
      <c r="H30" s="29"/>
      <c r="I30" s="11" t="str">
        <f t="shared" si="4"/>
        <v/>
      </c>
      <c r="J30" s="11" t="str">
        <f t="shared" si="5"/>
        <v/>
      </c>
      <c r="K30" s="12" t="str">
        <f t="shared" ref="K30:L30" si="37">IF(I30="","",IFERROR(I30/C30,""))</f>
        <v/>
      </c>
      <c r="L30" s="12" t="str">
        <f t="shared" si="37"/>
        <v/>
      </c>
      <c r="M30" s="11" t="str">
        <f t="shared" si="7"/>
        <v/>
      </c>
      <c r="N30" s="30" t="str">
        <f t="shared" si="8"/>
        <v>—</v>
      </c>
      <c r="O30" s="31"/>
      <c r="P30" s="31"/>
      <c r="Q30" s="31"/>
      <c r="R30" s="31"/>
      <c r="S30" s="31"/>
      <c r="T30" s="12" t="str">
        <f t="shared" si="9"/>
        <v/>
      </c>
      <c r="U30" s="11" t="str">
        <f t="shared" si="10"/>
        <v/>
      </c>
      <c r="V30" s="32" t="str">
        <f t="shared" si="11"/>
        <v/>
      </c>
      <c r="W30" s="12" t="str">
        <f t="shared" si="12"/>
        <v/>
      </c>
      <c r="X30" s="31"/>
      <c r="Y30" s="31"/>
      <c r="Z30" s="29"/>
      <c r="AA30" s="33"/>
    </row>
    <row r="31" ht="15.75" customHeight="1">
      <c r="A31" s="38">
        <v>46442.0</v>
      </c>
      <c r="B31" s="14" t="str">
        <f t="shared" si="2"/>
        <v>水</v>
      </c>
      <c r="C31" s="29"/>
      <c r="D31" s="15">
        <f t="shared" si="3"/>
        <v>0</v>
      </c>
      <c r="E31" s="29"/>
      <c r="F31" s="29"/>
      <c r="G31" s="29"/>
      <c r="H31" s="29"/>
      <c r="I31" s="15" t="str">
        <f t="shared" si="4"/>
        <v/>
      </c>
      <c r="J31" s="15" t="str">
        <f t="shared" si="5"/>
        <v/>
      </c>
      <c r="K31" s="16" t="str">
        <f t="shared" ref="K31:L31" si="38">IF(I31="","",IFERROR(I31/C31,""))</f>
        <v/>
      </c>
      <c r="L31" s="16" t="str">
        <f t="shared" si="38"/>
        <v/>
      </c>
      <c r="M31" s="15" t="str">
        <f t="shared" si="7"/>
        <v/>
      </c>
      <c r="N31" s="39" t="str">
        <f t="shared" si="8"/>
        <v>—</v>
      </c>
      <c r="O31" s="31"/>
      <c r="P31" s="31"/>
      <c r="Q31" s="31"/>
      <c r="R31" s="31"/>
      <c r="S31" s="31"/>
      <c r="T31" s="16" t="str">
        <f t="shared" si="9"/>
        <v/>
      </c>
      <c r="U31" s="15" t="str">
        <f t="shared" si="10"/>
        <v/>
      </c>
      <c r="V31" s="40" t="str">
        <f t="shared" si="11"/>
        <v/>
      </c>
      <c r="W31" s="16" t="str">
        <f t="shared" si="12"/>
        <v/>
      </c>
      <c r="X31" s="31"/>
      <c r="Y31" s="31"/>
      <c r="Z31" s="29"/>
      <c r="AA31" s="33"/>
    </row>
    <row r="32" ht="15.75" customHeight="1">
      <c r="A32" s="28">
        <v>46443.0</v>
      </c>
      <c r="B32" s="10" t="str">
        <f t="shared" si="2"/>
        <v>木</v>
      </c>
      <c r="C32" s="29"/>
      <c r="D32" s="11">
        <f t="shared" si="3"/>
        <v>0</v>
      </c>
      <c r="E32" s="29"/>
      <c r="F32" s="29"/>
      <c r="G32" s="29"/>
      <c r="H32" s="29"/>
      <c r="I32" s="11" t="str">
        <f t="shared" si="4"/>
        <v/>
      </c>
      <c r="J32" s="11" t="str">
        <f t="shared" si="5"/>
        <v/>
      </c>
      <c r="K32" s="12" t="str">
        <f t="shared" ref="K32:L32" si="39">IF(I32="","",IFERROR(I32/C32,""))</f>
        <v/>
      </c>
      <c r="L32" s="12" t="str">
        <f t="shared" si="39"/>
        <v/>
      </c>
      <c r="M32" s="11" t="str">
        <f t="shared" si="7"/>
        <v/>
      </c>
      <c r="N32" s="30" t="str">
        <f t="shared" si="8"/>
        <v>—</v>
      </c>
      <c r="O32" s="31"/>
      <c r="P32" s="31"/>
      <c r="Q32" s="31"/>
      <c r="R32" s="31"/>
      <c r="S32" s="31"/>
      <c r="T32" s="12" t="str">
        <f t="shared" si="9"/>
        <v/>
      </c>
      <c r="U32" s="11" t="str">
        <f t="shared" si="10"/>
        <v/>
      </c>
      <c r="V32" s="32" t="str">
        <f t="shared" si="11"/>
        <v/>
      </c>
      <c r="W32" s="12" t="str">
        <f t="shared" si="12"/>
        <v/>
      </c>
      <c r="X32" s="31"/>
      <c r="Y32" s="31"/>
      <c r="Z32" s="29"/>
      <c r="AA32" s="33"/>
    </row>
    <row r="33" ht="15.75" customHeight="1">
      <c r="A33" s="38">
        <v>46444.0</v>
      </c>
      <c r="B33" s="14" t="str">
        <f t="shared" si="2"/>
        <v>金</v>
      </c>
      <c r="C33" s="29"/>
      <c r="D33" s="15">
        <f t="shared" si="3"/>
        <v>0</v>
      </c>
      <c r="E33" s="29"/>
      <c r="F33" s="29"/>
      <c r="G33" s="29"/>
      <c r="H33" s="29"/>
      <c r="I33" s="15" t="str">
        <f t="shared" si="4"/>
        <v/>
      </c>
      <c r="J33" s="15" t="str">
        <f t="shared" si="5"/>
        <v/>
      </c>
      <c r="K33" s="16" t="str">
        <f t="shared" ref="K33:L33" si="40">IF(I33="","",IFERROR(I33/C33,""))</f>
        <v/>
      </c>
      <c r="L33" s="16" t="str">
        <f t="shared" si="40"/>
        <v/>
      </c>
      <c r="M33" s="15" t="str">
        <f t="shared" si="7"/>
        <v/>
      </c>
      <c r="N33" s="39" t="str">
        <f t="shared" si="8"/>
        <v>—</v>
      </c>
      <c r="O33" s="31"/>
      <c r="P33" s="31"/>
      <c r="Q33" s="31"/>
      <c r="R33" s="31"/>
      <c r="S33" s="31"/>
      <c r="T33" s="16" t="str">
        <f t="shared" si="9"/>
        <v/>
      </c>
      <c r="U33" s="15" t="str">
        <f t="shared" si="10"/>
        <v/>
      </c>
      <c r="V33" s="40" t="str">
        <f t="shared" si="11"/>
        <v/>
      </c>
      <c r="W33" s="16" t="str">
        <f t="shared" si="12"/>
        <v/>
      </c>
      <c r="X33" s="31"/>
      <c r="Y33" s="31"/>
      <c r="Z33" s="29"/>
      <c r="AA33" s="33"/>
    </row>
    <row r="34" ht="15.75" customHeight="1">
      <c r="A34" s="28">
        <v>46445.0</v>
      </c>
      <c r="B34" s="10" t="str">
        <f t="shared" si="2"/>
        <v>土</v>
      </c>
      <c r="C34" s="29"/>
      <c r="D34" s="11">
        <f t="shared" si="3"/>
        <v>0</v>
      </c>
      <c r="E34" s="29"/>
      <c r="F34" s="29"/>
      <c r="G34" s="29"/>
      <c r="H34" s="29"/>
      <c r="I34" s="11" t="str">
        <f t="shared" si="4"/>
        <v/>
      </c>
      <c r="J34" s="11" t="str">
        <f t="shared" si="5"/>
        <v/>
      </c>
      <c r="K34" s="12" t="str">
        <f t="shared" ref="K34:L34" si="41">IF(I34="","",IFERROR(I34/C34,""))</f>
        <v/>
      </c>
      <c r="L34" s="12" t="str">
        <f t="shared" si="41"/>
        <v/>
      </c>
      <c r="M34" s="11" t="str">
        <f t="shared" si="7"/>
        <v/>
      </c>
      <c r="N34" s="30" t="str">
        <f t="shared" si="8"/>
        <v>—</v>
      </c>
      <c r="O34" s="31"/>
      <c r="P34" s="31"/>
      <c r="Q34" s="31"/>
      <c r="R34" s="31"/>
      <c r="S34" s="31"/>
      <c r="T34" s="12" t="str">
        <f t="shared" si="9"/>
        <v/>
      </c>
      <c r="U34" s="11" t="str">
        <f t="shared" si="10"/>
        <v/>
      </c>
      <c r="V34" s="32" t="str">
        <f t="shared" si="11"/>
        <v/>
      </c>
      <c r="W34" s="12" t="str">
        <f t="shared" si="12"/>
        <v/>
      </c>
      <c r="X34" s="31"/>
      <c r="Y34" s="31"/>
      <c r="Z34" s="29"/>
      <c r="AA34" s="33"/>
    </row>
    <row r="35" ht="15.75" customHeight="1">
      <c r="A35" s="38">
        <v>46446.0</v>
      </c>
      <c r="B35" s="14" t="str">
        <f t="shared" si="2"/>
        <v>日</v>
      </c>
      <c r="C35" s="29"/>
      <c r="D35" s="15">
        <f t="shared" si="3"/>
        <v>0</v>
      </c>
      <c r="E35" s="29"/>
      <c r="F35" s="29"/>
      <c r="G35" s="29"/>
      <c r="H35" s="29"/>
      <c r="I35" s="15" t="str">
        <f t="shared" si="4"/>
        <v/>
      </c>
      <c r="J35" s="15" t="str">
        <f t="shared" si="5"/>
        <v/>
      </c>
      <c r="K35" s="16" t="str">
        <f t="shared" ref="K35:L35" si="42">IF(I35="","",IFERROR(I35/C35,""))</f>
        <v/>
      </c>
      <c r="L35" s="16" t="str">
        <f t="shared" si="42"/>
        <v/>
      </c>
      <c r="M35" s="15" t="str">
        <f t="shared" si="7"/>
        <v/>
      </c>
      <c r="N35" s="39" t="str">
        <f t="shared" si="8"/>
        <v>—</v>
      </c>
      <c r="O35" s="31"/>
      <c r="P35" s="31"/>
      <c r="Q35" s="31"/>
      <c r="R35" s="31"/>
      <c r="S35" s="31"/>
      <c r="T35" s="16" t="str">
        <f t="shared" si="9"/>
        <v/>
      </c>
      <c r="U35" s="15" t="str">
        <f t="shared" si="10"/>
        <v/>
      </c>
      <c r="V35" s="40" t="str">
        <f t="shared" si="11"/>
        <v/>
      </c>
      <c r="W35" s="16" t="str">
        <f t="shared" si="12"/>
        <v/>
      </c>
      <c r="X35" s="31"/>
      <c r="Y35" s="31"/>
      <c r="Z35" s="29"/>
      <c r="AA35" s="33"/>
    </row>
    <row r="36" ht="15.75" customHeight="1">
      <c r="A36" s="44" t="s">
        <v>81</v>
      </c>
      <c r="B36" s="18"/>
      <c r="C36" s="19">
        <f>SUM(C8:C35)</f>
        <v>0</v>
      </c>
      <c r="D36" s="19">
        <f>C36</f>
        <v>0</v>
      </c>
      <c r="E36" s="19">
        <f t="shared" ref="E36:I36" si="43">SUM(E8:E35)</f>
        <v>0</v>
      </c>
      <c r="F36" s="19">
        <f t="shared" si="43"/>
        <v>0</v>
      </c>
      <c r="G36" s="19">
        <f t="shared" si="43"/>
        <v>0</v>
      </c>
      <c r="H36" s="19">
        <f t="shared" si="43"/>
        <v>0</v>
      </c>
      <c r="I36" s="19">
        <f t="shared" si="43"/>
        <v>0</v>
      </c>
      <c r="J36" s="19">
        <f>I36</f>
        <v>0</v>
      </c>
      <c r="K36" s="20" t="str">
        <f>IFERROR(I36/C36,"")</f>
        <v/>
      </c>
      <c r="L36" s="20" t="str">
        <f>IFERROR(I36/C36,"")</f>
        <v/>
      </c>
      <c r="M36" s="19">
        <f>I36-C36</f>
        <v>0</v>
      </c>
      <c r="N36" s="45"/>
      <c r="O36" s="21">
        <f t="shared" ref="O36:S36" si="44">SUM(O8:O35)</f>
        <v>0</v>
      </c>
      <c r="P36" s="21">
        <f t="shared" si="44"/>
        <v>0</v>
      </c>
      <c r="Q36" s="21">
        <f t="shared" si="44"/>
        <v>0</v>
      </c>
      <c r="R36" s="21">
        <f t="shared" si="44"/>
        <v>0</v>
      </c>
      <c r="S36" s="21">
        <f t="shared" si="44"/>
        <v>0</v>
      </c>
      <c r="T36" s="20" t="str">
        <f t="shared" si="9"/>
        <v/>
      </c>
      <c r="U36" s="19" t="str">
        <f t="shared" si="10"/>
        <v/>
      </c>
      <c r="V36" s="46" t="str">
        <f t="shared" si="11"/>
        <v/>
      </c>
      <c r="W36" s="20" t="str">
        <f t="shared" si="12"/>
        <v/>
      </c>
      <c r="X36" s="21">
        <f>SUM(X8:X35)</f>
        <v>0</v>
      </c>
      <c r="Y36" s="21" t="str">
        <f>IFERROR(LOOKUP(9.99E+307,Y8:Y35),"")</f>
        <v/>
      </c>
      <c r="Z36" s="19">
        <f>SUM(Z8:Z35)</f>
        <v>0</v>
      </c>
      <c r="AA36" s="47" t="s">
        <v>82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A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M8:M35">
    <cfRule type="expression" dxfId="0" priority="1">
      <formula>AND($I8&lt;&gt;"",$M8&gt;=0)</formula>
    </cfRule>
  </conditionalFormatting>
  <conditionalFormatting sqref="M8:M35">
    <cfRule type="expression" dxfId="1" priority="2">
      <formula>AND($I8&lt;&gt;"",$M8&lt;0)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0.0"/>
    <col customWidth="1" min="8" max="8" width="11.0"/>
    <col customWidth="1" min="9" max="9" width="12.0"/>
    <col customWidth="1" min="10" max="10" width="13.0"/>
    <col customWidth="1" min="11" max="12" width="9.0"/>
    <col customWidth="1" min="13" max="13" width="13.0"/>
    <col customWidth="1" min="14" max="14" width="11.0"/>
    <col customWidth="1" min="15" max="20" width="8.0"/>
    <col customWidth="1" min="21" max="21" width="11.0"/>
    <col customWidth="1" min="22" max="24" width="8.0"/>
    <col customWidth="1" min="25" max="25" width="10.0"/>
    <col customWidth="1" min="26" max="26" width="9.0"/>
    <col customWidth="1" min="27" max="27" width="28.0"/>
    <col customWidth="1" min="28" max="28" width="3.0"/>
    <col customWidth="1" min="29" max="29" width="5.0"/>
    <col customWidth="1" min="30" max="30" width="13.0"/>
    <col customWidth="1" min="31" max="31" width="12.0"/>
    <col customWidth="1" min="32" max="32" width="9.0"/>
    <col customWidth="1" min="33" max="33" width="11.0"/>
    <col customWidth="1" min="34" max="36" width="9.0"/>
    <col customWidth="1" min="37" max="37" width="8.0"/>
  </cols>
  <sheetData>
    <row r="1" ht="27.75" customHeight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38</v>
      </c>
    </row>
    <row r="3">
      <c r="A3" s="5" t="s">
        <v>8</v>
      </c>
      <c r="B3" s="6"/>
      <c r="C3" s="5" t="s">
        <v>9</v>
      </c>
      <c r="D3" s="6"/>
      <c r="E3" s="5" t="s">
        <v>10</v>
      </c>
      <c r="F3" s="6"/>
      <c r="G3" s="5" t="s">
        <v>159</v>
      </c>
      <c r="H3" s="6"/>
      <c r="I3" s="5" t="s">
        <v>6</v>
      </c>
      <c r="J3" s="6"/>
      <c r="K3" s="5" t="s">
        <v>40</v>
      </c>
      <c r="L3" s="6"/>
    </row>
    <row r="4">
      <c r="A4" s="24">
        <f>IF('設定'!$B$19="",SUM(C8:C38),'設定'!$B$19)</f>
        <v>11000000</v>
      </c>
      <c r="B4" s="6"/>
      <c r="C4" s="7">
        <f>SUM(I8:I38)</f>
        <v>0</v>
      </c>
      <c r="D4" s="6"/>
      <c r="E4" s="8">
        <f>IFERROR(C4/A4,0)</f>
        <v>0</v>
      </c>
      <c r="F4" s="6"/>
      <c r="G4" s="25">
        <f>COUNTIF(I8:I38,"&gt;0")</f>
        <v>0</v>
      </c>
      <c r="H4" s="6"/>
      <c r="I4" s="7">
        <f>A4-C4</f>
        <v>11000000</v>
      </c>
      <c r="J4" s="6"/>
      <c r="K4" s="7">
        <f>IF((31-G4)&gt;0,(A4-C4)/(31-G4),0)</f>
        <v>354838.7097</v>
      </c>
      <c r="L4" s="6"/>
    </row>
    <row r="5">
      <c r="A5" s="5" t="s">
        <v>41</v>
      </c>
      <c r="B5" s="6"/>
      <c r="C5" s="5" t="s">
        <v>42</v>
      </c>
      <c r="D5" s="6"/>
      <c r="E5" s="5" t="s">
        <v>16</v>
      </c>
      <c r="F5" s="6"/>
      <c r="G5" s="5" t="s">
        <v>17</v>
      </c>
      <c r="H5" s="6"/>
      <c r="I5" s="5" t="s">
        <v>43</v>
      </c>
      <c r="J5" s="6"/>
      <c r="K5" s="5" t="s">
        <v>44</v>
      </c>
      <c r="L5" s="6"/>
    </row>
    <row r="6">
      <c r="A6" s="7">
        <f>SUM(C8:C38)</f>
        <v>0</v>
      </c>
      <c r="B6" s="6"/>
      <c r="C6" s="7">
        <f>IFERROR(C4/G4*31,0)</f>
        <v>0</v>
      </c>
      <c r="D6" s="6"/>
      <c r="E6" s="8">
        <f>IFERROR(O39/Q39,0)</f>
        <v>0</v>
      </c>
      <c r="F6" s="6"/>
      <c r="G6" s="7">
        <f>IFERROR(I39/O39,0)</f>
        <v>0</v>
      </c>
      <c r="H6" s="6"/>
      <c r="I6" s="26">
        <f>IFERROR(P39/O39,0)</f>
        <v>0</v>
      </c>
      <c r="J6" s="6"/>
      <c r="K6" s="8">
        <f>IFERROR(R39/Q39,0)</f>
        <v>0</v>
      </c>
      <c r="L6" s="6"/>
    </row>
    <row r="7" ht="30.0" customHeight="1">
      <c r="A7" s="9" t="s">
        <v>45</v>
      </c>
      <c r="B7" s="9" t="s">
        <v>46</v>
      </c>
      <c r="C7" s="9" t="s">
        <v>47</v>
      </c>
      <c r="D7" s="9" t="s">
        <v>18</v>
      </c>
      <c r="E7" s="9" t="s">
        <v>48</v>
      </c>
      <c r="F7" s="9" t="s">
        <v>49</v>
      </c>
      <c r="G7" s="9" t="s">
        <v>99</v>
      </c>
      <c r="H7" s="9" t="s">
        <v>160</v>
      </c>
      <c r="I7" s="9" t="s">
        <v>51</v>
      </c>
      <c r="J7" s="9" t="s">
        <v>19</v>
      </c>
      <c r="K7" s="9" t="s">
        <v>52</v>
      </c>
      <c r="L7" s="9" t="s">
        <v>53</v>
      </c>
      <c r="M7" s="9" t="s">
        <v>54</v>
      </c>
      <c r="N7" s="9" t="s">
        <v>55</v>
      </c>
      <c r="O7" s="9" t="s">
        <v>14</v>
      </c>
      <c r="P7" s="9" t="s">
        <v>56</v>
      </c>
      <c r="Q7" s="9" t="s">
        <v>15</v>
      </c>
      <c r="R7" s="9" t="s">
        <v>57</v>
      </c>
      <c r="S7" s="9" t="s">
        <v>58</v>
      </c>
      <c r="T7" s="9" t="s">
        <v>16</v>
      </c>
      <c r="U7" s="9" t="s">
        <v>17</v>
      </c>
      <c r="V7" s="9" t="s">
        <v>43</v>
      </c>
      <c r="W7" s="9" t="s">
        <v>44</v>
      </c>
      <c r="X7" s="9" t="s">
        <v>59</v>
      </c>
      <c r="Y7" s="9" t="s">
        <v>60</v>
      </c>
      <c r="Z7" s="9" t="s">
        <v>61</v>
      </c>
      <c r="AA7" s="9" t="s">
        <v>62</v>
      </c>
      <c r="AC7" s="27" t="s">
        <v>63</v>
      </c>
      <c r="AD7" s="27" t="s">
        <v>64</v>
      </c>
      <c r="AE7" s="27" t="s">
        <v>65</v>
      </c>
      <c r="AF7" s="27" t="s">
        <v>16</v>
      </c>
      <c r="AG7" s="27" t="s">
        <v>17</v>
      </c>
    </row>
    <row r="8">
      <c r="A8" s="28">
        <v>46447.0</v>
      </c>
      <c r="B8" s="10" t="str">
        <f t="shared" ref="B8:B38" si="2">MID("日月火水木金土",WEEKDAY(A8),1)</f>
        <v>月</v>
      </c>
      <c r="C8" s="29"/>
      <c r="D8" s="11">
        <f t="shared" ref="D8:D38" si="3">SUM($C$8:C8)</f>
        <v>0</v>
      </c>
      <c r="E8" s="29"/>
      <c r="F8" s="29"/>
      <c r="G8" s="29"/>
      <c r="H8" s="29"/>
      <c r="I8" s="11" t="str">
        <f t="shared" ref="I8:I38" si="4">IF(COUNT(E8:H8)=0,"",SUM(E8:H8))</f>
        <v/>
      </c>
      <c r="J8" s="11" t="str">
        <f t="shared" ref="J8:J38" si="5">IF(I8="","",SUM($I$8:I8))</f>
        <v/>
      </c>
      <c r="K8" s="12" t="str">
        <f t="shared" ref="K8:L8" si="1">IF(I8="","",IFERROR(I8/C8,""))</f>
        <v/>
      </c>
      <c r="L8" s="12" t="str">
        <f t="shared" si="1"/>
        <v/>
      </c>
      <c r="M8" s="11" t="str">
        <f t="shared" ref="M8:M38" si="7">IF(J8="","",IF(D8=0,"",J8-D8))</f>
        <v/>
      </c>
      <c r="N8" s="30" t="str">
        <f t="shared" ref="N8:N38" si="8">IF(I8="","—",IF(D8=0,"予算未入力",IF(J8&gt;=D8,"◎ ペース内","▲ 遅れ")))</f>
        <v>—</v>
      </c>
      <c r="O8" s="31"/>
      <c r="P8" s="31"/>
      <c r="Q8" s="31"/>
      <c r="R8" s="31"/>
      <c r="S8" s="31"/>
      <c r="T8" s="12" t="str">
        <f t="shared" ref="T8:T39" si="9">IFERROR(O8/Q8,"")</f>
        <v/>
      </c>
      <c r="U8" s="11" t="str">
        <f t="shared" ref="U8:U39" si="10">IFERROR(I8/O8,"")</f>
        <v/>
      </c>
      <c r="V8" s="32" t="str">
        <f t="shared" ref="V8:V39" si="11">IFERROR(P8/O8,"")</f>
        <v/>
      </c>
      <c r="W8" s="12" t="str">
        <f t="shared" ref="W8:W39" si="12">IFERROR(R8/Q8,"")</f>
        <v/>
      </c>
      <c r="X8" s="31"/>
      <c r="Y8" s="31"/>
      <c r="Z8" s="29"/>
      <c r="AA8" s="33"/>
      <c r="AC8" s="34" t="s">
        <v>7</v>
      </c>
      <c r="AD8" s="35">
        <f t="shared" ref="AD8:AD14" si="13">IFERROR(AVERAGEIFS($I$8:$I$38,$B$8:$B$38,AC8,$I$8:$I$38,"&gt;0"),0)</f>
        <v>0</v>
      </c>
      <c r="AE8" s="36">
        <f t="shared" ref="AE8:AE14" si="14">COUNTIFS($B$8:$B$38,AC8,$I$8:$I$38,"&gt;0")</f>
        <v>0</v>
      </c>
      <c r="AF8" s="37">
        <f t="shared" ref="AF8:AF14" si="15">IFERROR(SUMIF($B$8:$B$38,AC8,$O$8:$O$38)/SUMIF($B$8:$B$38,AC8,$Q$8:$Q$38),0)</f>
        <v>0</v>
      </c>
      <c r="AG8" s="35">
        <f t="shared" ref="AG8:AG14" si="16">IFERROR(SUMIF($B$8:$B$38,AC8,$I$8:$I$38)/SUMIF($B$8:$B$38,AC8,$O$8:$O$38),0)</f>
        <v>0</v>
      </c>
    </row>
    <row r="9">
      <c r="A9" s="38">
        <v>46448.0</v>
      </c>
      <c r="B9" s="14" t="str">
        <f t="shared" si="2"/>
        <v>火</v>
      </c>
      <c r="C9" s="29"/>
      <c r="D9" s="15">
        <f t="shared" si="3"/>
        <v>0</v>
      </c>
      <c r="E9" s="29"/>
      <c r="F9" s="29"/>
      <c r="G9" s="29"/>
      <c r="H9" s="29"/>
      <c r="I9" s="15" t="str">
        <f t="shared" si="4"/>
        <v/>
      </c>
      <c r="J9" s="15" t="str">
        <f t="shared" si="5"/>
        <v/>
      </c>
      <c r="K9" s="16" t="str">
        <f t="shared" ref="K9:L9" si="6">IF(I9="","",IFERROR(I9/C9,""))</f>
        <v/>
      </c>
      <c r="L9" s="16" t="str">
        <f t="shared" si="6"/>
        <v/>
      </c>
      <c r="M9" s="15" t="str">
        <f t="shared" si="7"/>
        <v/>
      </c>
      <c r="N9" s="39" t="str">
        <f t="shared" si="8"/>
        <v>—</v>
      </c>
      <c r="O9" s="31"/>
      <c r="P9" s="31"/>
      <c r="Q9" s="31"/>
      <c r="R9" s="31"/>
      <c r="S9" s="31"/>
      <c r="T9" s="16" t="str">
        <f t="shared" si="9"/>
        <v/>
      </c>
      <c r="U9" s="15" t="str">
        <f t="shared" si="10"/>
        <v/>
      </c>
      <c r="V9" s="40" t="str">
        <f t="shared" si="11"/>
        <v/>
      </c>
      <c r="W9" s="16" t="str">
        <f t="shared" si="12"/>
        <v/>
      </c>
      <c r="X9" s="31"/>
      <c r="Y9" s="31"/>
      <c r="Z9" s="29"/>
      <c r="AA9" s="33"/>
      <c r="AC9" s="34" t="s">
        <v>66</v>
      </c>
      <c r="AD9" s="35">
        <f t="shared" si="13"/>
        <v>0</v>
      </c>
      <c r="AE9" s="36">
        <f t="shared" si="14"/>
        <v>0</v>
      </c>
      <c r="AF9" s="37">
        <f t="shared" si="15"/>
        <v>0</v>
      </c>
      <c r="AG9" s="35">
        <f t="shared" si="16"/>
        <v>0</v>
      </c>
    </row>
    <row r="10">
      <c r="A10" s="28">
        <v>46449.0</v>
      </c>
      <c r="B10" s="10" t="str">
        <f t="shared" si="2"/>
        <v>水</v>
      </c>
      <c r="C10" s="29"/>
      <c r="D10" s="11">
        <f t="shared" si="3"/>
        <v>0</v>
      </c>
      <c r="E10" s="29"/>
      <c r="F10" s="29"/>
      <c r="G10" s="29"/>
      <c r="H10" s="29"/>
      <c r="I10" s="11" t="str">
        <f t="shared" si="4"/>
        <v/>
      </c>
      <c r="J10" s="11" t="str">
        <f t="shared" si="5"/>
        <v/>
      </c>
      <c r="K10" s="12" t="str">
        <f t="shared" ref="K10:L10" si="17">IF(I10="","",IFERROR(I10/C10,""))</f>
        <v/>
      </c>
      <c r="L10" s="12" t="str">
        <f t="shared" si="17"/>
        <v/>
      </c>
      <c r="M10" s="11" t="str">
        <f t="shared" si="7"/>
        <v/>
      </c>
      <c r="N10" s="30" t="str">
        <f t="shared" si="8"/>
        <v>—</v>
      </c>
      <c r="O10" s="31"/>
      <c r="P10" s="31"/>
      <c r="Q10" s="31"/>
      <c r="R10" s="31"/>
      <c r="S10" s="31"/>
      <c r="T10" s="12" t="str">
        <f t="shared" si="9"/>
        <v/>
      </c>
      <c r="U10" s="11" t="str">
        <f t="shared" si="10"/>
        <v/>
      </c>
      <c r="V10" s="32" t="str">
        <f t="shared" si="11"/>
        <v/>
      </c>
      <c r="W10" s="12" t="str">
        <f t="shared" si="12"/>
        <v/>
      </c>
      <c r="X10" s="31"/>
      <c r="Y10" s="31"/>
      <c r="Z10" s="29"/>
      <c r="AA10" s="33"/>
      <c r="AC10" s="34" t="s">
        <v>67</v>
      </c>
      <c r="AD10" s="35">
        <f t="shared" si="13"/>
        <v>0</v>
      </c>
      <c r="AE10" s="36">
        <f t="shared" si="14"/>
        <v>0</v>
      </c>
      <c r="AF10" s="37">
        <f t="shared" si="15"/>
        <v>0</v>
      </c>
      <c r="AG10" s="35">
        <f t="shared" si="16"/>
        <v>0</v>
      </c>
    </row>
    <row r="11">
      <c r="A11" s="38">
        <v>46450.0</v>
      </c>
      <c r="B11" s="14" t="str">
        <f t="shared" si="2"/>
        <v>木</v>
      </c>
      <c r="C11" s="29"/>
      <c r="D11" s="15">
        <f t="shared" si="3"/>
        <v>0</v>
      </c>
      <c r="E11" s="29"/>
      <c r="F11" s="29"/>
      <c r="G11" s="29"/>
      <c r="H11" s="29"/>
      <c r="I11" s="15" t="str">
        <f t="shared" si="4"/>
        <v/>
      </c>
      <c r="J11" s="15" t="str">
        <f t="shared" si="5"/>
        <v/>
      </c>
      <c r="K11" s="16" t="str">
        <f t="shared" ref="K11:L11" si="18">IF(I11="","",IFERROR(I11/C11,""))</f>
        <v/>
      </c>
      <c r="L11" s="16" t="str">
        <f t="shared" si="18"/>
        <v/>
      </c>
      <c r="M11" s="15" t="str">
        <f t="shared" si="7"/>
        <v/>
      </c>
      <c r="N11" s="39" t="str">
        <f t="shared" si="8"/>
        <v>—</v>
      </c>
      <c r="O11" s="31"/>
      <c r="P11" s="31"/>
      <c r="Q11" s="31"/>
      <c r="R11" s="31"/>
      <c r="S11" s="31"/>
      <c r="T11" s="16" t="str">
        <f t="shared" si="9"/>
        <v/>
      </c>
      <c r="U11" s="15" t="str">
        <f t="shared" si="10"/>
        <v/>
      </c>
      <c r="V11" s="40" t="str">
        <f t="shared" si="11"/>
        <v/>
      </c>
      <c r="W11" s="16" t="str">
        <f t="shared" si="12"/>
        <v/>
      </c>
      <c r="X11" s="31"/>
      <c r="Y11" s="31"/>
      <c r="Z11" s="29"/>
      <c r="AA11" s="33"/>
      <c r="AC11" s="34" t="s">
        <v>68</v>
      </c>
      <c r="AD11" s="35">
        <f t="shared" si="13"/>
        <v>0</v>
      </c>
      <c r="AE11" s="36">
        <f t="shared" si="14"/>
        <v>0</v>
      </c>
      <c r="AF11" s="37">
        <f t="shared" si="15"/>
        <v>0</v>
      </c>
      <c r="AG11" s="35">
        <f t="shared" si="16"/>
        <v>0</v>
      </c>
    </row>
    <row r="12">
      <c r="A12" s="28">
        <v>46451.0</v>
      </c>
      <c r="B12" s="10" t="str">
        <f t="shared" si="2"/>
        <v>金</v>
      </c>
      <c r="C12" s="29"/>
      <c r="D12" s="11">
        <f t="shared" si="3"/>
        <v>0</v>
      </c>
      <c r="E12" s="29"/>
      <c r="F12" s="29"/>
      <c r="G12" s="29"/>
      <c r="H12" s="29"/>
      <c r="I12" s="11" t="str">
        <f t="shared" si="4"/>
        <v/>
      </c>
      <c r="J12" s="11" t="str">
        <f t="shared" si="5"/>
        <v/>
      </c>
      <c r="K12" s="12" t="str">
        <f t="shared" ref="K12:L12" si="19">IF(I12="","",IFERROR(I12/C12,""))</f>
        <v/>
      </c>
      <c r="L12" s="12" t="str">
        <f t="shared" si="19"/>
        <v/>
      </c>
      <c r="M12" s="11" t="str">
        <f t="shared" si="7"/>
        <v/>
      </c>
      <c r="N12" s="30" t="str">
        <f t="shared" si="8"/>
        <v>—</v>
      </c>
      <c r="O12" s="31"/>
      <c r="P12" s="31"/>
      <c r="Q12" s="31"/>
      <c r="R12" s="31"/>
      <c r="S12" s="31"/>
      <c r="T12" s="12" t="str">
        <f t="shared" si="9"/>
        <v/>
      </c>
      <c r="U12" s="11" t="str">
        <f t="shared" si="10"/>
        <v/>
      </c>
      <c r="V12" s="32" t="str">
        <f t="shared" si="11"/>
        <v/>
      </c>
      <c r="W12" s="12" t="str">
        <f t="shared" si="12"/>
        <v/>
      </c>
      <c r="X12" s="31"/>
      <c r="Y12" s="31"/>
      <c r="Z12" s="29"/>
      <c r="AA12" s="33"/>
      <c r="AC12" s="34" t="s">
        <v>69</v>
      </c>
      <c r="AD12" s="35">
        <f t="shared" si="13"/>
        <v>0</v>
      </c>
      <c r="AE12" s="36">
        <f t="shared" si="14"/>
        <v>0</v>
      </c>
      <c r="AF12" s="37">
        <f t="shared" si="15"/>
        <v>0</v>
      </c>
      <c r="AG12" s="35">
        <f t="shared" si="16"/>
        <v>0</v>
      </c>
    </row>
    <row r="13">
      <c r="A13" s="38">
        <v>46452.0</v>
      </c>
      <c r="B13" s="14" t="str">
        <f t="shared" si="2"/>
        <v>土</v>
      </c>
      <c r="C13" s="29"/>
      <c r="D13" s="15">
        <f t="shared" si="3"/>
        <v>0</v>
      </c>
      <c r="E13" s="29"/>
      <c r="F13" s="29"/>
      <c r="G13" s="29"/>
      <c r="H13" s="29"/>
      <c r="I13" s="15" t="str">
        <f t="shared" si="4"/>
        <v/>
      </c>
      <c r="J13" s="15" t="str">
        <f t="shared" si="5"/>
        <v/>
      </c>
      <c r="K13" s="16" t="str">
        <f t="shared" ref="K13:L13" si="20">IF(I13="","",IFERROR(I13/C13,""))</f>
        <v/>
      </c>
      <c r="L13" s="16" t="str">
        <f t="shared" si="20"/>
        <v/>
      </c>
      <c r="M13" s="15" t="str">
        <f t="shared" si="7"/>
        <v/>
      </c>
      <c r="N13" s="39" t="str">
        <f t="shared" si="8"/>
        <v>—</v>
      </c>
      <c r="O13" s="31"/>
      <c r="P13" s="31"/>
      <c r="Q13" s="31"/>
      <c r="R13" s="31"/>
      <c r="S13" s="31"/>
      <c r="T13" s="16" t="str">
        <f t="shared" si="9"/>
        <v/>
      </c>
      <c r="U13" s="15" t="str">
        <f t="shared" si="10"/>
        <v/>
      </c>
      <c r="V13" s="40" t="str">
        <f t="shared" si="11"/>
        <v/>
      </c>
      <c r="W13" s="16" t="str">
        <f t="shared" si="12"/>
        <v/>
      </c>
      <c r="X13" s="31"/>
      <c r="Y13" s="31"/>
      <c r="Z13" s="29"/>
      <c r="AA13" s="33"/>
      <c r="AC13" s="34" t="s">
        <v>70</v>
      </c>
      <c r="AD13" s="35">
        <f t="shared" si="13"/>
        <v>0</v>
      </c>
      <c r="AE13" s="36">
        <f t="shared" si="14"/>
        <v>0</v>
      </c>
      <c r="AF13" s="37">
        <f t="shared" si="15"/>
        <v>0</v>
      </c>
      <c r="AG13" s="35">
        <f t="shared" si="16"/>
        <v>0</v>
      </c>
    </row>
    <row r="14">
      <c r="A14" s="28">
        <v>46453.0</v>
      </c>
      <c r="B14" s="10" t="str">
        <f t="shared" si="2"/>
        <v>日</v>
      </c>
      <c r="C14" s="29"/>
      <c r="D14" s="11">
        <f t="shared" si="3"/>
        <v>0</v>
      </c>
      <c r="E14" s="29"/>
      <c r="F14" s="29"/>
      <c r="G14" s="29"/>
      <c r="H14" s="29"/>
      <c r="I14" s="11" t="str">
        <f t="shared" si="4"/>
        <v/>
      </c>
      <c r="J14" s="11" t="str">
        <f t="shared" si="5"/>
        <v/>
      </c>
      <c r="K14" s="12" t="str">
        <f t="shared" ref="K14:L14" si="21">IF(I14="","",IFERROR(I14/C14,""))</f>
        <v/>
      </c>
      <c r="L14" s="12" t="str">
        <f t="shared" si="21"/>
        <v/>
      </c>
      <c r="M14" s="11" t="str">
        <f t="shared" si="7"/>
        <v/>
      </c>
      <c r="N14" s="30" t="str">
        <f t="shared" si="8"/>
        <v>—</v>
      </c>
      <c r="O14" s="31"/>
      <c r="P14" s="31"/>
      <c r="Q14" s="31"/>
      <c r="R14" s="31"/>
      <c r="S14" s="31"/>
      <c r="T14" s="12" t="str">
        <f t="shared" si="9"/>
        <v/>
      </c>
      <c r="U14" s="11" t="str">
        <f t="shared" si="10"/>
        <v/>
      </c>
      <c r="V14" s="32" t="str">
        <f t="shared" si="11"/>
        <v/>
      </c>
      <c r="W14" s="12" t="str">
        <f t="shared" si="12"/>
        <v/>
      </c>
      <c r="X14" s="31"/>
      <c r="Y14" s="31"/>
      <c r="Z14" s="29"/>
      <c r="AA14" s="33"/>
      <c r="AC14" s="34" t="s">
        <v>71</v>
      </c>
      <c r="AD14" s="35">
        <f t="shared" si="13"/>
        <v>0</v>
      </c>
      <c r="AE14" s="36">
        <f t="shared" si="14"/>
        <v>0</v>
      </c>
      <c r="AF14" s="37">
        <f t="shared" si="15"/>
        <v>0</v>
      </c>
      <c r="AG14" s="35">
        <f t="shared" si="16"/>
        <v>0</v>
      </c>
    </row>
    <row r="15">
      <c r="A15" s="38">
        <v>46454.0</v>
      </c>
      <c r="B15" s="14" t="str">
        <f t="shared" si="2"/>
        <v>月</v>
      </c>
      <c r="C15" s="29"/>
      <c r="D15" s="15">
        <f t="shared" si="3"/>
        <v>0</v>
      </c>
      <c r="E15" s="29"/>
      <c r="F15" s="29"/>
      <c r="G15" s="29"/>
      <c r="H15" s="29"/>
      <c r="I15" s="15" t="str">
        <f t="shared" si="4"/>
        <v/>
      </c>
      <c r="J15" s="15" t="str">
        <f t="shared" si="5"/>
        <v/>
      </c>
      <c r="K15" s="16" t="str">
        <f t="shared" ref="K15:L15" si="22">IF(I15="","",IFERROR(I15/C15,""))</f>
        <v/>
      </c>
      <c r="L15" s="16" t="str">
        <f t="shared" si="22"/>
        <v/>
      </c>
      <c r="M15" s="15" t="str">
        <f t="shared" si="7"/>
        <v/>
      </c>
      <c r="N15" s="39" t="str">
        <f t="shared" si="8"/>
        <v>—</v>
      </c>
      <c r="O15" s="31"/>
      <c r="P15" s="31"/>
      <c r="Q15" s="31"/>
      <c r="R15" s="31"/>
      <c r="S15" s="31"/>
      <c r="T15" s="16" t="str">
        <f t="shared" si="9"/>
        <v/>
      </c>
      <c r="U15" s="15" t="str">
        <f t="shared" si="10"/>
        <v/>
      </c>
      <c r="V15" s="40" t="str">
        <f t="shared" si="11"/>
        <v/>
      </c>
      <c r="W15" s="16" t="str">
        <f t="shared" si="12"/>
        <v/>
      </c>
      <c r="X15" s="31"/>
      <c r="Y15" s="31"/>
      <c r="Z15" s="29"/>
      <c r="AA15" s="33"/>
    </row>
    <row r="16">
      <c r="A16" s="28">
        <v>46455.0</v>
      </c>
      <c r="B16" s="10" t="str">
        <f t="shared" si="2"/>
        <v>火</v>
      </c>
      <c r="C16" s="29"/>
      <c r="D16" s="11">
        <f t="shared" si="3"/>
        <v>0</v>
      </c>
      <c r="E16" s="29"/>
      <c r="F16" s="29"/>
      <c r="G16" s="29"/>
      <c r="H16" s="29"/>
      <c r="I16" s="11" t="str">
        <f t="shared" si="4"/>
        <v/>
      </c>
      <c r="J16" s="11" t="str">
        <f t="shared" si="5"/>
        <v/>
      </c>
      <c r="K16" s="12" t="str">
        <f t="shared" ref="K16:L16" si="23">IF(I16="","",IFERROR(I16/C16,""))</f>
        <v/>
      </c>
      <c r="L16" s="12" t="str">
        <f t="shared" si="23"/>
        <v/>
      </c>
      <c r="M16" s="11" t="str">
        <f t="shared" si="7"/>
        <v/>
      </c>
      <c r="N16" s="30" t="str">
        <f t="shared" si="8"/>
        <v>—</v>
      </c>
      <c r="O16" s="31"/>
      <c r="P16" s="31"/>
      <c r="Q16" s="31"/>
      <c r="R16" s="31"/>
      <c r="S16" s="31"/>
      <c r="T16" s="12" t="str">
        <f t="shared" si="9"/>
        <v/>
      </c>
      <c r="U16" s="11" t="str">
        <f t="shared" si="10"/>
        <v/>
      </c>
      <c r="V16" s="32" t="str">
        <f t="shared" si="11"/>
        <v/>
      </c>
      <c r="W16" s="12" t="str">
        <f t="shared" si="12"/>
        <v/>
      </c>
      <c r="X16" s="31"/>
      <c r="Y16" s="31"/>
      <c r="Z16" s="29"/>
      <c r="AA16" s="33"/>
      <c r="AC16" s="22" t="s">
        <v>72</v>
      </c>
    </row>
    <row r="17">
      <c r="A17" s="38">
        <v>46456.0</v>
      </c>
      <c r="B17" s="14" t="str">
        <f t="shared" si="2"/>
        <v>水</v>
      </c>
      <c r="C17" s="29"/>
      <c r="D17" s="15">
        <f t="shared" si="3"/>
        <v>0</v>
      </c>
      <c r="E17" s="29"/>
      <c r="F17" s="29"/>
      <c r="G17" s="29"/>
      <c r="H17" s="29"/>
      <c r="I17" s="15" t="str">
        <f t="shared" si="4"/>
        <v/>
      </c>
      <c r="J17" s="15" t="str">
        <f t="shared" si="5"/>
        <v/>
      </c>
      <c r="K17" s="16" t="str">
        <f t="shared" ref="K17:L17" si="24">IF(I17="","",IFERROR(I17/C17,""))</f>
        <v/>
      </c>
      <c r="L17" s="16" t="str">
        <f t="shared" si="24"/>
        <v/>
      </c>
      <c r="M17" s="15" t="str">
        <f t="shared" si="7"/>
        <v/>
      </c>
      <c r="N17" s="39" t="str">
        <f t="shared" si="8"/>
        <v>—</v>
      </c>
      <c r="O17" s="31"/>
      <c r="P17" s="31"/>
      <c r="Q17" s="31"/>
      <c r="R17" s="31"/>
      <c r="S17" s="31"/>
      <c r="T17" s="16" t="str">
        <f t="shared" si="9"/>
        <v/>
      </c>
      <c r="U17" s="15" t="str">
        <f t="shared" si="10"/>
        <v/>
      </c>
      <c r="V17" s="40" t="str">
        <f t="shared" si="11"/>
        <v/>
      </c>
      <c r="W17" s="16" t="str">
        <f t="shared" si="12"/>
        <v/>
      </c>
      <c r="X17" s="31"/>
      <c r="Y17" s="31"/>
      <c r="Z17" s="29"/>
      <c r="AA17" s="33"/>
    </row>
    <row r="18">
      <c r="A18" s="28">
        <v>46457.0</v>
      </c>
      <c r="B18" s="10" t="str">
        <f t="shared" si="2"/>
        <v>木</v>
      </c>
      <c r="C18" s="29"/>
      <c r="D18" s="11">
        <f t="shared" si="3"/>
        <v>0</v>
      </c>
      <c r="E18" s="29"/>
      <c r="F18" s="29"/>
      <c r="G18" s="29"/>
      <c r="H18" s="29"/>
      <c r="I18" s="11" t="str">
        <f t="shared" si="4"/>
        <v/>
      </c>
      <c r="J18" s="11" t="str">
        <f t="shared" si="5"/>
        <v/>
      </c>
      <c r="K18" s="12" t="str">
        <f t="shared" ref="K18:L18" si="25">IF(I18="","",IFERROR(I18/C18,""))</f>
        <v/>
      </c>
      <c r="L18" s="12" t="str">
        <f t="shared" si="25"/>
        <v/>
      </c>
      <c r="M18" s="11" t="str">
        <f t="shared" si="7"/>
        <v/>
      </c>
      <c r="N18" s="30" t="str">
        <f t="shared" si="8"/>
        <v>—</v>
      </c>
      <c r="O18" s="31"/>
      <c r="P18" s="31"/>
      <c r="Q18" s="31"/>
      <c r="R18" s="31"/>
      <c r="S18" s="31"/>
      <c r="T18" s="12" t="str">
        <f t="shared" si="9"/>
        <v/>
      </c>
      <c r="U18" s="11" t="str">
        <f t="shared" si="10"/>
        <v/>
      </c>
      <c r="V18" s="32" t="str">
        <f t="shared" si="11"/>
        <v/>
      </c>
      <c r="W18" s="12" t="str">
        <f t="shared" si="12"/>
        <v/>
      </c>
      <c r="X18" s="31"/>
      <c r="Y18" s="31"/>
      <c r="Z18" s="29"/>
      <c r="AA18" s="33"/>
      <c r="AC18" s="23" t="s">
        <v>210</v>
      </c>
      <c r="AJ18" s="22" t="s">
        <v>161</v>
      </c>
      <c r="AK18" s="41">
        <f>$A$8+MOD(1-WEEKDAY($A$8,2)+7,7)</f>
        <v>46448</v>
      </c>
    </row>
    <row r="19">
      <c r="A19" s="38">
        <v>46458.0</v>
      </c>
      <c r="B19" s="14" t="str">
        <f t="shared" si="2"/>
        <v>金</v>
      </c>
      <c r="C19" s="29"/>
      <c r="D19" s="15">
        <f t="shared" si="3"/>
        <v>0</v>
      </c>
      <c r="E19" s="29"/>
      <c r="F19" s="29"/>
      <c r="G19" s="29"/>
      <c r="H19" s="29"/>
      <c r="I19" s="15" t="str">
        <f t="shared" si="4"/>
        <v/>
      </c>
      <c r="J19" s="15" t="str">
        <f t="shared" si="5"/>
        <v/>
      </c>
      <c r="K19" s="16" t="str">
        <f t="shared" ref="K19:L19" si="26">IF(I19="","",IFERROR(I19/C19,""))</f>
        <v/>
      </c>
      <c r="L19" s="16" t="str">
        <f t="shared" si="26"/>
        <v/>
      </c>
      <c r="M19" s="15" t="str">
        <f t="shared" si="7"/>
        <v/>
      </c>
      <c r="N19" s="39" t="str">
        <f t="shared" si="8"/>
        <v>—</v>
      </c>
      <c r="O19" s="31"/>
      <c r="P19" s="31"/>
      <c r="Q19" s="31"/>
      <c r="R19" s="31"/>
      <c r="S19" s="31"/>
      <c r="T19" s="16" t="str">
        <f t="shared" si="9"/>
        <v/>
      </c>
      <c r="U19" s="15" t="str">
        <f t="shared" si="10"/>
        <v/>
      </c>
      <c r="V19" s="40" t="str">
        <f t="shared" si="11"/>
        <v/>
      </c>
      <c r="W19" s="16" t="str">
        <f t="shared" si="12"/>
        <v/>
      </c>
      <c r="X19" s="31"/>
      <c r="Y19" s="31"/>
      <c r="Z19" s="29"/>
      <c r="AA19" s="33"/>
      <c r="AC19" s="27" t="s">
        <v>75</v>
      </c>
      <c r="AD19" s="27" t="s">
        <v>76</v>
      </c>
      <c r="AE19" s="27" t="s">
        <v>77</v>
      </c>
      <c r="AF19" s="27" t="s">
        <v>16</v>
      </c>
      <c r="AG19" s="27" t="s">
        <v>17</v>
      </c>
      <c r="AH19" s="27" t="s">
        <v>43</v>
      </c>
      <c r="AI19" s="27" t="s">
        <v>44</v>
      </c>
    </row>
    <row r="20">
      <c r="A20" s="28">
        <v>46459.0</v>
      </c>
      <c r="B20" s="10" t="str">
        <f t="shared" si="2"/>
        <v>土</v>
      </c>
      <c r="C20" s="29"/>
      <c r="D20" s="11">
        <f t="shared" si="3"/>
        <v>0</v>
      </c>
      <c r="E20" s="29"/>
      <c r="F20" s="29"/>
      <c r="G20" s="29"/>
      <c r="H20" s="29"/>
      <c r="I20" s="11" t="str">
        <f t="shared" si="4"/>
        <v/>
      </c>
      <c r="J20" s="11" t="str">
        <f t="shared" si="5"/>
        <v/>
      </c>
      <c r="K20" s="12" t="str">
        <f t="shared" ref="K20:L20" si="27">IF(I20="","",IFERROR(I20/C20,""))</f>
        <v/>
      </c>
      <c r="L20" s="12" t="str">
        <f t="shared" si="27"/>
        <v/>
      </c>
      <c r="M20" s="11" t="str">
        <f t="shared" si="7"/>
        <v/>
      </c>
      <c r="N20" s="30" t="str">
        <f t="shared" si="8"/>
        <v>—</v>
      </c>
      <c r="O20" s="31"/>
      <c r="P20" s="31"/>
      <c r="Q20" s="31"/>
      <c r="R20" s="31"/>
      <c r="S20" s="31"/>
      <c r="T20" s="12" t="str">
        <f t="shared" si="9"/>
        <v/>
      </c>
      <c r="U20" s="11" t="str">
        <f t="shared" si="10"/>
        <v/>
      </c>
      <c r="V20" s="32" t="str">
        <f t="shared" si="11"/>
        <v/>
      </c>
      <c r="W20" s="12" t="str">
        <f t="shared" si="12"/>
        <v/>
      </c>
      <c r="X20" s="31"/>
      <c r="Y20" s="31"/>
      <c r="Z20" s="29"/>
      <c r="AA20" s="33"/>
      <c r="AC20" s="36">
        <v>1.0</v>
      </c>
      <c r="AD20" s="42" t="str">
        <f>IF($AK$18+7*(1-1)&gt;$A$38,"",TEXT($AK$18+7*(1-1),"m/d")&amp;"-"&amp;TEXT($AK$18+7*(1-1)+6,"m/d"))</f>
        <v>3/2-3/8</v>
      </c>
      <c r="AE20" s="35">
        <f>IF($AD20="","",(SUMIFS($I$8:$I$38,$A$8:$A$38,"&gt;="&amp;$AK$18+7*(1-1),$A$8:$A$38,"&lt;="&amp;$AK$18+7*(1-1)+6)))</f>
        <v>0</v>
      </c>
      <c r="AF20" s="37" t="str">
        <f>IF($AD20="","",IFERROR((SUMIFS($O$8:$O$38,$A$8:$A$38,"&gt;="&amp;$AK$18+7*(1-1),$A$8:$A$38,"&lt;="&amp;$AK$18+7*(1-1)+6))/(SUMIFS($Q$8:$Q$38,$A$8:$A$38,"&gt;="&amp;$AK$18+7*(1-1),$A$8:$A$38,"&lt;="&amp;$AK$18+7*(1-1)+6)),""))</f>
        <v/>
      </c>
      <c r="AG20" s="35" t="str">
        <f>IF($AD20="","",IFERROR((SUMIFS($I$8:$I$38,$A$8:$A$38,"&gt;="&amp;$AK$18+7*(1-1),$A$8:$A$38,"&lt;="&amp;$AK$18+7*(1-1)+6))/(SUMIFS($O$8:$O$38,$A$8:$A$38,"&gt;="&amp;$AK$18+7*(1-1),$A$8:$A$38,"&lt;="&amp;$AK$18+7*(1-1)+6)),""))</f>
        <v/>
      </c>
      <c r="AH20" s="43" t="str">
        <f>IF($AD20="","",IFERROR((SUMIFS($P$8:$P$38,$A$8:$A$38,"&gt;="&amp;$AK$18+7*(1-1),$A$8:$A$38,"&lt;="&amp;$AK$18+7*(1-1)+6))/(SUMIFS($O$8:$O$38,$A$8:$A$38,"&gt;="&amp;$AK$18+7*(1-1),$A$8:$A$38,"&lt;="&amp;$AK$18+7*(1-1)+6)),""))</f>
        <v/>
      </c>
      <c r="AI20" s="37" t="str">
        <f>IF($AD20="","",IFERROR((SUMIFS($R$8:$R$38,$A$8:$A$38,"&gt;="&amp;$AK$18+7*(1-1),$A$8:$A$38,"&lt;="&amp;$AK$18+7*(1-1)+6))/(SUMIFS($Q$8:$Q$38,$A$8:$A$38,"&gt;="&amp;$AK$18+7*(1-1),$A$8:$A$38,"&lt;="&amp;$AK$18+7*(1-1)+6)),""))</f>
        <v/>
      </c>
    </row>
    <row r="21" ht="15.75" customHeight="1">
      <c r="A21" s="38">
        <v>46460.0</v>
      </c>
      <c r="B21" s="14" t="str">
        <f t="shared" si="2"/>
        <v>日</v>
      </c>
      <c r="C21" s="29"/>
      <c r="D21" s="15">
        <f t="shared" si="3"/>
        <v>0</v>
      </c>
      <c r="E21" s="29"/>
      <c r="F21" s="29"/>
      <c r="G21" s="29"/>
      <c r="H21" s="29"/>
      <c r="I21" s="15" t="str">
        <f t="shared" si="4"/>
        <v/>
      </c>
      <c r="J21" s="15" t="str">
        <f t="shared" si="5"/>
        <v/>
      </c>
      <c r="K21" s="16" t="str">
        <f t="shared" ref="K21:L21" si="28">IF(I21="","",IFERROR(I21/C21,""))</f>
        <v/>
      </c>
      <c r="L21" s="16" t="str">
        <f t="shared" si="28"/>
        <v/>
      </c>
      <c r="M21" s="15" t="str">
        <f t="shared" si="7"/>
        <v/>
      </c>
      <c r="N21" s="39" t="str">
        <f t="shared" si="8"/>
        <v>—</v>
      </c>
      <c r="O21" s="31"/>
      <c r="P21" s="31"/>
      <c r="Q21" s="31"/>
      <c r="R21" s="31"/>
      <c r="S21" s="31"/>
      <c r="T21" s="16" t="str">
        <f t="shared" si="9"/>
        <v/>
      </c>
      <c r="U21" s="15" t="str">
        <f t="shared" si="10"/>
        <v/>
      </c>
      <c r="V21" s="40" t="str">
        <f t="shared" si="11"/>
        <v/>
      </c>
      <c r="W21" s="16" t="str">
        <f t="shared" si="12"/>
        <v/>
      </c>
      <c r="X21" s="31"/>
      <c r="Y21" s="31"/>
      <c r="Z21" s="29"/>
      <c r="AA21" s="33"/>
      <c r="AC21" s="36">
        <v>2.0</v>
      </c>
      <c r="AD21" s="42" t="str">
        <f>IF($AK$18+7*(2-1)&gt;$A$38,"",TEXT($AK$18+7*(2-1),"m/d")&amp;"-"&amp;TEXT($AK$18+7*(2-1)+6,"m/d"))</f>
        <v>3/9-3/15</v>
      </c>
      <c r="AE21" s="35">
        <f>IF($AD21="","",(SUMIFS($I$8:$I$38,$A$8:$A$38,"&gt;="&amp;$AK$18+7*(2-1),$A$8:$A$38,"&lt;="&amp;$AK$18+7*(2-1)+6)))</f>
        <v>0</v>
      </c>
      <c r="AF21" s="37" t="str">
        <f>IF($AD21="","",IFERROR((SUMIFS($O$8:$O$38,$A$8:$A$38,"&gt;="&amp;$AK$18+7*(2-1),$A$8:$A$38,"&lt;="&amp;$AK$18+7*(2-1)+6))/(SUMIFS($Q$8:$Q$38,$A$8:$A$38,"&gt;="&amp;$AK$18+7*(2-1),$A$8:$A$38,"&lt;="&amp;$AK$18+7*(2-1)+6)),""))</f>
        <v/>
      </c>
      <c r="AG21" s="35" t="str">
        <f>IF($AD21="","",IFERROR((SUMIFS($I$8:$I$38,$A$8:$A$38,"&gt;="&amp;$AK$18+7*(2-1),$A$8:$A$38,"&lt;="&amp;$AK$18+7*(2-1)+6))/(SUMIFS($O$8:$O$38,$A$8:$A$38,"&gt;="&amp;$AK$18+7*(2-1),$A$8:$A$38,"&lt;="&amp;$AK$18+7*(2-1)+6)),""))</f>
        <v/>
      </c>
      <c r="AH21" s="43" t="str">
        <f>IF($AD21="","",IFERROR((SUMIFS($P$8:$P$38,$A$8:$A$38,"&gt;="&amp;$AK$18+7*(2-1),$A$8:$A$38,"&lt;="&amp;$AK$18+7*(2-1)+6))/(SUMIFS($O$8:$O$38,$A$8:$A$38,"&gt;="&amp;$AK$18+7*(2-1),$A$8:$A$38,"&lt;="&amp;$AK$18+7*(2-1)+6)),""))</f>
        <v/>
      </c>
      <c r="AI21" s="37" t="str">
        <f>IF($AD21="","",IFERROR((SUMIFS($R$8:$R$38,$A$8:$A$38,"&gt;="&amp;$AK$18+7*(2-1),$A$8:$A$38,"&lt;="&amp;$AK$18+7*(2-1)+6))/(SUMIFS($Q$8:$Q$38,$A$8:$A$38,"&gt;="&amp;$AK$18+7*(2-1),$A$8:$A$38,"&lt;="&amp;$AK$18+7*(2-1)+6)),""))</f>
        <v/>
      </c>
    </row>
    <row r="22" ht="15.75" customHeight="1">
      <c r="A22" s="28">
        <v>46461.0</v>
      </c>
      <c r="B22" s="10" t="str">
        <f t="shared" si="2"/>
        <v>月</v>
      </c>
      <c r="C22" s="29"/>
      <c r="D22" s="11">
        <f t="shared" si="3"/>
        <v>0</v>
      </c>
      <c r="E22" s="29"/>
      <c r="F22" s="29"/>
      <c r="G22" s="29"/>
      <c r="H22" s="29"/>
      <c r="I22" s="11" t="str">
        <f t="shared" si="4"/>
        <v/>
      </c>
      <c r="J22" s="11" t="str">
        <f t="shared" si="5"/>
        <v/>
      </c>
      <c r="K22" s="12" t="str">
        <f t="shared" ref="K22:L22" si="29">IF(I22="","",IFERROR(I22/C22,""))</f>
        <v/>
      </c>
      <c r="L22" s="12" t="str">
        <f t="shared" si="29"/>
        <v/>
      </c>
      <c r="M22" s="11" t="str">
        <f t="shared" si="7"/>
        <v/>
      </c>
      <c r="N22" s="30" t="str">
        <f t="shared" si="8"/>
        <v>—</v>
      </c>
      <c r="O22" s="31"/>
      <c r="P22" s="31"/>
      <c r="Q22" s="31"/>
      <c r="R22" s="31"/>
      <c r="S22" s="31"/>
      <c r="T22" s="12" t="str">
        <f t="shared" si="9"/>
        <v/>
      </c>
      <c r="U22" s="11" t="str">
        <f t="shared" si="10"/>
        <v/>
      </c>
      <c r="V22" s="32" t="str">
        <f t="shared" si="11"/>
        <v/>
      </c>
      <c r="W22" s="12" t="str">
        <f t="shared" si="12"/>
        <v/>
      </c>
      <c r="X22" s="31"/>
      <c r="Y22" s="31"/>
      <c r="Z22" s="29"/>
      <c r="AA22" s="33"/>
      <c r="AC22" s="36">
        <v>3.0</v>
      </c>
      <c r="AD22" s="42" t="str">
        <f>IF($AK$18+7*(3-1)&gt;$A$38,"",TEXT($AK$18+7*(3-1),"m/d")&amp;"-"&amp;TEXT($AK$18+7*(3-1)+6,"m/d"))</f>
        <v>3/16-3/22</v>
      </c>
      <c r="AE22" s="35">
        <f>IF($AD22="","",(SUMIFS($I$8:$I$38,$A$8:$A$38,"&gt;="&amp;$AK$18+7*(3-1),$A$8:$A$38,"&lt;="&amp;$AK$18+7*(3-1)+6)))</f>
        <v>0</v>
      </c>
      <c r="AF22" s="37" t="str">
        <f>IF($AD22="","",IFERROR((SUMIFS($O$8:$O$38,$A$8:$A$38,"&gt;="&amp;$AK$18+7*(3-1),$A$8:$A$38,"&lt;="&amp;$AK$18+7*(3-1)+6))/(SUMIFS($Q$8:$Q$38,$A$8:$A$38,"&gt;="&amp;$AK$18+7*(3-1),$A$8:$A$38,"&lt;="&amp;$AK$18+7*(3-1)+6)),""))</f>
        <v/>
      </c>
      <c r="AG22" s="35" t="str">
        <f>IF($AD22="","",IFERROR((SUMIFS($I$8:$I$38,$A$8:$A$38,"&gt;="&amp;$AK$18+7*(3-1),$A$8:$A$38,"&lt;="&amp;$AK$18+7*(3-1)+6))/(SUMIFS($O$8:$O$38,$A$8:$A$38,"&gt;="&amp;$AK$18+7*(3-1),$A$8:$A$38,"&lt;="&amp;$AK$18+7*(3-1)+6)),""))</f>
        <v/>
      </c>
      <c r="AH22" s="43" t="str">
        <f>IF($AD22="","",IFERROR((SUMIFS($P$8:$P$38,$A$8:$A$38,"&gt;="&amp;$AK$18+7*(3-1),$A$8:$A$38,"&lt;="&amp;$AK$18+7*(3-1)+6))/(SUMIFS($O$8:$O$38,$A$8:$A$38,"&gt;="&amp;$AK$18+7*(3-1),$A$8:$A$38,"&lt;="&amp;$AK$18+7*(3-1)+6)),""))</f>
        <v/>
      </c>
      <c r="AI22" s="37" t="str">
        <f>IF($AD22="","",IFERROR((SUMIFS($R$8:$R$38,$A$8:$A$38,"&gt;="&amp;$AK$18+7*(3-1),$A$8:$A$38,"&lt;="&amp;$AK$18+7*(3-1)+6))/(SUMIFS($Q$8:$Q$38,$A$8:$A$38,"&gt;="&amp;$AK$18+7*(3-1),$A$8:$A$38,"&lt;="&amp;$AK$18+7*(3-1)+6)),""))</f>
        <v/>
      </c>
    </row>
    <row r="23" ht="15.75" customHeight="1">
      <c r="A23" s="38">
        <v>46462.0</v>
      </c>
      <c r="B23" s="14" t="str">
        <f t="shared" si="2"/>
        <v>火</v>
      </c>
      <c r="C23" s="29"/>
      <c r="D23" s="15">
        <f t="shared" si="3"/>
        <v>0</v>
      </c>
      <c r="E23" s="29"/>
      <c r="F23" s="29"/>
      <c r="G23" s="29"/>
      <c r="H23" s="29"/>
      <c r="I23" s="15" t="str">
        <f t="shared" si="4"/>
        <v/>
      </c>
      <c r="J23" s="15" t="str">
        <f t="shared" si="5"/>
        <v/>
      </c>
      <c r="K23" s="16" t="str">
        <f t="shared" ref="K23:L23" si="30">IF(I23="","",IFERROR(I23/C23,""))</f>
        <v/>
      </c>
      <c r="L23" s="16" t="str">
        <f t="shared" si="30"/>
        <v/>
      </c>
      <c r="M23" s="15" t="str">
        <f t="shared" si="7"/>
        <v/>
      </c>
      <c r="N23" s="39" t="str">
        <f t="shared" si="8"/>
        <v>—</v>
      </c>
      <c r="O23" s="31"/>
      <c r="P23" s="31"/>
      <c r="Q23" s="31"/>
      <c r="R23" s="31"/>
      <c r="S23" s="31"/>
      <c r="T23" s="16" t="str">
        <f t="shared" si="9"/>
        <v/>
      </c>
      <c r="U23" s="15" t="str">
        <f t="shared" si="10"/>
        <v/>
      </c>
      <c r="V23" s="40" t="str">
        <f t="shared" si="11"/>
        <v/>
      </c>
      <c r="W23" s="16" t="str">
        <f t="shared" si="12"/>
        <v/>
      </c>
      <c r="X23" s="31"/>
      <c r="Y23" s="31"/>
      <c r="Z23" s="29"/>
      <c r="AA23" s="33"/>
      <c r="AC23" s="36">
        <v>4.0</v>
      </c>
      <c r="AD23" s="42" t="str">
        <f>IF($AK$18+7*(4-1)&gt;$A$38,"",TEXT($AK$18+7*(4-1),"m/d")&amp;"-"&amp;TEXT($AK$18+7*(4-1)+6,"m/d"))</f>
        <v>3/23-3/29</v>
      </c>
      <c r="AE23" s="35">
        <f>IF($AD23="","",(SUMIFS($I$8:$I$38,$A$8:$A$38,"&gt;="&amp;$AK$18+7*(4-1),$A$8:$A$38,"&lt;="&amp;$AK$18+7*(4-1)+6)))</f>
        <v>0</v>
      </c>
      <c r="AF23" s="37" t="str">
        <f>IF($AD23="","",IFERROR((SUMIFS($O$8:$O$38,$A$8:$A$38,"&gt;="&amp;$AK$18+7*(4-1),$A$8:$A$38,"&lt;="&amp;$AK$18+7*(4-1)+6))/(SUMIFS($Q$8:$Q$38,$A$8:$A$38,"&gt;="&amp;$AK$18+7*(4-1),$A$8:$A$38,"&lt;="&amp;$AK$18+7*(4-1)+6)),""))</f>
        <v/>
      </c>
      <c r="AG23" s="35" t="str">
        <f>IF($AD23="","",IFERROR((SUMIFS($I$8:$I$38,$A$8:$A$38,"&gt;="&amp;$AK$18+7*(4-1),$A$8:$A$38,"&lt;="&amp;$AK$18+7*(4-1)+6))/(SUMIFS($O$8:$O$38,$A$8:$A$38,"&gt;="&amp;$AK$18+7*(4-1),$A$8:$A$38,"&lt;="&amp;$AK$18+7*(4-1)+6)),""))</f>
        <v/>
      </c>
      <c r="AH23" s="43" t="str">
        <f>IF($AD23="","",IFERROR((SUMIFS($P$8:$P$38,$A$8:$A$38,"&gt;="&amp;$AK$18+7*(4-1),$A$8:$A$38,"&lt;="&amp;$AK$18+7*(4-1)+6))/(SUMIFS($O$8:$O$38,$A$8:$A$38,"&gt;="&amp;$AK$18+7*(4-1),$A$8:$A$38,"&lt;="&amp;$AK$18+7*(4-1)+6)),""))</f>
        <v/>
      </c>
      <c r="AI23" s="37" t="str">
        <f>IF($AD23="","",IFERROR((SUMIFS($R$8:$R$38,$A$8:$A$38,"&gt;="&amp;$AK$18+7*(4-1),$A$8:$A$38,"&lt;="&amp;$AK$18+7*(4-1)+6))/(SUMIFS($Q$8:$Q$38,$A$8:$A$38,"&gt;="&amp;$AK$18+7*(4-1),$A$8:$A$38,"&lt;="&amp;$AK$18+7*(4-1)+6)),""))</f>
        <v/>
      </c>
    </row>
    <row r="24" ht="15.75" customHeight="1">
      <c r="A24" s="28">
        <v>46463.0</v>
      </c>
      <c r="B24" s="10" t="str">
        <f t="shared" si="2"/>
        <v>水</v>
      </c>
      <c r="C24" s="29"/>
      <c r="D24" s="11">
        <f t="shared" si="3"/>
        <v>0</v>
      </c>
      <c r="E24" s="29"/>
      <c r="F24" s="29"/>
      <c r="G24" s="29"/>
      <c r="H24" s="29"/>
      <c r="I24" s="11" t="str">
        <f t="shared" si="4"/>
        <v/>
      </c>
      <c r="J24" s="11" t="str">
        <f t="shared" si="5"/>
        <v/>
      </c>
      <c r="K24" s="12" t="str">
        <f t="shared" ref="K24:L24" si="31">IF(I24="","",IFERROR(I24/C24,""))</f>
        <v/>
      </c>
      <c r="L24" s="12" t="str">
        <f t="shared" si="31"/>
        <v/>
      </c>
      <c r="M24" s="11" t="str">
        <f t="shared" si="7"/>
        <v/>
      </c>
      <c r="N24" s="30" t="str">
        <f t="shared" si="8"/>
        <v>—</v>
      </c>
      <c r="O24" s="31"/>
      <c r="P24" s="31"/>
      <c r="Q24" s="31"/>
      <c r="R24" s="31"/>
      <c r="S24" s="31"/>
      <c r="T24" s="12" t="str">
        <f t="shared" si="9"/>
        <v/>
      </c>
      <c r="U24" s="11" t="str">
        <f t="shared" si="10"/>
        <v/>
      </c>
      <c r="V24" s="32" t="str">
        <f t="shared" si="11"/>
        <v/>
      </c>
      <c r="W24" s="12" t="str">
        <f t="shared" si="12"/>
        <v/>
      </c>
      <c r="X24" s="31"/>
      <c r="Y24" s="31"/>
      <c r="Z24" s="29"/>
      <c r="AA24" s="33"/>
      <c r="AC24" s="36">
        <v>5.0</v>
      </c>
      <c r="AD24" s="42" t="str">
        <f>IF($AK$18+7*(5-1)&gt;$A$38,"",TEXT($AK$18+7*(5-1),"m/d")&amp;"-"&amp;TEXT($AK$18+7*(5-1)+6,"m/d"))</f>
        <v>3/30-4/5</v>
      </c>
      <c r="AE24" s="35">
        <f>IF($AD24="","",(SUMIFS($I$8:$I$38,$A$8:$A$38,"&gt;="&amp;$AK$18+7*(5-1),$A$8:$A$38,"&lt;="&amp;$AK$18+7*(5-1)+6)))</f>
        <v>0</v>
      </c>
      <c r="AF24" s="37" t="str">
        <f>IF($AD24="","",IFERROR((SUMIFS($O$8:$O$38,$A$8:$A$38,"&gt;="&amp;$AK$18+7*(5-1),$A$8:$A$38,"&lt;="&amp;$AK$18+7*(5-1)+6))/(SUMIFS($Q$8:$Q$38,$A$8:$A$38,"&gt;="&amp;$AK$18+7*(5-1),$A$8:$A$38,"&lt;="&amp;$AK$18+7*(5-1)+6)),""))</f>
        <v/>
      </c>
      <c r="AG24" s="35" t="str">
        <f>IF($AD24="","",IFERROR((SUMIFS($I$8:$I$38,$A$8:$A$38,"&gt;="&amp;$AK$18+7*(5-1),$A$8:$A$38,"&lt;="&amp;$AK$18+7*(5-1)+6))/(SUMIFS($O$8:$O$38,$A$8:$A$38,"&gt;="&amp;$AK$18+7*(5-1),$A$8:$A$38,"&lt;="&amp;$AK$18+7*(5-1)+6)),""))</f>
        <v/>
      </c>
      <c r="AH24" s="43" t="str">
        <f>IF($AD24="","",IFERROR((SUMIFS($P$8:$P$38,$A$8:$A$38,"&gt;="&amp;$AK$18+7*(5-1),$A$8:$A$38,"&lt;="&amp;$AK$18+7*(5-1)+6))/(SUMIFS($O$8:$O$38,$A$8:$A$38,"&gt;="&amp;$AK$18+7*(5-1),$A$8:$A$38,"&lt;="&amp;$AK$18+7*(5-1)+6)),""))</f>
        <v/>
      </c>
      <c r="AI24" s="37" t="str">
        <f>IF($AD24="","",IFERROR((SUMIFS($R$8:$R$38,$A$8:$A$38,"&gt;="&amp;$AK$18+7*(5-1),$A$8:$A$38,"&lt;="&amp;$AK$18+7*(5-1)+6))/(SUMIFS($Q$8:$Q$38,$A$8:$A$38,"&gt;="&amp;$AK$18+7*(5-1),$A$8:$A$38,"&lt;="&amp;$AK$18+7*(5-1)+6)),""))</f>
        <v/>
      </c>
    </row>
    <row r="25" ht="15.75" customHeight="1">
      <c r="A25" s="38">
        <v>46464.0</v>
      </c>
      <c r="B25" s="14" t="str">
        <f t="shared" si="2"/>
        <v>木</v>
      </c>
      <c r="C25" s="29"/>
      <c r="D25" s="15">
        <f t="shared" si="3"/>
        <v>0</v>
      </c>
      <c r="E25" s="29"/>
      <c r="F25" s="29"/>
      <c r="G25" s="29"/>
      <c r="H25" s="29"/>
      <c r="I25" s="15" t="str">
        <f t="shared" si="4"/>
        <v/>
      </c>
      <c r="J25" s="15" t="str">
        <f t="shared" si="5"/>
        <v/>
      </c>
      <c r="K25" s="16" t="str">
        <f t="shared" ref="K25:L25" si="32">IF(I25="","",IFERROR(I25/C25,""))</f>
        <v/>
      </c>
      <c r="L25" s="16" t="str">
        <f t="shared" si="32"/>
        <v/>
      </c>
      <c r="M25" s="15" t="str">
        <f t="shared" si="7"/>
        <v/>
      </c>
      <c r="N25" s="39" t="str">
        <f t="shared" si="8"/>
        <v>—</v>
      </c>
      <c r="O25" s="31"/>
      <c r="P25" s="31"/>
      <c r="Q25" s="31"/>
      <c r="R25" s="31"/>
      <c r="S25" s="31"/>
      <c r="T25" s="16" t="str">
        <f t="shared" si="9"/>
        <v/>
      </c>
      <c r="U25" s="15" t="str">
        <f t="shared" si="10"/>
        <v/>
      </c>
      <c r="V25" s="40" t="str">
        <f t="shared" si="11"/>
        <v/>
      </c>
      <c r="W25" s="16" t="str">
        <f t="shared" si="12"/>
        <v/>
      </c>
      <c r="X25" s="31"/>
      <c r="Y25" s="31"/>
      <c r="Z25" s="29"/>
      <c r="AA25" s="33"/>
      <c r="AC25" s="36">
        <v>6.0</v>
      </c>
      <c r="AD25" s="42" t="str">
        <f>IF($AK$18+7*(6-1)&gt;$A$38,"",TEXT($AK$18+7*(6-1),"m/d")&amp;"-"&amp;TEXT($AK$18+7*(6-1)+6,"m/d"))</f>
        <v/>
      </c>
      <c r="AE25" s="35" t="str">
        <f>IF($AD25="","",(SUMIFS($I$8:$I$38,$A$8:$A$38,"&gt;="&amp;$AK$18+7*(6-1),$A$8:$A$38,"&lt;="&amp;$AK$18+7*(6-1)+6)))</f>
        <v/>
      </c>
      <c r="AF25" s="37" t="str">
        <f>IF($AD25="","",IFERROR((SUMIFS($O$8:$O$38,$A$8:$A$38,"&gt;="&amp;$AK$18+7*(6-1),$A$8:$A$38,"&lt;="&amp;$AK$18+7*(6-1)+6))/(SUMIFS($Q$8:$Q$38,$A$8:$A$38,"&gt;="&amp;$AK$18+7*(6-1),$A$8:$A$38,"&lt;="&amp;$AK$18+7*(6-1)+6)),""))</f>
        <v/>
      </c>
      <c r="AG25" s="35" t="str">
        <f>IF($AD25="","",IFERROR((SUMIFS($I$8:$I$38,$A$8:$A$38,"&gt;="&amp;$AK$18+7*(6-1),$A$8:$A$38,"&lt;="&amp;$AK$18+7*(6-1)+6))/(SUMIFS($O$8:$O$38,$A$8:$A$38,"&gt;="&amp;$AK$18+7*(6-1),$A$8:$A$38,"&lt;="&amp;$AK$18+7*(6-1)+6)),""))</f>
        <v/>
      </c>
      <c r="AH25" s="43" t="str">
        <f>IF($AD25="","",IFERROR((SUMIFS($P$8:$P$38,$A$8:$A$38,"&gt;="&amp;$AK$18+7*(6-1),$A$8:$A$38,"&lt;="&amp;$AK$18+7*(6-1)+6))/(SUMIFS($O$8:$O$38,$A$8:$A$38,"&gt;="&amp;$AK$18+7*(6-1),$A$8:$A$38,"&lt;="&amp;$AK$18+7*(6-1)+6)),""))</f>
        <v/>
      </c>
      <c r="AI25" s="37" t="str">
        <f>IF($AD25="","",IFERROR((SUMIFS($R$8:$R$38,$A$8:$A$38,"&gt;="&amp;$AK$18+7*(6-1),$A$8:$A$38,"&lt;="&amp;$AK$18+7*(6-1)+6))/(SUMIFS($Q$8:$Q$38,$A$8:$A$38,"&gt;="&amp;$AK$18+7*(6-1),$A$8:$A$38,"&lt;="&amp;$AK$18+7*(6-1)+6)),""))</f>
        <v/>
      </c>
    </row>
    <row r="26" ht="15.75" customHeight="1">
      <c r="A26" s="28">
        <v>46465.0</v>
      </c>
      <c r="B26" s="10" t="str">
        <f t="shared" si="2"/>
        <v>金</v>
      </c>
      <c r="C26" s="29"/>
      <c r="D26" s="11">
        <f t="shared" si="3"/>
        <v>0</v>
      </c>
      <c r="E26" s="29"/>
      <c r="F26" s="29"/>
      <c r="G26" s="29"/>
      <c r="H26" s="29"/>
      <c r="I26" s="11" t="str">
        <f t="shared" si="4"/>
        <v/>
      </c>
      <c r="J26" s="11" t="str">
        <f t="shared" si="5"/>
        <v/>
      </c>
      <c r="K26" s="12" t="str">
        <f t="shared" ref="K26:L26" si="33">IF(I26="","",IFERROR(I26/C26,""))</f>
        <v/>
      </c>
      <c r="L26" s="12" t="str">
        <f t="shared" si="33"/>
        <v/>
      </c>
      <c r="M26" s="11" t="str">
        <f t="shared" si="7"/>
        <v/>
      </c>
      <c r="N26" s="30" t="str">
        <f t="shared" si="8"/>
        <v>—</v>
      </c>
      <c r="O26" s="31"/>
      <c r="P26" s="31"/>
      <c r="Q26" s="31"/>
      <c r="R26" s="31"/>
      <c r="S26" s="31"/>
      <c r="T26" s="12" t="str">
        <f t="shared" si="9"/>
        <v/>
      </c>
      <c r="U26" s="11" t="str">
        <f t="shared" si="10"/>
        <v/>
      </c>
      <c r="V26" s="32" t="str">
        <f t="shared" si="11"/>
        <v/>
      </c>
      <c r="W26" s="12" t="str">
        <f t="shared" si="12"/>
        <v/>
      </c>
      <c r="X26" s="31"/>
      <c r="Y26" s="31"/>
      <c r="Z26" s="29"/>
      <c r="AA26" s="33"/>
      <c r="AC26" s="22" t="s">
        <v>162</v>
      </c>
    </row>
    <row r="27" ht="15.75" customHeight="1">
      <c r="A27" s="38">
        <v>46466.0</v>
      </c>
      <c r="B27" s="14" t="str">
        <f t="shared" si="2"/>
        <v>土</v>
      </c>
      <c r="C27" s="29"/>
      <c r="D27" s="15">
        <f t="shared" si="3"/>
        <v>0</v>
      </c>
      <c r="E27" s="29"/>
      <c r="F27" s="29"/>
      <c r="G27" s="29"/>
      <c r="H27" s="29"/>
      <c r="I27" s="15" t="str">
        <f t="shared" si="4"/>
        <v/>
      </c>
      <c r="J27" s="15" t="str">
        <f t="shared" si="5"/>
        <v/>
      </c>
      <c r="K27" s="16" t="str">
        <f t="shared" ref="K27:L27" si="34">IF(I27="","",IFERROR(I27/C27,""))</f>
        <v/>
      </c>
      <c r="L27" s="16" t="str">
        <f t="shared" si="34"/>
        <v/>
      </c>
      <c r="M27" s="15" t="str">
        <f t="shared" si="7"/>
        <v/>
      </c>
      <c r="N27" s="39" t="str">
        <f t="shared" si="8"/>
        <v>—</v>
      </c>
      <c r="O27" s="31"/>
      <c r="P27" s="31"/>
      <c r="Q27" s="31"/>
      <c r="R27" s="31"/>
      <c r="S27" s="31"/>
      <c r="T27" s="16" t="str">
        <f t="shared" si="9"/>
        <v/>
      </c>
      <c r="U27" s="15" t="str">
        <f t="shared" si="10"/>
        <v/>
      </c>
      <c r="V27" s="40" t="str">
        <f t="shared" si="11"/>
        <v/>
      </c>
      <c r="W27" s="16" t="str">
        <f t="shared" si="12"/>
        <v/>
      </c>
      <c r="X27" s="31"/>
      <c r="Y27" s="31"/>
      <c r="Z27" s="29"/>
      <c r="AA27" s="33"/>
      <c r="AC27" s="22" t="s">
        <v>163</v>
      </c>
    </row>
    <row r="28" ht="15.75" customHeight="1">
      <c r="A28" s="28">
        <v>46467.0</v>
      </c>
      <c r="B28" s="10" t="str">
        <f t="shared" si="2"/>
        <v>日</v>
      </c>
      <c r="C28" s="29"/>
      <c r="D28" s="11">
        <f t="shared" si="3"/>
        <v>0</v>
      </c>
      <c r="E28" s="29"/>
      <c r="F28" s="29"/>
      <c r="G28" s="29"/>
      <c r="H28" s="29"/>
      <c r="I28" s="11" t="str">
        <f t="shared" si="4"/>
        <v/>
      </c>
      <c r="J28" s="11" t="str">
        <f t="shared" si="5"/>
        <v/>
      </c>
      <c r="K28" s="12" t="str">
        <f t="shared" ref="K28:L28" si="35">IF(I28="","",IFERROR(I28/C28,""))</f>
        <v/>
      </c>
      <c r="L28" s="12" t="str">
        <f t="shared" si="35"/>
        <v/>
      </c>
      <c r="M28" s="11" t="str">
        <f t="shared" si="7"/>
        <v/>
      </c>
      <c r="N28" s="30" t="str">
        <f t="shared" si="8"/>
        <v>—</v>
      </c>
      <c r="O28" s="31"/>
      <c r="P28" s="31"/>
      <c r="Q28" s="31"/>
      <c r="R28" s="31"/>
      <c r="S28" s="31"/>
      <c r="T28" s="12" t="str">
        <f t="shared" si="9"/>
        <v/>
      </c>
      <c r="U28" s="11" t="str">
        <f t="shared" si="10"/>
        <v/>
      </c>
      <c r="V28" s="32" t="str">
        <f t="shared" si="11"/>
        <v/>
      </c>
      <c r="W28" s="12" t="str">
        <f t="shared" si="12"/>
        <v/>
      </c>
      <c r="X28" s="31"/>
      <c r="Y28" s="31"/>
      <c r="Z28" s="29"/>
      <c r="AA28" s="33"/>
      <c r="AC28" s="22" t="s">
        <v>164</v>
      </c>
    </row>
    <row r="29" ht="15.75" customHeight="1">
      <c r="A29" s="38">
        <v>46468.0</v>
      </c>
      <c r="B29" s="14" t="str">
        <f t="shared" si="2"/>
        <v>月</v>
      </c>
      <c r="C29" s="29"/>
      <c r="D29" s="15">
        <f t="shared" si="3"/>
        <v>0</v>
      </c>
      <c r="E29" s="29"/>
      <c r="F29" s="29"/>
      <c r="G29" s="29"/>
      <c r="H29" s="29"/>
      <c r="I29" s="15" t="str">
        <f t="shared" si="4"/>
        <v/>
      </c>
      <c r="J29" s="15" t="str">
        <f t="shared" si="5"/>
        <v/>
      </c>
      <c r="K29" s="16" t="str">
        <f t="shared" ref="K29:L29" si="36">IF(I29="","",IFERROR(I29/C29,""))</f>
        <v/>
      </c>
      <c r="L29" s="16" t="str">
        <f t="shared" si="36"/>
        <v/>
      </c>
      <c r="M29" s="15" t="str">
        <f t="shared" si="7"/>
        <v/>
      </c>
      <c r="N29" s="39" t="str">
        <f t="shared" si="8"/>
        <v>—</v>
      </c>
      <c r="O29" s="31"/>
      <c r="P29" s="31"/>
      <c r="Q29" s="31"/>
      <c r="R29" s="31"/>
      <c r="S29" s="31"/>
      <c r="T29" s="16" t="str">
        <f t="shared" si="9"/>
        <v/>
      </c>
      <c r="U29" s="15" t="str">
        <f t="shared" si="10"/>
        <v/>
      </c>
      <c r="V29" s="40" t="str">
        <f t="shared" si="11"/>
        <v/>
      </c>
      <c r="W29" s="16" t="str">
        <f t="shared" si="12"/>
        <v/>
      </c>
      <c r="X29" s="31"/>
      <c r="Y29" s="31"/>
      <c r="Z29" s="29"/>
      <c r="AA29" s="33"/>
    </row>
    <row r="30" ht="15.75" customHeight="1">
      <c r="A30" s="28">
        <v>46469.0</v>
      </c>
      <c r="B30" s="10" t="str">
        <f t="shared" si="2"/>
        <v>火</v>
      </c>
      <c r="C30" s="29"/>
      <c r="D30" s="11">
        <f t="shared" si="3"/>
        <v>0</v>
      </c>
      <c r="E30" s="29"/>
      <c r="F30" s="29"/>
      <c r="G30" s="29"/>
      <c r="H30" s="29"/>
      <c r="I30" s="11" t="str">
        <f t="shared" si="4"/>
        <v/>
      </c>
      <c r="J30" s="11" t="str">
        <f t="shared" si="5"/>
        <v/>
      </c>
      <c r="K30" s="12" t="str">
        <f t="shared" ref="K30:L30" si="37">IF(I30="","",IFERROR(I30/C30,""))</f>
        <v/>
      </c>
      <c r="L30" s="12" t="str">
        <f t="shared" si="37"/>
        <v/>
      </c>
      <c r="M30" s="11" t="str">
        <f t="shared" si="7"/>
        <v/>
      </c>
      <c r="N30" s="30" t="str">
        <f t="shared" si="8"/>
        <v>—</v>
      </c>
      <c r="O30" s="31"/>
      <c r="P30" s="31"/>
      <c r="Q30" s="31"/>
      <c r="R30" s="31"/>
      <c r="S30" s="31"/>
      <c r="T30" s="12" t="str">
        <f t="shared" si="9"/>
        <v/>
      </c>
      <c r="U30" s="11" t="str">
        <f t="shared" si="10"/>
        <v/>
      </c>
      <c r="V30" s="32" t="str">
        <f t="shared" si="11"/>
        <v/>
      </c>
      <c r="W30" s="12" t="str">
        <f t="shared" si="12"/>
        <v/>
      </c>
      <c r="X30" s="31"/>
      <c r="Y30" s="31"/>
      <c r="Z30" s="29"/>
      <c r="AA30" s="33"/>
    </row>
    <row r="31" ht="15.75" customHeight="1">
      <c r="A31" s="38">
        <v>46470.0</v>
      </c>
      <c r="B31" s="14" t="str">
        <f t="shared" si="2"/>
        <v>水</v>
      </c>
      <c r="C31" s="29"/>
      <c r="D31" s="15">
        <f t="shared" si="3"/>
        <v>0</v>
      </c>
      <c r="E31" s="29"/>
      <c r="F31" s="29"/>
      <c r="G31" s="29"/>
      <c r="H31" s="29"/>
      <c r="I31" s="15" t="str">
        <f t="shared" si="4"/>
        <v/>
      </c>
      <c r="J31" s="15" t="str">
        <f t="shared" si="5"/>
        <v/>
      </c>
      <c r="K31" s="16" t="str">
        <f t="shared" ref="K31:L31" si="38">IF(I31="","",IFERROR(I31/C31,""))</f>
        <v/>
      </c>
      <c r="L31" s="16" t="str">
        <f t="shared" si="38"/>
        <v/>
      </c>
      <c r="M31" s="15" t="str">
        <f t="shared" si="7"/>
        <v/>
      </c>
      <c r="N31" s="39" t="str">
        <f t="shared" si="8"/>
        <v>—</v>
      </c>
      <c r="O31" s="31"/>
      <c r="P31" s="31"/>
      <c r="Q31" s="31"/>
      <c r="R31" s="31"/>
      <c r="S31" s="31"/>
      <c r="T31" s="16" t="str">
        <f t="shared" si="9"/>
        <v/>
      </c>
      <c r="U31" s="15" t="str">
        <f t="shared" si="10"/>
        <v/>
      </c>
      <c r="V31" s="40" t="str">
        <f t="shared" si="11"/>
        <v/>
      </c>
      <c r="W31" s="16" t="str">
        <f t="shared" si="12"/>
        <v/>
      </c>
      <c r="X31" s="31"/>
      <c r="Y31" s="31"/>
      <c r="Z31" s="29"/>
      <c r="AA31" s="33"/>
    </row>
    <row r="32" ht="15.75" customHeight="1">
      <c r="A32" s="28">
        <v>46471.0</v>
      </c>
      <c r="B32" s="10" t="str">
        <f t="shared" si="2"/>
        <v>木</v>
      </c>
      <c r="C32" s="29"/>
      <c r="D32" s="11">
        <f t="shared" si="3"/>
        <v>0</v>
      </c>
      <c r="E32" s="29"/>
      <c r="F32" s="29"/>
      <c r="G32" s="29"/>
      <c r="H32" s="29"/>
      <c r="I32" s="11" t="str">
        <f t="shared" si="4"/>
        <v/>
      </c>
      <c r="J32" s="11" t="str">
        <f t="shared" si="5"/>
        <v/>
      </c>
      <c r="K32" s="12" t="str">
        <f t="shared" ref="K32:L32" si="39">IF(I32="","",IFERROR(I32/C32,""))</f>
        <v/>
      </c>
      <c r="L32" s="12" t="str">
        <f t="shared" si="39"/>
        <v/>
      </c>
      <c r="M32" s="11" t="str">
        <f t="shared" si="7"/>
        <v/>
      </c>
      <c r="N32" s="30" t="str">
        <f t="shared" si="8"/>
        <v>—</v>
      </c>
      <c r="O32" s="31"/>
      <c r="P32" s="31"/>
      <c r="Q32" s="31"/>
      <c r="R32" s="31"/>
      <c r="S32" s="31"/>
      <c r="T32" s="12" t="str">
        <f t="shared" si="9"/>
        <v/>
      </c>
      <c r="U32" s="11" t="str">
        <f t="shared" si="10"/>
        <v/>
      </c>
      <c r="V32" s="32" t="str">
        <f t="shared" si="11"/>
        <v/>
      </c>
      <c r="W32" s="12" t="str">
        <f t="shared" si="12"/>
        <v/>
      </c>
      <c r="X32" s="31"/>
      <c r="Y32" s="31"/>
      <c r="Z32" s="29"/>
      <c r="AA32" s="33"/>
    </row>
    <row r="33" ht="15.75" customHeight="1">
      <c r="A33" s="38">
        <v>46472.0</v>
      </c>
      <c r="B33" s="14" t="str">
        <f t="shared" si="2"/>
        <v>金</v>
      </c>
      <c r="C33" s="29"/>
      <c r="D33" s="15">
        <f t="shared" si="3"/>
        <v>0</v>
      </c>
      <c r="E33" s="29"/>
      <c r="F33" s="29"/>
      <c r="G33" s="29"/>
      <c r="H33" s="29"/>
      <c r="I33" s="15" t="str">
        <f t="shared" si="4"/>
        <v/>
      </c>
      <c r="J33" s="15" t="str">
        <f t="shared" si="5"/>
        <v/>
      </c>
      <c r="K33" s="16" t="str">
        <f t="shared" ref="K33:L33" si="40">IF(I33="","",IFERROR(I33/C33,""))</f>
        <v/>
      </c>
      <c r="L33" s="16" t="str">
        <f t="shared" si="40"/>
        <v/>
      </c>
      <c r="M33" s="15" t="str">
        <f t="shared" si="7"/>
        <v/>
      </c>
      <c r="N33" s="39" t="str">
        <f t="shared" si="8"/>
        <v>—</v>
      </c>
      <c r="O33" s="31"/>
      <c r="P33" s="31"/>
      <c r="Q33" s="31"/>
      <c r="R33" s="31"/>
      <c r="S33" s="31"/>
      <c r="T33" s="16" t="str">
        <f t="shared" si="9"/>
        <v/>
      </c>
      <c r="U33" s="15" t="str">
        <f t="shared" si="10"/>
        <v/>
      </c>
      <c r="V33" s="40" t="str">
        <f t="shared" si="11"/>
        <v/>
      </c>
      <c r="W33" s="16" t="str">
        <f t="shared" si="12"/>
        <v/>
      </c>
      <c r="X33" s="31"/>
      <c r="Y33" s="31"/>
      <c r="Z33" s="29"/>
      <c r="AA33" s="33"/>
    </row>
    <row r="34" ht="15.75" customHeight="1">
      <c r="A34" s="28">
        <v>46473.0</v>
      </c>
      <c r="B34" s="10" t="str">
        <f t="shared" si="2"/>
        <v>土</v>
      </c>
      <c r="C34" s="29"/>
      <c r="D34" s="11">
        <f t="shared" si="3"/>
        <v>0</v>
      </c>
      <c r="E34" s="29"/>
      <c r="F34" s="29"/>
      <c r="G34" s="29"/>
      <c r="H34" s="29"/>
      <c r="I34" s="11" t="str">
        <f t="shared" si="4"/>
        <v/>
      </c>
      <c r="J34" s="11" t="str">
        <f t="shared" si="5"/>
        <v/>
      </c>
      <c r="K34" s="12" t="str">
        <f t="shared" ref="K34:L34" si="41">IF(I34="","",IFERROR(I34/C34,""))</f>
        <v/>
      </c>
      <c r="L34" s="12" t="str">
        <f t="shared" si="41"/>
        <v/>
      </c>
      <c r="M34" s="11" t="str">
        <f t="shared" si="7"/>
        <v/>
      </c>
      <c r="N34" s="30" t="str">
        <f t="shared" si="8"/>
        <v>—</v>
      </c>
      <c r="O34" s="31"/>
      <c r="P34" s="31"/>
      <c r="Q34" s="31"/>
      <c r="R34" s="31"/>
      <c r="S34" s="31"/>
      <c r="T34" s="12" t="str">
        <f t="shared" si="9"/>
        <v/>
      </c>
      <c r="U34" s="11" t="str">
        <f t="shared" si="10"/>
        <v/>
      </c>
      <c r="V34" s="32" t="str">
        <f t="shared" si="11"/>
        <v/>
      </c>
      <c r="W34" s="12" t="str">
        <f t="shared" si="12"/>
        <v/>
      </c>
      <c r="X34" s="31"/>
      <c r="Y34" s="31"/>
      <c r="Z34" s="29"/>
      <c r="AA34" s="33"/>
    </row>
    <row r="35" ht="15.75" customHeight="1">
      <c r="A35" s="38">
        <v>46474.0</v>
      </c>
      <c r="B35" s="14" t="str">
        <f t="shared" si="2"/>
        <v>日</v>
      </c>
      <c r="C35" s="29"/>
      <c r="D35" s="15">
        <f t="shared" si="3"/>
        <v>0</v>
      </c>
      <c r="E35" s="29"/>
      <c r="F35" s="29"/>
      <c r="G35" s="29"/>
      <c r="H35" s="29"/>
      <c r="I35" s="15" t="str">
        <f t="shared" si="4"/>
        <v/>
      </c>
      <c r="J35" s="15" t="str">
        <f t="shared" si="5"/>
        <v/>
      </c>
      <c r="K35" s="16" t="str">
        <f t="shared" ref="K35:L35" si="42">IF(I35="","",IFERROR(I35/C35,""))</f>
        <v/>
      </c>
      <c r="L35" s="16" t="str">
        <f t="shared" si="42"/>
        <v/>
      </c>
      <c r="M35" s="15" t="str">
        <f t="shared" si="7"/>
        <v/>
      </c>
      <c r="N35" s="39" t="str">
        <f t="shared" si="8"/>
        <v>—</v>
      </c>
      <c r="O35" s="31"/>
      <c r="P35" s="31"/>
      <c r="Q35" s="31"/>
      <c r="R35" s="31"/>
      <c r="S35" s="31"/>
      <c r="T35" s="16" t="str">
        <f t="shared" si="9"/>
        <v/>
      </c>
      <c r="U35" s="15" t="str">
        <f t="shared" si="10"/>
        <v/>
      </c>
      <c r="V35" s="40" t="str">
        <f t="shared" si="11"/>
        <v/>
      </c>
      <c r="W35" s="16" t="str">
        <f t="shared" si="12"/>
        <v/>
      </c>
      <c r="X35" s="31"/>
      <c r="Y35" s="31"/>
      <c r="Z35" s="29"/>
      <c r="AA35" s="33"/>
    </row>
    <row r="36" ht="15.75" customHeight="1">
      <c r="A36" s="28">
        <v>46475.0</v>
      </c>
      <c r="B36" s="10" t="str">
        <f t="shared" si="2"/>
        <v>月</v>
      </c>
      <c r="C36" s="29"/>
      <c r="D36" s="11">
        <f t="shared" si="3"/>
        <v>0</v>
      </c>
      <c r="E36" s="29"/>
      <c r="F36" s="29"/>
      <c r="G36" s="29"/>
      <c r="H36" s="29"/>
      <c r="I36" s="11" t="str">
        <f t="shared" si="4"/>
        <v/>
      </c>
      <c r="J36" s="11" t="str">
        <f t="shared" si="5"/>
        <v/>
      </c>
      <c r="K36" s="12" t="str">
        <f t="shared" ref="K36:L36" si="43">IF(I36="","",IFERROR(I36/C36,""))</f>
        <v/>
      </c>
      <c r="L36" s="12" t="str">
        <f t="shared" si="43"/>
        <v/>
      </c>
      <c r="M36" s="11" t="str">
        <f t="shared" si="7"/>
        <v/>
      </c>
      <c r="N36" s="30" t="str">
        <f t="shared" si="8"/>
        <v>—</v>
      </c>
      <c r="O36" s="31"/>
      <c r="P36" s="31"/>
      <c r="Q36" s="31"/>
      <c r="R36" s="31"/>
      <c r="S36" s="31"/>
      <c r="T36" s="12" t="str">
        <f t="shared" si="9"/>
        <v/>
      </c>
      <c r="U36" s="11" t="str">
        <f t="shared" si="10"/>
        <v/>
      </c>
      <c r="V36" s="32" t="str">
        <f t="shared" si="11"/>
        <v/>
      </c>
      <c r="W36" s="12" t="str">
        <f t="shared" si="12"/>
        <v/>
      </c>
      <c r="X36" s="31"/>
      <c r="Y36" s="31"/>
      <c r="Z36" s="29"/>
      <c r="AA36" s="33"/>
    </row>
    <row r="37" ht="15.75" customHeight="1">
      <c r="A37" s="38">
        <v>46476.0</v>
      </c>
      <c r="B37" s="14" t="str">
        <f t="shared" si="2"/>
        <v>火</v>
      </c>
      <c r="C37" s="29"/>
      <c r="D37" s="15">
        <f t="shared" si="3"/>
        <v>0</v>
      </c>
      <c r="E37" s="29"/>
      <c r="F37" s="29"/>
      <c r="G37" s="29"/>
      <c r="H37" s="29"/>
      <c r="I37" s="15" t="str">
        <f t="shared" si="4"/>
        <v/>
      </c>
      <c r="J37" s="15" t="str">
        <f t="shared" si="5"/>
        <v/>
      </c>
      <c r="K37" s="16" t="str">
        <f t="shared" ref="K37:L37" si="44">IF(I37="","",IFERROR(I37/C37,""))</f>
        <v/>
      </c>
      <c r="L37" s="16" t="str">
        <f t="shared" si="44"/>
        <v/>
      </c>
      <c r="M37" s="15" t="str">
        <f t="shared" si="7"/>
        <v/>
      </c>
      <c r="N37" s="39" t="str">
        <f t="shared" si="8"/>
        <v>—</v>
      </c>
      <c r="O37" s="31"/>
      <c r="P37" s="31"/>
      <c r="Q37" s="31"/>
      <c r="R37" s="31"/>
      <c r="S37" s="31"/>
      <c r="T37" s="16" t="str">
        <f t="shared" si="9"/>
        <v/>
      </c>
      <c r="U37" s="15" t="str">
        <f t="shared" si="10"/>
        <v/>
      </c>
      <c r="V37" s="40" t="str">
        <f t="shared" si="11"/>
        <v/>
      </c>
      <c r="W37" s="16" t="str">
        <f t="shared" si="12"/>
        <v/>
      </c>
      <c r="X37" s="31"/>
      <c r="Y37" s="31"/>
      <c r="Z37" s="29"/>
      <c r="AA37" s="33"/>
    </row>
    <row r="38" ht="15.75" customHeight="1">
      <c r="A38" s="28">
        <v>46477.0</v>
      </c>
      <c r="B38" s="10" t="str">
        <f t="shared" si="2"/>
        <v>水</v>
      </c>
      <c r="C38" s="29"/>
      <c r="D38" s="11">
        <f t="shared" si="3"/>
        <v>0</v>
      </c>
      <c r="E38" s="29"/>
      <c r="F38" s="29"/>
      <c r="G38" s="29"/>
      <c r="H38" s="29"/>
      <c r="I38" s="11" t="str">
        <f t="shared" si="4"/>
        <v/>
      </c>
      <c r="J38" s="11" t="str">
        <f t="shared" si="5"/>
        <v/>
      </c>
      <c r="K38" s="12" t="str">
        <f t="shared" ref="K38:L38" si="45">IF(I38="","",IFERROR(I38/C38,""))</f>
        <v/>
      </c>
      <c r="L38" s="12" t="str">
        <f t="shared" si="45"/>
        <v/>
      </c>
      <c r="M38" s="11" t="str">
        <f t="shared" si="7"/>
        <v/>
      </c>
      <c r="N38" s="30" t="str">
        <f t="shared" si="8"/>
        <v>—</v>
      </c>
      <c r="O38" s="31"/>
      <c r="P38" s="31"/>
      <c r="Q38" s="31"/>
      <c r="R38" s="31"/>
      <c r="S38" s="31"/>
      <c r="T38" s="12" t="str">
        <f t="shared" si="9"/>
        <v/>
      </c>
      <c r="U38" s="11" t="str">
        <f t="shared" si="10"/>
        <v/>
      </c>
      <c r="V38" s="32" t="str">
        <f t="shared" si="11"/>
        <v/>
      </c>
      <c r="W38" s="12" t="str">
        <f t="shared" si="12"/>
        <v/>
      </c>
      <c r="X38" s="31"/>
      <c r="Y38" s="31"/>
      <c r="Z38" s="29"/>
      <c r="AA38" s="33"/>
    </row>
    <row r="39" ht="15.75" customHeight="1">
      <c r="A39" s="44" t="s">
        <v>81</v>
      </c>
      <c r="B39" s="18"/>
      <c r="C39" s="19">
        <f>SUM(C8:C38)</f>
        <v>0</v>
      </c>
      <c r="D39" s="19">
        <f>C39</f>
        <v>0</v>
      </c>
      <c r="E39" s="19">
        <f t="shared" ref="E39:I39" si="46">SUM(E8:E38)</f>
        <v>0</v>
      </c>
      <c r="F39" s="19">
        <f t="shared" si="46"/>
        <v>0</v>
      </c>
      <c r="G39" s="19">
        <f t="shared" si="46"/>
        <v>0</v>
      </c>
      <c r="H39" s="19">
        <f t="shared" si="46"/>
        <v>0</v>
      </c>
      <c r="I39" s="19">
        <f t="shared" si="46"/>
        <v>0</v>
      </c>
      <c r="J39" s="19">
        <f>I39</f>
        <v>0</v>
      </c>
      <c r="K39" s="20" t="str">
        <f>IFERROR(I39/C39,"")</f>
        <v/>
      </c>
      <c r="L39" s="20" t="str">
        <f>IFERROR(I39/C39,"")</f>
        <v/>
      </c>
      <c r="M39" s="19">
        <f>I39-C39</f>
        <v>0</v>
      </c>
      <c r="N39" s="45"/>
      <c r="O39" s="21">
        <f t="shared" ref="O39:S39" si="47">SUM(O8:O38)</f>
        <v>0</v>
      </c>
      <c r="P39" s="21">
        <f t="shared" si="47"/>
        <v>0</v>
      </c>
      <c r="Q39" s="21">
        <f t="shared" si="47"/>
        <v>0</v>
      </c>
      <c r="R39" s="21">
        <f t="shared" si="47"/>
        <v>0</v>
      </c>
      <c r="S39" s="21">
        <f t="shared" si="47"/>
        <v>0</v>
      </c>
      <c r="T39" s="20" t="str">
        <f t="shared" si="9"/>
        <v/>
      </c>
      <c r="U39" s="19" t="str">
        <f t="shared" si="10"/>
        <v/>
      </c>
      <c r="V39" s="46" t="str">
        <f t="shared" si="11"/>
        <v/>
      </c>
      <c r="W39" s="20" t="str">
        <f t="shared" si="12"/>
        <v/>
      </c>
      <c r="X39" s="21">
        <f>SUM(X8:X38)</f>
        <v>0</v>
      </c>
      <c r="Y39" s="21" t="str">
        <f>IFERROR(LOOKUP(9.99E+307,Y8:Y38),"")</f>
        <v/>
      </c>
      <c r="Z39" s="19">
        <f>SUM(Z8:Z38)</f>
        <v>0</v>
      </c>
      <c r="AA39" s="47" t="s">
        <v>82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AA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M8:M38">
    <cfRule type="expression" dxfId="0" priority="1">
      <formula>AND($I8&lt;&gt;"",$M8&gt;=0)</formula>
    </cfRule>
  </conditionalFormatting>
  <conditionalFormatting sqref="M8:M38">
    <cfRule type="expression" dxfId="1" priority="2">
      <formula>AND($I8&lt;&gt;"",$M8&lt;0)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4" width="9.0"/>
    <col customWidth="1" min="5" max="5" width="7.0"/>
    <col customWidth="1" min="6" max="6" width="13.0"/>
    <col customWidth="1" min="7" max="26" width="8.71"/>
  </cols>
  <sheetData>
    <row r="1" ht="27.75" customHeight="1">
      <c r="A1" s="54" t="s">
        <v>165</v>
      </c>
      <c r="B1" s="2"/>
      <c r="C1" s="2"/>
      <c r="D1" s="2"/>
      <c r="E1" s="2"/>
      <c r="F1" s="3"/>
    </row>
    <row r="3">
      <c r="A3" s="4" t="s">
        <v>166</v>
      </c>
    </row>
    <row r="5">
      <c r="A5" s="55" t="s">
        <v>167</v>
      </c>
      <c r="B5" s="56">
        <f>SUM(B8:B19)</f>
        <v>142952527</v>
      </c>
    </row>
    <row r="7">
      <c r="A7" s="27" t="s">
        <v>7</v>
      </c>
      <c r="B7" s="27" t="s">
        <v>8</v>
      </c>
      <c r="C7" s="27" t="s">
        <v>12</v>
      </c>
      <c r="D7" s="27" t="s">
        <v>13</v>
      </c>
      <c r="E7" s="27" t="s">
        <v>65</v>
      </c>
      <c r="F7" s="27" t="s">
        <v>168</v>
      </c>
    </row>
    <row r="8">
      <c r="A8" s="10" t="s">
        <v>169</v>
      </c>
      <c r="B8" s="57">
        <v>6927491.0</v>
      </c>
      <c r="C8" s="29"/>
      <c r="D8" s="12" t="str">
        <f t="shared" ref="D8:D19" si="1">IF(OR(B8="",C8=""),"",IFERROR(B8/C8,""))</f>
        <v/>
      </c>
      <c r="E8" s="58">
        <v>30.0</v>
      </c>
      <c r="F8" s="11">
        <f t="shared" ref="F8:F19" si="2">IF(B8="","",IFERROR(B8/E8,""))</f>
        <v>230916.3667</v>
      </c>
    </row>
    <row r="9">
      <c r="A9" s="14" t="s">
        <v>170</v>
      </c>
      <c r="B9" s="57">
        <v>6625036.0</v>
      </c>
      <c r="C9" s="29"/>
      <c r="D9" s="16" t="str">
        <f t="shared" si="1"/>
        <v/>
      </c>
      <c r="E9" s="59">
        <v>31.0</v>
      </c>
      <c r="F9" s="15">
        <f t="shared" si="2"/>
        <v>213710.8387</v>
      </c>
    </row>
    <row r="10">
      <c r="A10" s="10" t="s">
        <v>171</v>
      </c>
      <c r="B10" s="57">
        <v>9000000.0</v>
      </c>
      <c r="C10" s="29"/>
      <c r="D10" s="12" t="str">
        <f t="shared" si="1"/>
        <v/>
      </c>
      <c r="E10" s="58">
        <v>30.0</v>
      </c>
      <c r="F10" s="11">
        <f t="shared" si="2"/>
        <v>300000</v>
      </c>
    </row>
    <row r="11">
      <c r="A11" s="14" t="s">
        <v>172</v>
      </c>
      <c r="B11" s="57">
        <v>1.4E7</v>
      </c>
      <c r="C11" s="29"/>
      <c r="D11" s="16" t="str">
        <f t="shared" si="1"/>
        <v/>
      </c>
      <c r="E11" s="59">
        <v>31.0</v>
      </c>
      <c r="F11" s="15">
        <f t="shared" si="2"/>
        <v>451612.9032</v>
      </c>
    </row>
    <row r="12">
      <c r="A12" s="10" t="s">
        <v>173</v>
      </c>
      <c r="B12" s="60">
        <v>1.74E7</v>
      </c>
      <c r="C12" s="29"/>
      <c r="D12" s="12" t="str">
        <f t="shared" si="1"/>
        <v/>
      </c>
      <c r="E12" s="58">
        <v>31.0</v>
      </c>
      <c r="F12" s="11">
        <f t="shared" si="2"/>
        <v>561290.3226</v>
      </c>
    </row>
    <row r="13">
      <c r="A13" s="14" t="s">
        <v>174</v>
      </c>
      <c r="B13" s="57">
        <v>1.4E7</v>
      </c>
      <c r="C13" s="29"/>
      <c r="D13" s="16" t="str">
        <f t="shared" si="1"/>
        <v/>
      </c>
      <c r="E13" s="59">
        <v>30.0</v>
      </c>
      <c r="F13" s="15">
        <f t="shared" si="2"/>
        <v>466666.6667</v>
      </c>
    </row>
    <row r="14">
      <c r="A14" s="10" t="s">
        <v>175</v>
      </c>
      <c r="B14" s="57">
        <v>1.1E7</v>
      </c>
      <c r="C14" s="29"/>
      <c r="D14" s="12" t="str">
        <f t="shared" si="1"/>
        <v/>
      </c>
      <c r="E14" s="58">
        <v>31.0</v>
      </c>
      <c r="F14" s="11">
        <f t="shared" si="2"/>
        <v>354838.7097</v>
      </c>
    </row>
    <row r="15">
      <c r="A15" s="14" t="s">
        <v>176</v>
      </c>
      <c r="B15" s="57">
        <v>1.2E7</v>
      </c>
      <c r="C15" s="29">
        <v>3642505.0</v>
      </c>
      <c r="D15" s="16">
        <f t="shared" si="1"/>
        <v>3.294436109</v>
      </c>
      <c r="E15" s="59">
        <v>30.0</v>
      </c>
      <c r="F15" s="15">
        <f t="shared" si="2"/>
        <v>400000</v>
      </c>
      <c r="H15" s="22" t="s">
        <v>177</v>
      </c>
    </row>
    <row r="16">
      <c r="A16" s="10" t="s">
        <v>178</v>
      </c>
      <c r="B16" s="57">
        <v>1.4E7</v>
      </c>
      <c r="C16" s="29">
        <v>9172615.0</v>
      </c>
      <c r="D16" s="12">
        <f t="shared" si="1"/>
        <v>1.526282309</v>
      </c>
      <c r="E16" s="58">
        <v>31.0</v>
      </c>
      <c r="F16" s="11">
        <f t="shared" si="2"/>
        <v>451612.9032</v>
      </c>
    </row>
    <row r="17">
      <c r="A17" s="14" t="s">
        <v>179</v>
      </c>
      <c r="B17" s="57">
        <v>1.5E7</v>
      </c>
      <c r="C17" s="29">
        <v>6528886.0</v>
      </c>
      <c r="D17" s="16">
        <f t="shared" si="1"/>
        <v>2.297482296</v>
      </c>
      <c r="E17" s="59">
        <v>31.0</v>
      </c>
      <c r="F17" s="15">
        <f t="shared" si="2"/>
        <v>483870.9677</v>
      </c>
    </row>
    <row r="18">
      <c r="A18" s="10" t="s">
        <v>180</v>
      </c>
      <c r="B18" s="57">
        <v>1.2E7</v>
      </c>
      <c r="C18" s="29">
        <v>4592978.0</v>
      </c>
      <c r="D18" s="12">
        <f t="shared" si="1"/>
        <v>2.612683971</v>
      </c>
      <c r="E18" s="58">
        <v>28.0</v>
      </c>
      <c r="F18" s="11">
        <f t="shared" si="2"/>
        <v>428571.4286</v>
      </c>
    </row>
    <row r="19">
      <c r="A19" s="14" t="s">
        <v>181</v>
      </c>
      <c r="B19" s="57">
        <v>1.1E7</v>
      </c>
      <c r="C19" s="29">
        <v>5167827.0</v>
      </c>
      <c r="D19" s="16">
        <f t="shared" si="1"/>
        <v>2.128554226</v>
      </c>
      <c r="E19" s="59">
        <v>31.0</v>
      </c>
      <c r="F19" s="15">
        <f t="shared" si="2"/>
        <v>354838.7097</v>
      </c>
      <c r="H19" s="22" t="s">
        <v>182</v>
      </c>
    </row>
    <row r="20">
      <c r="A20" s="18" t="s">
        <v>33</v>
      </c>
      <c r="B20" s="19">
        <f t="shared" ref="B20:C20" si="3">SUM(B8:B19)</f>
        <v>142952527</v>
      </c>
      <c r="C20" s="19">
        <f t="shared" si="3"/>
        <v>29104811</v>
      </c>
      <c r="D20" s="20">
        <f>IF(OR(B20=0,C20=0),"",IFERROR(B20/C20,""))</f>
        <v>4.911645947</v>
      </c>
      <c r="E20" s="61">
        <f>SUM(E8:E19)</f>
        <v>365</v>
      </c>
      <c r="F20" s="19">
        <f>IF(B20=0,"",IFERROR(B20/E20,""))</f>
        <v>391650.7589</v>
      </c>
    </row>
    <row r="21" ht="15.75" customHeight="1"/>
    <row r="22" ht="15.75" customHeight="1"/>
    <row r="23" ht="15.75" customHeight="1">
      <c r="A23" s="23" t="s">
        <v>183</v>
      </c>
    </row>
    <row r="24" ht="15.75" customHeight="1">
      <c r="A24" s="62" t="s">
        <v>184</v>
      </c>
    </row>
    <row r="25" ht="15.75" customHeight="1">
      <c r="A25" s="62" t="s">
        <v>185</v>
      </c>
    </row>
    <row r="26" ht="15.75" customHeight="1">
      <c r="A26" s="62" t="s">
        <v>186</v>
      </c>
    </row>
    <row r="27" ht="15.75" customHeight="1">
      <c r="A27" s="62" t="s">
        <v>187</v>
      </c>
    </row>
    <row r="28" ht="15.75" customHeight="1">
      <c r="A28" s="62" t="s">
        <v>188</v>
      </c>
    </row>
    <row r="29" ht="15.75" customHeight="1">
      <c r="A29" s="62" t="s">
        <v>189</v>
      </c>
    </row>
    <row r="30" ht="15.75" customHeight="1">
      <c r="A30" s="62" t="s">
        <v>190</v>
      </c>
    </row>
    <row r="31" ht="15.75" customHeight="1">
      <c r="A31" s="62" t="s">
        <v>191</v>
      </c>
    </row>
    <row r="32" ht="15.75" customHeight="1">
      <c r="A32" s="62"/>
    </row>
    <row r="33" ht="15.75" customHeight="1">
      <c r="A33" s="23" t="s">
        <v>192</v>
      </c>
    </row>
    <row r="34" ht="15.75" customHeight="1">
      <c r="A34" s="62" t="s">
        <v>193</v>
      </c>
    </row>
    <row r="35" ht="15.75" customHeight="1">
      <c r="A35" s="62" t="s">
        <v>194</v>
      </c>
    </row>
    <row r="36" ht="15.75" customHeight="1">
      <c r="A36" s="62" t="s">
        <v>195</v>
      </c>
    </row>
    <row r="37" ht="15.75" customHeight="1">
      <c r="A37" s="62" t="s">
        <v>196</v>
      </c>
    </row>
    <row r="38" ht="15.75" customHeight="1">
      <c r="A38" s="62" t="s">
        <v>197</v>
      </c>
    </row>
    <row r="39" ht="15.75" customHeight="1">
      <c r="A39" s="62" t="s">
        <v>198</v>
      </c>
    </row>
    <row r="40" ht="15.75" customHeight="1">
      <c r="A40" s="62" t="s">
        <v>199</v>
      </c>
    </row>
    <row r="41" ht="15.75" customHeight="1">
      <c r="A41" s="62" t="s">
        <v>200</v>
      </c>
    </row>
    <row r="42" ht="15.75" customHeight="1">
      <c r="A42" s="62" t="s">
        <v>201</v>
      </c>
    </row>
    <row r="43" ht="15.75" customHeight="1">
      <c r="A43" s="62" t="s">
        <v>202</v>
      </c>
    </row>
    <row r="44" ht="15.75" customHeight="1">
      <c r="A44" s="62" t="s">
        <v>203</v>
      </c>
    </row>
    <row r="45" ht="15.75" customHeight="1">
      <c r="A45" s="62" t="s">
        <v>204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2026-07-30T09:21:19Z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