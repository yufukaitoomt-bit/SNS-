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ダッシュボード" sheetId="1" r:id="rId4"/>
    <sheet state="visible" name="2026年04月" sheetId="2" r:id="rId5"/>
    <sheet state="visible" name="2026年05月" sheetId="3" r:id="rId6"/>
    <sheet state="visible" name="2026年06月" sheetId="4" r:id="rId7"/>
    <sheet state="visible" name="2026年07月" sheetId="5" r:id="rId8"/>
    <sheet state="visible" name="2026年08月" sheetId="6" r:id="rId9"/>
    <sheet state="visible" name="2026年09月" sheetId="7" r:id="rId10"/>
    <sheet state="visible" name="2026年10月" sheetId="8" r:id="rId11"/>
    <sheet state="visible" name="2026年11月" sheetId="9" r:id="rId12"/>
    <sheet state="visible" name="2026年12月" sheetId="10" r:id="rId13"/>
    <sheet state="visible" name="2027年01月" sheetId="11" r:id="rId14"/>
    <sheet state="visible" name="2027年02月" sheetId="12" r:id="rId15"/>
    <sheet state="visible" name="2027年03月" sheetId="13" r:id="rId16"/>
    <sheet state="visible" name="設定" sheetId="14" r:id="rId17"/>
  </sheets>
  <definedNames/>
  <calcPr fullCalcOnLoad="1"/>
  <extLst>
    <ext uri="GoogleSheetsCustomDataVersion2">
      <go:sheetsCustomData xmlns:go="http://customooxmlschemas.google.com/" r:id="rId18" roundtripDataChecksum="mz6GTI2pd8WMZ4wEsCYJ5sAPwPcU4PPiwylliRbFXzk="/>
    </ext>
  </extLst>
</workbook>
</file>

<file path=xl/sharedStrings.xml><?xml version="1.0" encoding="utf-8"?>
<sst xmlns="http://schemas.openxmlformats.org/spreadsheetml/2006/main" count="195" uniqueCount="195">
  <si>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4</t>
    </r>
    <r>
      <rPr>
        <rFont val="Noto Sans CJK SC"/>
        <b/>
        <color rgb="FFFFFFFF"/>
        <sz val="15.0"/>
      </rPr>
      <t>月　原宿店 日別売上管理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</si>
  <si>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5</t>
    </r>
    <r>
      <rPr>
        <rFont val="Noto Sans CJK SC"/>
        <b/>
        <color rgb="FFFFFFFF"/>
        <sz val="15.0"/>
      </rPr>
      <t>月　原宿店 日別売上管理</t>
    </r>
  </si>
  <si>
    <t>青字＋薄黄色のセルが入力欄。白セルは数式なので触らないでください。単位：円</t>
  </si>
  <si>
    <t>月間予算</t>
  </si>
  <si>
    <t>当月実績</t>
  </si>
  <si>
    <t>達成率</t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</si>
  <si>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</si>
  <si>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</si>
  <si>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t>残り必要額</t>
  </si>
  <si>
    <t>残り必要日商</t>
  </si>
  <si>
    <r>
      <rPr>
        <rFont val="Arial"/>
        <b/>
        <color rgb="FFFFFFFF"/>
        <sz val="15.0"/>
      </rPr>
      <t xml:space="preserve">OLD ORDER </t>
    </r>
    <r>
      <rPr>
        <rFont val="Noto Sans CJK SC"/>
        <b/>
        <color rgb="FFFFFFFF"/>
        <sz val="15.0"/>
      </rPr>
      <t xml:space="preserve">原宿店　売上管理ダッシュボード　</t>
    </r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4</t>
    </r>
    <r>
      <rPr>
        <rFont val="Noto Sans CJK SC"/>
        <b/>
        <color rgb="FFFFFFFF"/>
        <sz val="15.0"/>
      </rPr>
      <t>月〜</t>
    </r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3</t>
    </r>
    <r>
      <rPr>
        <rFont val="Noto Sans CJK SC"/>
        <b/>
        <color rgb="FFFFFFFF"/>
        <sz val="15.0"/>
      </rPr>
      <t>月</t>
    </r>
  </si>
  <si>
    <t>日次予算合計</t>
  </si>
  <si>
    <t>着地見込</t>
  </si>
  <si>
    <t>決定率</t>
  </si>
  <si>
    <t>客単価</t>
  </si>
  <si>
    <t>セット率</t>
  </si>
  <si>
    <t>試着率</t>
  </si>
  <si>
    <t>各月シートの入力欄を埋めると、ここに自動集計されます。単位：円</t>
  </si>
  <si>
    <t>年間予算</t>
  </si>
  <si>
    <r>
      <rPr>
        <rFont val="Noto Sans CJK SC"/>
        <b/>
        <color theme="1"/>
        <sz val="10.0"/>
      </rPr>
      <t>当期実績</t>
    </r>
    <r>
      <rPr>
        <rFont val="Noto Sans"/>
        <b/>
        <color theme="1"/>
        <sz val="10.0"/>
      </rPr>
      <t>(YTD)</t>
    </r>
  </si>
  <si>
    <t>年間予算進捗</t>
  </si>
  <si>
    <t>経過月 達成率</t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</si>
  <si>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6</t>
    </r>
    <r>
      <rPr>
        <rFont val="Noto Sans CJK SC"/>
        <b/>
        <color rgb="FFFFFFFF"/>
        <sz val="15.0"/>
      </rPr>
      <t>月　原宿店 日別売上管理</t>
    </r>
  </si>
  <si>
    <t>日付</t>
  </si>
  <si>
    <t>曜</t>
  </si>
  <si>
    <t>日次予算</t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</si>
  <si>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</si>
  <si>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t>累計予算</t>
  </si>
  <si>
    <t>現金</t>
  </si>
  <si>
    <t>クレジット</t>
  </si>
  <si>
    <t>実績合計</t>
  </si>
  <si>
    <t>累計実績</t>
  </si>
  <si>
    <t>日次達成</t>
  </si>
  <si>
    <t>累計達成</t>
  </si>
  <si>
    <t>累計予実差</t>
  </si>
  <si>
    <t>ペース</t>
  </si>
  <si>
    <t>購入人数</t>
  </si>
  <si>
    <t>販売点数</t>
  </si>
  <si>
    <t>来客数</t>
  </si>
  <si>
    <t>試着組数</t>
  </si>
  <si>
    <t>試着個数</t>
  </si>
  <si>
    <t>クロス
クーポン</t>
  </si>
  <si>
    <t>インスタ
フォロワー</t>
  </si>
  <si>
    <t>経費</t>
  </si>
  <si>
    <t>メモ</t>
  </si>
  <si>
    <t>曜日</t>
  </si>
  <si>
    <t>平均日商</t>
  </si>
  <si>
    <t>日数</t>
  </si>
  <si>
    <t>月</t>
  </si>
  <si>
    <t>予実差</t>
  </si>
  <si>
    <t>前年実績</t>
  </si>
  <si>
    <t>前年比</t>
  </si>
  <si>
    <t>累計達成率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</si>
  <si>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4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</si>
  <si>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</si>
  <si>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</si>
  <si>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</si>
  <si>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</t>
    </r>
  </si>
  <si>
    <t>火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</si>
  <si>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</si>
  <si>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</t>
    </r>
  </si>
  <si>
    <t>水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</si>
  <si>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11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</si>
  <si>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12</t>
    </r>
    <r>
      <rPr>
        <rFont val="Noto Sans CJK SC"/>
        <color theme="1"/>
        <sz val="11.0"/>
      </rPr>
      <t>月</t>
    </r>
  </si>
  <si>
    <t>木</t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</si>
  <si>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</si>
  <si>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月</t>
    </r>
  </si>
  <si>
    <t>金</t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</si>
  <si>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月</t>
    </r>
  </si>
  <si>
    <t>土</t>
  </si>
  <si>
    <t>合計</t>
  </si>
  <si>
    <t>日</t>
  </si>
  <si>
    <t>※前年実績は「設定」シートの青字セルに入力。元データが無い月は空欄です。</t>
  </si>
  <si>
    <t>※「経過月 達成率」は予算と実績の両方が入っている月だけで計算します。</t>
  </si>
  <si>
    <t>【グラフ】</t>
  </si>
  <si>
    <t>※実績入力後に曜日別の傾向が出ます</t>
  </si>
  <si>
    <t>■ 週次サマリー（火曜〜翌月曜）</t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</si>
  <si>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</si>
  <si>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t>週</t>
  </si>
  <si>
    <t>期間</t>
  </si>
  <si>
    <t>売上</t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</si>
  <si>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</si>
  <si>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</si>
  <si>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+4,900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182,680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134,060→138,960</t>
    </r>
    <r>
      <rPr>
        <rFont val="Noto Sans CJK SC"/>
        <color rgb="FF0000FF"/>
        <sz val="9.0"/>
      </rPr>
      <t>に調整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</si>
  <si>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+44,110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394,710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306,880→350,990</t>
    </r>
    <r>
      <rPr>
        <rFont val="Noto Sans CJK SC"/>
        <color rgb="FF0000FF"/>
        <sz val="9.0"/>
      </rPr>
      <t>に調整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</si>
  <si>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7</t>
    </r>
    <r>
      <rPr>
        <rFont val="Noto Sans CJK SC"/>
        <b/>
        <color rgb="FFFFFFFF"/>
        <sz val="15.0"/>
      </rPr>
      <t>月　原宿店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</si>
  <si>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</si>
  <si>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</si>
  <si>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+24,310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200,790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106,250→130,560</t>
    </r>
    <r>
      <rPr>
        <rFont val="Noto Sans CJK SC"/>
        <color rgb="FF0000FF"/>
        <sz val="9.0"/>
      </rPr>
      <t>に調整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</si>
  <si>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</si>
  <si>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</si>
  <si>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07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</si>
  <si>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06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</si>
  <si>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</si>
  <si>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</si>
  <si>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-10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289,540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182,920→182,910</t>
    </r>
    <r>
      <rPr>
        <rFont val="Noto Sans CJK SC"/>
        <color rgb="FF0000FF"/>
        <sz val="9.0"/>
      </rPr>
      <t>に調整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</si>
  <si>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+1,243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184,250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132,687→133,930</t>
    </r>
    <r>
      <rPr>
        <rFont val="Noto Sans CJK SC"/>
        <color rgb="FF0000FF"/>
        <sz val="9.0"/>
      </rPr>
      <t>に調整</t>
    </r>
  </si>
  <si>
    <t>月計</t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</si>
  <si>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+210,350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548,170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249,500→459,850</t>
    </r>
    <r>
      <rPr>
        <rFont val="Noto Sans CJK SC"/>
        <color rgb="FF0000FF"/>
        <sz val="9.0"/>
      </rPr>
      <t>に調整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</si>
  <si>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</si>
  <si>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05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</si>
  <si>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+30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260,390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212,240→212,270</t>
    </r>
    <r>
      <rPr>
        <rFont val="Noto Sans CJK SC"/>
        <color rgb="FF0000FF"/>
        <sz val="9.0"/>
      </rPr>
      <t>に調整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</si>
  <si>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</si>
  <si>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0000FF"/>
        <sz val="9.0"/>
      </rPr>
      <t>※要確認：旧シートの売上合計と内訳が</t>
    </r>
    <r>
      <rPr>
        <rFont val="Arial"/>
        <color rgb="FF0000FF"/>
        <sz val="9.0"/>
      </rPr>
      <t>-60,000</t>
    </r>
    <r>
      <rPr>
        <rFont val="Noto Sans CJK SC"/>
        <color rgb="FF0000FF"/>
        <sz val="9.0"/>
      </rPr>
      <t>円ズレ。合計</t>
    </r>
    <r>
      <rPr>
        <rFont val="Arial"/>
        <color rgb="FF0000FF"/>
        <sz val="9.0"/>
      </rPr>
      <t>564,440</t>
    </r>
    <r>
      <rPr>
        <rFont val="Noto Sans CJK SC"/>
        <color rgb="FF0000FF"/>
        <sz val="9.0"/>
      </rPr>
      <t>円に合わせクレジットを</t>
    </r>
    <r>
      <rPr>
        <rFont val="Arial"/>
        <color rgb="FF0000FF"/>
        <sz val="9.0"/>
      </rPr>
      <t>571,980→511,980</t>
    </r>
    <r>
      <rPr>
        <rFont val="Noto Sans CJK SC"/>
        <color rgb="FF0000FF"/>
        <sz val="9.0"/>
      </rPr>
      <t>に調整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</si>
  <si>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</si>
  <si>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08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</si>
  <si>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</si>
  <si>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フォロワーは月末値</t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</si>
  <si>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10</t>
    </r>
    <r>
      <rPr>
        <rFont val="Noto Sans CJK SC"/>
        <b/>
        <color rgb="FFFFFFFF"/>
        <sz val="15.0"/>
      </rPr>
      <t>月　原宿店 日別売上管理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</si>
  <si>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9</t>
    </r>
    <r>
      <rPr>
        <rFont val="Noto Sans CJK SC"/>
        <b/>
        <color rgb="FFFFFFFF"/>
        <sz val="15.0"/>
      </rPr>
      <t>月　原宿店 日別売上管理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</si>
  <si>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8</t>
    </r>
    <r>
      <rPr>
        <rFont val="Noto Sans CJK SC"/>
        <b/>
        <color rgb="FFFFFFFF"/>
        <sz val="15.0"/>
      </rPr>
      <t>月　原宿店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</si>
  <si>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</si>
  <si>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</si>
  <si>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</si>
  <si>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11</t>
    </r>
    <r>
      <rPr>
        <rFont val="Noto Sans CJK SC"/>
        <b/>
        <color rgb="FFFFFFFF"/>
        <sz val="15.0"/>
      </rPr>
      <t>月　原宿店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</si>
  <si>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(/30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</si>
  <si>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</si>
  <si>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</si>
  <si>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</si>
  <si>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</si>
  <si>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</si>
  <si>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11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</si>
  <si>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</si>
  <si>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</si>
  <si>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10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</si>
  <si>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</si>
  <si>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火曜から自動生成。決定率・客単価・セット率・試着率は「週合計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</si>
  <si>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09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</si>
  <si>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</si>
  <si>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2026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12</t>
    </r>
    <r>
      <rPr>
        <rFont val="Noto Sans CJK SC"/>
        <b/>
        <color rgb="FFFFFFFF"/>
        <sz val="15.0"/>
      </rPr>
      <t>月　原宿店 日別売上管理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</si>
  <si>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</si>
  <si>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</si>
  <si>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2026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12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</si>
  <si>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</si>
  <si>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1</t>
    </r>
    <r>
      <rPr>
        <rFont val="Noto Sans CJK SC"/>
        <b/>
        <color rgb="FFFFFFFF"/>
        <sz val="15.0"/>
      </rPr>
      <t>月　原宿店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</si>
  <si>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</si>
  <si>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2</t>
    </r>
    <r>
      <rPr>
        <rFont val="Noto Sans CJK SC"/>
        <b/>
        <color rgb="FFFFFFFF"/>
        <sz val="15.0"/>
      </rPr>
      <t>月　原宿店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</si>
  <si>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(/28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</si>
  <si>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</si>
  <si>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</si>
  <si>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</si>
  <si>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Arial"/>
        <b/>
        <color rgb="FFFFFFFF"/>
        <sz val="15.0"/>
      </rPr>
      <t>2027</t>
    </r>
    <r>
      <rPr>
        <rFont val="Noto Sans CJK SC"/>
        <b/>
        <color rgb="FFFFFFFF"/>
        <sz val="15.0"/>
      </rPr>
      <t>年</t>
    </r>
    <r>
      <rPr>
        <rFont val="Arial"/>
        <b/>
        <color rgb="FFFFFFFF"/>
        <sz val="15.0"/>
      </rPr>
      <t>3</t>
    </r>
    <r>
      <rPr>
        <rFont val="Noto Sans CJK SC"/>
        <b/>
        <color rgb="FFFFFFFF"/>
        <sz val="15.0"/>
      </rPr>
      <t>月　原宿店 日別売上管理</t>
    </r>
  </si>
  <si>
    <r>
      <rPr>
        <rFont val="Noto Sans CJK SC"/>
        <b/>
        <color theme="1"/>
        <sz val="10.0"/>
      </rPr>
      <t>営業日数</t>
    </r>
    <r>
      <rPr>
        <rFont val="Noto Sans"/>
        <b/>
        <color theme="1"/>
        <sz val="10.0"/>
      </rPr>
      <t>(/31</t>
    </r>
    <r>
      <rPr>
        <rFont val="Noto Sans CJK SC"/>
        <b/>
        <color theme="1"/>
        <sz val="10.0"/>
      </rPr>
      <t>日</t>
    </r>
    <r>
      <rPr>
        <rFont val="Noto Sans"/>
        <b/>
        <color theme="1"/>
        <sz val="10.0"/>
      </rPr>
      <t>)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</si>
  <si>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</si>
  <si>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01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</si>
  <si>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</si>
  <si>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</si>
  <si>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</si>
  <si>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02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</si>
  <si>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</si>
  <si>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設定（月間予算・前年実績）</t>
  </si>
  <si>
    <t>← 青字＋薄黄色セルが入力（月間予算・前年実績）</t>
  </si>
  <si>
    <t>年間予算（合計）</t>
  </si>
  <si>
    <t>日商目安</t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</si>
  <si>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4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</si>
  <si>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5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</si>
  <si>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6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</si>
  <si>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7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</si>
  <si>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8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</si>
  <si>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9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</si>
  <si>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10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</si>
  <si>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11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</si>
  <si>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2026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12</t>
    </r>
    <r>
      <rPr>
        <rFont val="Noto Sans CJK SC"/>
        <color theme="1"/>
        <sz val="11.0"/>
      </rPr>
      <t>月</t>
    </r>
  </si>
  <si>
    <r>
      <rPr>
        <rFont val="Noto Sans"/>
        <color rgb="FF808080"/>
        <sz val="8.0"/>
      </rPr>
      <t>※2025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12</t>
    </r>
    <r>
      <rPr>
        <rFont val="Noto Sans CJK SC"/>
        <color rgb="FF808080"/>
        <sz val="8.0"/>
      </rPr>
      <t>月は</t>
    </r>
    <r>
      <rPr>
        <rFont val="Noto Sans"/>
        <color rgb="FF808080"/>
        <sz val="8.0"/>
      </rPr>
      <t>8</t>
    </r>
    <r>
      <rPr>
        <rFont val="Noto Sans CJK SC"/>
        <color rgb="FF808080"/>
        <sz val="8.0"/>
      </rPr>
      <t>日分のみ入力の旧データ。要確認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</si>
  <si>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1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</si>
  <si>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2</t>
    </r>
    <r>
      <rPr>
        <rFont val="Noto Sans CJK SC"/>
        <color theme="1"/>
        <sz val="11.0"/>
      </rPr>
      <t>月</t>
    </r>
  </si>
  <si>
    <r>
      <rPr>
        <rFont val="Arial"/>
        <color theme="1"/>
        <sz val="11.0"/>
      </rPr>
      <t>2027</t>
    </r>
    <r>
      <rPr>
        <rFont val="Noto Sans CJK SC"/>
        <color theme="1"/>
        <sz val="11.0"/>
      </rPr>
      <t>年</t>
    </r>
    <r>
      <rPr>
        <rFont val="Arial"/>
        <color theme="1"/>
        <sz val="11.0"/>
      </rPr>
      <t>3</t>
    </r>
    <r>
      <rPr>
        <rFont val="Noto Sans CJK SC"/>
        <color theme="1"/>
        <sz val="11.0"/>
      </rPr>
      <t>月</t>
    </r>
  </si>
  <si>
    <t>【入力ルール】</t>
  </si>
  <si>
    <t>・入力するのは青字＋薄黄色のセルだけ。白セルはすべて数式です。</t>
  </si>
  <si>
    <t>・各月シートの入力欄：日次予算／現金／クレジット／購入人数／販売点数／来客数／試着組数／試着個数／クロスクーポン／フォロワー／経費／メモ</t>
  </si>
  <si>
    <t>・試着組数・試着個数は必ず数値で入力（旧ファイルは文字列だったため合計・試着率が集計されていませんでした）。</t>
  </si>
  <si>
    <t>・「ペース」列は累計実績が累計予算に届いているかを自動判定します（◎ペース内／▲遅れ／予算未入力）。</t>
  </si>
  <si>
    <r>
      <rPr>
        <rFont val="Noto Sans CJK SC"/>
        <color theme="1"/>
        <sz val="9.0"/>
      </rPr>
      <t>・各月シート右側に「週次サマリー（火曜〜翌月曜）」。その月の第</t>
    </r>
    <r>
      <rPr>
        <rFont val="Arial"/>
        <color theme="1"/>
        <sz val="9.0"/>
      </rPr>
      <t>1</t>
    </r>
    <r>
      <rPr>
        <rFont val="Noto Sans CJK SC"/>
        <color theme="1"/>
        <sz val="9.0"/>
      </rPr>
      <t>火曜からスタートし、最終週は翌月シートの実績を自動合算します。</t>
    </r>
  </si>
  <si>
    <r>
      <rPr>
        <rFont val="Noto Sans CJK SC"/>
        <color theme="1"/>
        <sz val="9.0"/>
      </rPr>
      <t>・火曜起点のため、月初の月曜まで（例：</t>
    </r>
    <r>
      <rPr>
        <rFont val="Arial"/>
        <color theme="1"/>
        <sz val="9.0"/>
      </rPr>
      <t>6/1</t>
    </r>
    <r>
      <rPr>
        <rFont val="Noto Sans CJK SC"/>
        <color theme="1"/>
        <sz val="9.0"/>
      </rPr>
      <t>）はその月の週次サマリーには出ず、前月シートの最終週に含まれます。週次の合計は月計と一致しません。</t>
    </r>
  </si>
  <si>
    <r>
      <rPr>
        <rFont val="Noto Sans CJK SC"/>
        <color theme="1"/>
        <sz val="9.0"/>
      </rPr>
      <t>・週次の決定率・客単価・セット率は「週合計</t>
    </r>
    <r>
      <rPr>
        <rFont val="Arial"/>
        <color theme="1"/>
        <sz val="9.0"/>
      </rPr>
      <t>÷</t>
    </r>
    <r>
      <rPr>
        <rFont val="Noto Sans CJK SC"/>
        <color theme="1"/>
        <sz val="9.0"/>
      </rPr>
      <t>週合計」で算出（日次の率を</t>
    </r>
    <r>
      <rPr>
        <rFont val="Arial"/>
        <color theme="1"/>
        <sz val="9.0"/>
      </rPr>
      <t>AVERAGE</t>
    </r>
    <r>
      <rPr>
        <rFont val="Noto Sans CJK SC"/>
        <color theme="1"/>
        <sz val="9.0"/>
      </rPr>
      <t>すると客数の少ない日に引っ張られて歪みます）。</t>
    </r>
  </si>
  <si>
    <r>
      <rPr>
        <rFont val="Noto Sans CJK SC"/>
        <color theme="1"/>
        <sz val="9.0"/>
      </rPr>
      <t>・「月間予算」タイル（</t>
    </r>
    <r>
      <rPr>
        <rFont val="Arial"/>
        <color theme="1"/>
        <sz val="9.0"/>
      </rPr>
      <t>A4</t>
    </r>
    <r>
      <rPr>
        <rFont val="Noto Sans CJK SC"/>
        <color theme="1"/>
        <sz val="9.0"/>
      </rPr>
      <t>）と「日次予算合計」タイル（</t>
    </r>
    <r>
      <rPr>
        <rFont val="Arial"/>
        <color theme="1"/>
        <sz val="9.0"/>
      </rPr>
      <t>A6</t>
    </r>
    <r>
      <rPr>
        <rFont val="Noto Sans CJK SC"/>
        <color theme="1"/>
        <sz val="9.0"/>
      </rPr>
      <t>）がズレていたら、日次予算の合計が月間予算と一致していません。累計予算・累計達成・ペース・累計予実差・日別グラフはすべて日次予算を使うので、ズレたままだとペース判定が正しくなくなります。</t>
    </r>
  </si>
  <si>
    <t>【前提・注意】</t>
  </si>
  <si>
    <r>
      <rPr>
        <rFont val="Noto Sans CJK SC"/>
        <color theme="1"/>
        <sz val="9.0"/>
      </rPr>
      <t>・月間予算は未入力です。設定シートの</t>
    </r>
    <r>
      <rPr>
        <rFont val="Arial"/>
        <color theme="1"/>
        <sz val="9.0"/>
      </rPr>
      <t>B</t>
    </r>
    <r>
      <rPr>
        <rFont val="Noto Sans CJK SC"/>
        <color theme="1"/>
        <sz val="9.0"/>
      </rPr>
      <t>列（青字セル）に入れてください。空欄の月は日次予算の合計を月間予算として表示します。</t>
    </r>
  </si>
  <si>
    <r>
      <rPr>
        <rFont val="Noto Sans CJK SC"/>
        <color theme="1"/>
        <sz val="9.0"/>
      </rPr>
      <t>・日次予算は旧ファイルの日別予算をそのまま取り込んでいます（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18,500,000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5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20,200,000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18,500,000</t>
    </r>
    <r>
      <rPr>
        <rFont val="Noto Sans CJK SC"/>
        <color theme="1"/>
        <sz val="9.0"/>
      </rPr>
      <t>／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月</t>
    </r>
    <r>
      <rPr>
        <rFont val="Arial"/>
        <color theme="1"/>
        <sz val="9.0"/>
      </rPr>
      <t>20,000,000</t>
    </r>
    <r>
      <rPr>
        <rFont val="Noto Sans CJK SC"/>
        <color theme="1"/>
        <sz val="9.0"/>
      </rPr>
      <t>）。月間予算を入れたあと、この合計とズレていないか確認してください。</t>
    </r>
  </si>
  <si>
    <r>
      <rPr>
        <rFont val="Noto Sans CJK SC"/>
        <color theme="1"/>
        <sz val="9.0"/>
      </rPr>
      <t>・</t>
    </r>
    <r>
      <rPr>
        <rFont val="Arial"/>
        <color theme="1"/>
        <sz val="9.0"/>
      </rPr>
      <t>LK</t>
    </r>
    <r>
      <rPr>
        <rFont val="Noto Sans CJK SC"/>
        <color theme="1"/>
        <sz val="9.0"/>
      </rPr>
      <t>売上の列は大阪店のみのため、原宿店では設けていません。</t>
    </r>
  </si>
  <si>
    <r>
      <rPr>
        <rFont val="Noto Sans CJK SC"/>
        <color theme="1"/>
        <sz val="9.0"/>
      </rPr>
      <t>・前年実績：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12</t>
    </r>
    <r>
      <rPr>
        <rFont val="Noto Sans CJK SC"/>
        <color theme="1"/>
        <sz val="9.0"/>
      </rPr>
      <t>月〜</t>
    </r>
    <r>
      <rPr>
        <rFont val="Arial"/>
        <color theme="1"/>
        <sz val="9.0"/>
      </rPr>
      <t>2027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月は旧ファイル（</t>
    </r>
    <r>
      <rPr>
        <rFont val="Arial"/>
        <color theme="1"/>
        <sz val="9.0"/>
      </rPr>
      <t>2025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12</t>
    </r>
    <r>
      <rPr>
        <rFont val="Noto Sans CJK SC"/>
        <color theme="1"/>
        <sz val="9.0"/>
      </rPr>
      <t>月〜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月）の売上合計より転記。</t>
    </r>
    <r>
      <rPr>
        <rFont val="Arial"/>
        <color theme="1"/>
        <sz val="9.0"/>
      </rPr>
      <t>2026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11</t>
    </r>
    <r>
      <rPr>
        <rFont val="Noto Sans CJK SC"/>
        <color theme="1"/>
        <sz val="9.0"/>
      </rPr>
      <t>月は元データが無いため空欄。</t>
    </r>
  </si>
  <si>
    <r>
      <rPr>
        <rFont val="Noto Sans CJK SC"/>
        <color theme="1"/>
        <sz val="9.0"/>
      </rPr>
      <t>・</t>
    </r>
    <r>
      <rPr>
        <rFont val="Arial"/>
        <color theme="1"/>
        <sz val="9.0"/>
      </rPr>
      <t>2025</t>
    </r>
    <r>
      <rPr>
        <rFont val="Noto Sans CJK SC"/>
        <color theme="1"/>
        <sz val="9.0"/>
      </rPr>
      <t>年</t>
    </r>
    <r>
      <rPr>
        <rFont val="Arial"/>
        <color theme="1"/>
        <sz val="9.0"/>
      </rPr>
      <t>12</t>
    </r>
    <r>
      <rPr>
        <rFont val="Noto Sans CJK SC"/>
        <color theme="1"/>
        <sz val="9.0"/>
      </rPr>
      <t>月は</t>
    </r>
    <r>
      <rPr>
        <rFont val="Arial"/>
        <color theme="1"/>
        <sz val="9.0"/>
      </rPr>
      <t>8</t>
    </r>
    <r>
      <rPr>
        <rFont val="Noto Sans CJK SC"/>
        <color theme="1"/>
        <sz val="9.0"/>
      </rPr>
      <t>日分しか入力が無いため、前年比の参考値には使えません。</t>
    </r>
  </si>
  <si>
    <r>
      <rPr>
        <rFont val="Noto Sans CJK SC"/>
        <color theme="1"/>
        <sz val="9.0"/>
      </rPr>
      <t>・旧ファイルは月ごとに列構成が</t>
    </r>
    <r>
      <rPr>
        <rFont val="Arial"/>
        <color theme="1"/>
        <sz val="9.0"/>
      </rPr>
      <t>5</t>
    </r>
    <r>
      <rPr>
        <rFont val="Noto Sans CJK SC"/>
        <color theme="1"/>
        <sz val="9.0"/>
      </rPr>
      <t>種類（</t>
    </r>
    <r>
      <rPr>
        <rFont val="Arial"/>
        <color theme="1"/>
        <sz val="9.0"/>
      </rPr>
      <t>12</t>
    </r>
    <r>
      <rPr>
        <rFont val="Noto Sans CJK SC"/>
        <color theme="1"/>
        <sz val="9.0"/>
      </rPr>
      <t>月・</t>
    </r>
    <r>
      <rPr>
        <rFont val="Arial"/>
        <color theme="1"/>
        <sz val="9.0"/>
      </rPr>
      <t>1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2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3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4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6</t>
    </r>
    <r>
      <rPr>
        <rFont val="Noto Sans CJK SC"/>
        <color theme="1"/>
        <sz val="9.0"/>
      </rPr>
      <t>月／</t>
    </r>
    <r>
      <rPr>
        <rFont val="Arial"/>
        <color theme="1"/>
        <sz val="9.0"/>
      </rPr>
      <t>7</t>
    </r>
    <r>
      <rPr>
        <rFont val="Noto Sans CJK SC"/>
        <color theme="1"/>
        <sz val="9.0"/>
      </rPr>
      <t>〜</t>
    </r>
    <r>
      <rPr>
        <rFont val="Arial"/>
        <color theme="1"/>
        <sz val="9.0"/>
      </rPr>
      <t>8</t>
    </r>
    <r>
      <rPr>
        <rFont val="Noto Sans CJK SC"/>
        <color theme="1"/>
        <sz val="9.0"/>
      </rPr>
      <t>月）に分かれていました。本ファイルは全月同一構成です。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</si>
  <si>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</si>
  <si>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※最終週は翌月にまたぐため、</t>
    </r>
    <r>
      <rPr>
        <rFont val="Noto Sans"/>
        <color rgb="FF808080"/>
        <sz val="8.0"/>
      </rPr>
      <t>2027</t>
    </r>
    <r>
      <rPr>
        <rFont val="Noto Sans CJK SC"/>
        <color rgb="FF808080"/>
        <sz val="8.0"/>
      </rPr>
      <t>年</t>
    </r>
    <r>
      <rPr>
        <rFont val="Noto Sans"/>
        <color rgb="FF808080"/>
        <sz val="8.0"/>
      </rPr>
      <t>03</t>
    </r>
    <r>
      <rPr>
        <rFont val="Noto Sans CJK SC"/>
        <color rgb="FF808080"/>
        <sz val="8.0"/>
      </rPr>
      <t>月シートの実績も自動で合算します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</si>
  <si>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</si>
  <si>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r>
      <rPr>
        <rFont val="Noto Sans CJK SC"/>
        <color rgb="FF808080"/>
        <sz val="8.0"/>
      </rPr>
      <t>※期間ラベルは第</t>
    </r>
    <r>
      <rPr>
        <rFont val="Noto Sans"/>
        <color rgb="FF808080"/>
        <sz val="8.0"/>
      </rPr>
      <t>1</t>
    </r>
    <r>
      <rPr>
        <rFont val="Noto Sans CJK SC"/>
        <color rgb="FF808080"/>
        <sz val="8.0"/>
      </rPr>
      <t>月曜から自動生成。決定率・客単価・セット率・試着率は「週合計</t>
    </r>
    <r>
      <rPr>
        <rFont val="Noto Sans"/>
        <color rgb="FF808080"/>
        <sz val="8.0"/>
      </rPr>
      <t>÷</t>
    </r>
    <r>
      <rPr>
        <rFont val="Noto Sans CJK SC"/>
        <color rgb="FF808080"/>
        <sz val="8.0"/>
      </rPr>
      <t>週合計」</t>
    </r>
  </si>
  <si>
    <r>
      <rPr>
        <rFont val="Noto Sans CJK SC"/>
        <color rgb="FF808080"/>
        <sz val="8.0"/>
      </rPr>
      <t>※最終週の翌月分（</t>
    </r>
    <r>
      <rPr>
        <rFont val="Noto Sans"/>
        <color rgb="FF808080"/>
        <sz val="8.0"/>
      </rPr>
      <t>4/1</t>
    </r>
    <r>
      <rPr>
        <rFont val="Noto Sans CJK SC"/>
        <color rgb="FF808080"/>
        <sz val="8.0"/>
      </rPr>
      <t>〜）は集計対象外です（翌期のシートが無いため）</t>
    </r>
  </si>
  <si>
    <r>
      <rPr>
        <rFont val="Noto Sans CJK SC"/>
        <color rgb="FF808080"/>
        <sz val="8.0"/>
      </rPr>
      <t>※月初の月曜まで（例：</t>
    </r>
    <r>
      <rPr>
        <rFont val="Noto Sans"/>
        <color rgb="FF808080"/>
        <sz val="8.0"/>
      </rPr>
      <t>6/1</t>
    </r>
    <r>
      <rPr>
        <rFont val="Noto Sans CJK SC"/>
        <color rgb="FF808080"/>
        <sz val="8.0"/>
      </rPr>
      <t>）は前月シートの最終週に含まれます</t>
    </r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</si>
  <si>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</si>
  <si>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</si>
  <si>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</si>
  <si>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</si>
  <si>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</si>
  <si>
    <t>■ 週次サマリー（月曜〜日曜）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</si>
</sst>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¥#,##0;&quot;(¥&quot;#,##0\);\-"/>
    <numFmt numFmtId="165" formatCode="0.0%"/>
    <numFmt numFmtId="166" formatCode="yyyy\/mm\/dd"/>
    <numFmt numFmtId="167" formatCode="m/d"/>
  </numFmts>
  <fonts count="22">
    <font>
      <sz val="11.0"/>
      <color theme="1"/>
      <name val="Calibri"/>
      <scheme val="minor"/>
    </font>
    <font>
      <b/>
      <sz val="15.0"/>
      <color rgb="FFFFFFFF"/>
      <name val="Arial"/>
    </font>
    <font/>
    <font>
      <sz val="9.0"/>
      <color rgb="FF808080"/>
      <name val="Noto Sans"/>
    </font>
    <font>
      <b/>
      <sz val="10.0"/>
      <color theme="1"/>
      <name val="Noto Sans"/>
    </font>
    <font>
      <b/>
      <sz val="11.0"/>
      <color rgb="FF1F3864"/>
      <name val="Arial"/>
    </font>
    <font>
      <b/>
      <sz val="11.0"/>
      <color theme="1"/>
      <name val="Arial"/>
    </font>
    <font>
      <b/>
      <sz val="10.0"/>
      <color rgb="FFFFFFFF"/>
      <name val="Noto Sans"/>
    </font>
    <font>
      <sz val="11.0"/>
      <color theme="1"/>
      <name val="Arial"/>
    </font>
    <font>
      <sz val="11.0"/>
      <color rgb="FF0000FF"/>
      <name val="Arial"/>
    </font>
    <font>
      <sz val="10.0"/>
      <color theme="1"/>
      <name val="Noto Sans"/>
    </font>
    <font>
      <sz val="9.0"/>
      <color rgb="FF0000FF"/>
      <name val="Arial"/>
    </font>
    <font>
      <b/>
      <sz val="11.0"/>
      <color theme="1"/>
      <name val="Noto Sans"/>
    </font>
    <font>
      <b/>
      <sz val="11.0"/>
      <color rgb="FFFFFFFF"/>
      <name val="Noto Sans"/>
    </font>
    <font>
      <b/>
      <sz val="11.0"/>
      <color rgb="FFFFFFFF"/>
      <name val="Arial"/>
    </font>
    <font>
      <sz val="8.0"/>
      <color rgb="FF808080"/>
      <name val="Noto Sans"/>
    </font>
    <font>
      <b/>
      <sz val="11.0"/>
      <color rgb="FF1F3864"/>
      <name val="Noto Sans"/>
    </font>
    <font>
      <sz val="9.0"/>
      <color rgb="FF0000FF"/>
      <name val="Noto Sans"/>
    </font>
    <font>
      <sz val="8.0"/>
      <color rgb="FFD9D9D9"/>
      <name val="Noto Sans"/>
    </font>
    <font>
      <color theme="1"/>
      <name val="Calibri"/>
      <scheme val="minor"/>
    </font>
    <font>
      <b/>
      <sz val="15.0"/>
      <color rgb="FFFFFFFF"/>
      <name val="Noto Sans"/>
    </font>
    <font>
      <sz val="9.0"/>
      <color theme="1"/>
      <name val="Noto Sans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6F7"/>
        <bgColor rgb="FFDCE6F7"/>
      </patternFill>
    </fill>
    <fill>
      <patternFill patternType="solid">
        <fgColor rgb="FF2E5AAC"/>
        <bgColor rgb="FF2E5AAC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2F2F2"/>
        <bgColor rgb="FFF2F2F2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4" fillId="0" fontId="5" numFmtId="164" xfId="0" applyAlignment="1" applyBorder="1" applyFont="1" applyNumberForma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4" fillId="0" fontId="6" numFmtId="165" xfId="0" applyAlignment="1" applyBorder="1" applyFont="1" applyNumberFormat="1">
      <alignment horizontal="center" vertical="center"/>
    </xf>
    <xf borderId="4" fillId="0" fontId="6" numFmtId="1" xfId="0" applyAlignment="1" applyBorder="1" applyFont="1" applyNumberFormat="1">
      <alignment horizontal="center" vertical="center"/>
    </xf>
    <xf borderId="4" fillId="0" fontId="6" numFmtId="2" xfId="0" applyAlignment="1" applyBorder="1" applyFont="1" applyNumberFormat="1">
      <alignment horizontal="center" vertical="center"/>
    </xf>
    <xf borderId="6" fillId="4" fontId="7" numFmtId="0" xfId="0" applyAlignment="1" applyBorder="1" applyFill="1" applyFont="1">
      <alignment horizontal="center" shrinkToFit="0" vertical="center" wrapText="1"/>
    </xf>
    <xf borderId="6" fillId="4" fontId="7" numFmtId="0" xfId="0" applyAlignment="1" applyBorder="1" applyFill="1" applyFont="1">
      <alignment horizontal="center" vertical="center"/>
    </xf>
    <xf borderId="6" fillId="5" fontId="8" numFmtId="166" xfId="0" applyAlignment="1" applyBorder="1" applyFill="1" applyFont="1" applyNumberFormat="1">
      <alignment horizontal="center" vertical="center"/>
    </xf>
    <xf borderId="6" fillId="5" fontId="8" numFmtId="0" xfId="0" applyAlignment="1" applyBorder="1" applyFill="1" applyFont="1">
      <alignment horizontal="center" vertical="center"/>
    </xf>
    <xf borderId="6" fillId="6" fontId="9" numFmtId="164" xfId="0" applyAlignment="1" applyBorder="1" applyFill="1" applyFont="1" applyNumberFormat="1">
      <alignment horizontal="right" vertical="center"/>
    </xf>
    <xf borderId="6" fillId="5" fontId="8" numFmtId="164" xfId="0" applyAlignment="1" applyBorder="1" applyFill="1" applyFont="1" applyNumberFormat="1">
      <alignment horizontal="right" vertical="center"/>
    </xf>
    <xf borderId="6" fillId="5" fontId="8" numFmtId="165" xfId="0" applyAlignment="1" applyBorder="1" applyFill="1" applyFont="1" applyNumberFormat="1">
      <alignment horizontal="right" vertical="center"/>
    </xf>
    <xf borderId="6" fillId="5" fontId="10" numFmtId="0" xfId="0" applyAlignment="1" applyBorder="1" applyFill="1" applyFont="1">
      <alignment horizontal="center" vertical="center"/>
    </xf>
    <xf borderId="6" fillId="5" fontId="8" numFmtId="1" xfId="0" applyAlignment="1" applyBorder="1" applyFill="1" applyFont="1" applyNumberFormat="1">
      <alignment horizontal="right" vertical="center"/>
    </xf>
    <xf borderId="6" fillId="6" fontId="9" numFmtId="1" xfId="0" applyAlignment="1" applyBorder="1" applyFill="1" applyFont="1" applyNumberFormat="1">
      <alignment horizontal="right" vertical="center"/>
    </xf>
    <xf borderId="6" fillId="5" fontId="8" numFmtId="2" xfId="0" applyAlignment="1" applyBorder="1" applyFill="1" applyFont="1" applyNumberFormat="1">
      <alignment horizontal="right" vertical="center"/>
    </xf>
    <xf borderId="6" fillId="7" fontId="8" numFmtId="0" xfId="0" applyAlignment="1" applyBorder="1" applyFill="1" applyFont="1">
      <alignment horizontal="center" vertical="center"/>
    </xf>
    <xf borderId="6" fillId="6" fontId="11" numFmtId="0" xfId="0" applyAlignment="1" applyBorder="1" applyFill="1" applyFont="1">
      <alignment horizontal="left" vertical="center"/>
    </xf>
    <xf borderId="6" fillId="7" fontId="8" numFmtId="164" xfId="0" applyAlignment="1" applyBorder="1" applyFill="1" applyFont="1" applyNumberFormat="1">
      <alignment horizontal="right" vertical="center"/>
    </xf>
    <xf borderId="6" fillId="0" fontId="12" numFmtId="0" xfId="0" applyAlignment="1" applyBorder="1" applyFont="1">
      <alignment horizontal="center" vertical="center"/>
    </xf>
    <xf borderId="6" fillId="7" fontId="8" numFmtId="165" xfId="0" applyAlignment="1" applyBorder="1" applyFill="1" applyFont="1" applyNumberFormat="1">
      <alignment horizontal="right" vertical="center"/>
    </xf>
    <xf borderId="6" fillId="0" fontId="8" numFmtId="164" xfId="0" applyAlignment="1" applyBorder="1" applyFont="1" applyNumberFormat="1">
      <alignment horizontal="right" vertical="center"/>
    </xf>
    <xf borderId="6" fillId="7" fontId="8" numFmtId="1" xfId="0" applyAlignment="1" applyBorder="1" applyFill="1" applyFont="1" applyNumberFormat="1">
      <alignment horizontal="right" vertical="center"/>
    </xf>
    <xf borderId="6" fillId="0" fontId="8" numFmtId="1" xfId="0" applyAlignment="1" applyBorder="1" applyFont="1" applyNumberFormat="1">
      <alignment horizontal="center" vertical="center"/>
    </xf>
    <xf borderId="6" fillId="0" fontId="8" numFmtId="165" xfId="0" applyAlignment="1" applyBorder="1" applyFont="1" applyNumberFormat="1">
      <alignment horizontal="right" vertical="center"/>
    </xf>
    <xf borderId="6" fillId="7" fontId="8" numFmtId="166" xfId="0" applyAlignment="1" applyBorder="1" applyFill="1" applyFont="1" applyNumberFormat="1">
      <alignment horizontal="center" vertical="center"/>
    </xf>
    <xf borderId="6" fillId="7" fontId="10" numFmtId="0" xfId="0" applyAlignment="1" applyBorder="1" applyFill="1" applyFont="1">
      <alignment horizontal="center" vertical="center"/>
    </xf>
    <xf borderId="6" fillId="7" fontId="8" numFmtId="2" xfId="0" applyAlignment="1" applyBorder="1" applyFill="1" applyFont="1" applyNumberFormat="1">
      <alignment horizontal="right" vertical="center"/>
    </xf>
    <xf borderId="6" fillId="2" fontId="13" numFmtId="0" xfId="0" applyAlignment="1" applyBorder="1" applyFill="1" applyFont="1">
      <alignment horizontal="center" vertical="center"/>
    </xf>
    <xf borderId="6" fillId="2" fontId="14" numFmtId="164" xfId="0" applyAlignment="1" applyBorder="1" applyFill="1" applyFont="1" applyNumberFormat="1">
      <alignment horizontal="right" vertical="center"/>
    </xf>
    <xf borderId="6" fillId="2" fontId="14" numFmtId="165" xfId="0" applyAlignment="1" applyBorder="1" applyFill="1" applyFont="1" applyNumberFormat="1">
      <alignment horizontal="right" vertical="center"/>
    </xf>
    <xf borderId="6" fillId="2" fontId="14" numFmtId="1" xfId="0" applyAlignment="1" applyBorder="1" applyFill="1" applyFont="1" applyNumberFormat="1">
      <alignment horizontal="right" vertical="center"/>
    </xf>
    <xf borderId="0" fillId="0" fontId="15" numFmtId="0" xfId="0" applyFont="1"/>
    <xf borderId="0" fillId="0" fontId="16" numFmtId="0" xfId="0" applyFont="1"/>
    <xf borderId="0" fillId="0" fontId="15" numFmtId="167" xfId="0" applyFont="1" applyNumberFormat="1"/>
    <xf borderId="6" fillId="0" fontId="8" numFmtId="0" xfId="0" applyAlignment="1" applyBorder="1" applyFont="1">
      <alignment horizontal="center" vertical="center"/>
    </xf>
    <xf borderId="6" fillId="0" fontId="8" numFmtId="2" xfId="0" applyAlignment="1" applyBorder="1" applyFont="1" applyNumberFormat="1">
      <alignment horizontal="right" vertical="center"/>
    </xf>
    <xf borderId="6" fillId="6" fontId="17" numFmtId="0" xfId="0" applyAlignment="1" applyBorder="1" applyFill="1" applyFont="1">
      <alignment horizontal="left" vertical="center"/>
    </xf>
    <xf borderId="6" fillId="2" fontId="13" numFmtId="166" xfId="0" applyAlignment="1" applyBorder="1" applyFill="1" applyFont="1" applyNumberFormat="1">
      <alignment horizontal="center" vertical="center"/>
    </xf>
    <xf borderId="6" fillId="2" fontId="14" numFmtId="0" xfId="0" applyAlignment="1" applyBorder="1" applyFill="1" applyFont="1">
      <alignment horizontal="center" vertical="center"/>
    </xf>
    <xf borderId="6" fillId="2" fontId="14" numFmtId="2" xfId="0" applyAlignment="1" applyBorder="1" applyFill="1" applyFont="1" applyNumberFormat="1">
      <alignment horizontal="right" vertical="center"/>
    </xf>
    <xf borderId="6" fillId="2" fontId="18" numFmtId="0" xfId="0" applyAlignment="1" applyBorder="1" applyFill="1" applyFont="1">
      <alignment horizontal="left" vertical="center"/>
    </xf>
    <xf borderId="6" fillId="6" fontId="9" numFmtId="164" xfId="0" applyAlignment="1" applyBorder="1" applyFill="1" applyFont="1" applyNumberFormat="1">
      <alignment horizontal="right" readingOrder="0" vertical="center"/>
    </xf>
    <xf borderId="6" fillId="6" fontId="9" numFmtId="1" xfId="0" applyAlignment="1" applyBorder="1" applyFill="1" applyFont="1" applyNumberFormat="1">
      <alignment horizontal="right" readingOrder="0" vertical="center"/>
    </xf>
    <xf borderId="0" fillId="0" fontId="19" numFmtId="0" xfId="0" applyAlignment="1" applyFont="1">
      <alignment readingOrder="0"/>
    </xf>
    <xf borderId="1" fillId="2" fontId="20" numFmtId="0" xfId="0" applyAlignment="1" applyBorder="1" applyFill="1" applyFont="1">
      <alignment horizontal="left" vertical="center"/>
    </xf>
    <xf borderId="6" fillId="3" fontId="4" numFmtId="0" xfId="0" applyBorder="1" applyFill="1" applyFont="1"/>
    <xf borderId="6" fillId="0" fontId="6" numFmtId="164" xfId="0" applyBorder="1" applyFont="1" applyNumberFormat="1"/>
    <xf borderId="6" fillId="6" fontId="9" numFmtId="164" xfId="0" applyAlignment="1" applyBorder="1" applyFill="1" applyFont="1" applyNumberFormat="1">
      <alignment horizontal="right"/>
    </xf>
    <xf borderId="6" fillId="5" fontId="8" numFmtId="1" xfId="0" applyAlignment="1" applyBorder="1" applyFill="1" applyFont="1" applyNumberFormat="1">
      <alignment horizontal="center" vertical="center"/>
    </xf>
    <xf borderId="6" fillId="7" fontId="8" numFmtId="1" xfId="0" applyAlignment="1" applyBorder="1" applyFill="1" applyFont="1" applyNumberFormat="1">
      <alignment horizontal="center" vertical="center"/>
    </xf>
    <xf borderId="6" fillId="6" fontId="9" numFmtId="164" xfId="0" applyAlignment="1" applyBorder="1" applyFill="1" applyFont="1" applyNumberFormat="1">
      <alignment horizontal="right" readingOrder="0"/>
    </xf>
    <xf borderId="6" fillId="2" fontId="14" numFmtId="1" xfId="0" applyAlignment="1" applyBorder="1" applyFill="1" applyFont="1" applyNumberFormat="1">
      <alignment horizontal="center" vertical="center"/>
    </xf>
    <xf borderId="0" fillId="0" fontId="21" numFmtId="0" xfId="0" applyFont="1"/>
  </cellXfs>
  <cellStyles count="1">
    <cellStyle xfId="0" name="Normal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月別：予算 vs 実績 vs 前年実績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月間予算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'ダッシュボード'!$B$8:$B$19</c:f>
              <c:numCache/>
            </c:numRef>
          </c:val>
        </c:ser>
        <c:ser>
          <c:idx val="1"/>
          <c:order val="1"/>
          <c:tx>
            <c:v>当月実績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'ダッシュボード'!$C$8:$C$19</c:f>
              <c:numCache/>
            </c:numRef>
          </c:val>
        </c:ser>
        <c:ser>
          <c:idx val="2"/>
          <c:order val="2"/>
          <c:tx>
            <c:v>前年実績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'ダッシュボード'!$A$8:$A$19</c:f>
            </c:strRef>
          </c:cat>
          <c:val>
            <c:numRef>
              <c:f>'ダッシュボード'!$F$8:$F$19</c:f>
              <c:numCache/>
            </c:numRef>
          </c:val>
        </c:ser>
        <c:axId val="2122155844"/>
        <c:axId val="751342963"/>
      </c:barChart>
      <c:catAx>
        <c:axId val="2122155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51342963"/>
      </c:catAx>
      <c:valAx>
        <c:axId val="751342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2215584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月別：達成率 と 前年比</a:t>
            </a:r>
          </a:p>
        </c:rich>
      </c:tx>
      <c:overlay val="0"/>
    </c:title>
    <c:plotArea>
      <c:layout/>
      <c:lineChart>
        <c:ser>
          <c:idx val="0"/>
          <c:order val="0"/>
          <c:tx>
            <c:v>達成率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cat>
            <c:strRef>
              <c:f>'ダッシュボード'!$A$8:$A$19</c:f>
            </c:strRef>
          </c:cat>
          <c:val>
            <c:numRef>
              <c:f>'ダッシュボード'!$D$8:$D$19</c:f>
              <c:numCache/>
            </c:numRef>
          </c:val>
          <c:smooth val="0"/>
        </c:ser>
        <c:axId val="1204342014"/>
        <c:axId val="1895421806"/>
      </c:lineChart>
      <c:catAx>
        <c:axId val="1204342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95421806"/>
      </c:catAx>
      <c:valAx>
        <c:axId val="1895421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434201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累計：予算 vs 実績（YTDペース）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'ダッシュボード'!$A$8:$A$19</c:f>
            </c:strRef>
          </c:cat>
          <c:val>
            <c:numRef>
              <c:f>'ダッシュボード'!$L$8:$L$19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'ダッシュボード'!$A$8:$A$19</c:f>
            </c:strRef>
          </c:cat>
          <c:val>
            <c:numRef>
              <c:f>'ダッシュボード'!$M$8:$M$19</c:f>
              <c:numCache/>
            </c:numRef>
          </c:val>
          <c:smooth val="1"/>
        </c:ser>
        <c:axId val="714156225"/>
        <c:axId val="1494496322"/>
      </c:lineChart>
      <c:catAx>
        <c:axId val="714156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94496322"/>
      </c:catAx>
      <c:valAx>
        <c:axId val="1494496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1415622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4月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'2026年04月'!$A$8:$A$37</c:f>
            </c:strRef>
          </c:cat>
          <c:val>
            <c:numRef>
              <c:f>'2026年04月'!$D$8:$D$37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'2026年04月'!$A$8:$A$37</c:f>
            </c:strRef>
          </c:cat>
          <c:val>
            <c:numRef>
              <c:f>'2026年04月'!$H$8:$H$37</c:f>
              <c:numCache/>
            </c:numRef>
          </c:val>
          <c:smooth val="1"/>
        </c:ser>
        <c:axId val="1952969759"/>
        <c:axId val="1565727975"/>
      </c:lineChart>
      <c:catAx>
        <c:axId val="1952969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65727975"/>
      </c:catAx>
      <c:valAx>
        <c:axId val="1565727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5296975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4月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'2026年04月'!$A$8:$A$37</c:f>
            </c:strRef>
          </c:cat>
          <c:val>
            <c:numRef>
              <c:f>'2026年04月'!$C$8:$C$37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'2026年04月'!$A$8:$A$37</c:f>
            </c:strRef>
          </c:cat>
          <c:val>
            <c:numRef>
              <c:f>'2026年04月'!$G$8:$G$37</c:f>
              <c:numCache/>
            </c:numRef>
          </c:val>
        </c:ser>
        <c:axId val="839937387"/>
        <c:axId val="2045953042"/>
      </c:barChart>
      <c:catAx>
        <c:axId val="839937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45953042"/>
      </c:catAx>
      <c:valAx>
        <c:axId val="2045953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3993738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5月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'2026年05月'!$A$8:$A$38</c:f>
            </c:strRef>
          </c:cat>
          <c:val>
            <c:numRef>
              <c:f>'2026年05月'!$D$8:$D$38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'2026年05月'!$A$8:$A$38</c:f>
            </c:strRef>
          </c:cat>
          <c:val>
            <c:numRef>
              <c:f>'2026年05月'!$H$8:$H$38</c:f>
              <c:numCache/>
            </c:numRef>
          </c:val>
          <c:smooth val="1"/>
        </c:ser>
        <c:axId val="1023728869"/>
        <c:axId val="648793901"/>
      </c:lineChart>
      <c:catAx>
        <c:axId val="1023728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8793901"/>
      </c:catAx>
      <c:valAx>
        <c:axId val="648793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372886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5月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'2026年05月'!$A$8:$A$38</c:f>
            </c:strRef>
          </c:cat>
          <c:val>
            <c:numRef>
              <c:f>'2026年05月'!$C$8:$C$38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'2026年05月'!$A$8:$A$38</c:f>
            </c:strRef>
          </c:cat>
          <c:val>
            <c:numRef>
              <c:f>'2026年05月'!$G$8:$G$38</c:f>
              <c:numCache/>
            </c:numRef>
          </c:val>
        </c:ser>
        <c:axId val="446303112"/>
        <c:axId val="1184899579"/>
      </c:barChart>
      <c:catAx>
        <c:axId val="446303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84899579"/>
      </c:catAx>
      <c:valAx>
        <c:axId val="1184899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630311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6月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'2026年06月'!$A$8:$A$37</c:f>
            </c:strRef>
          </c:cat>
          <c:val>
            <c:numRef>
              <c:f>'2026年06月'!$D$8:$D$37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'2026年06月'!$A$8:$A$37</c:f>
            </c:strRef>
          </c:cat>
          <c:val>
            <c:numRef>
              <c:f>'2026年06月'!$H$8:$H$37</c:f>
              <c:numCache/>
            </c:numRef>
          </c:val>
          <c:smooth val="1"/>
        </c:ser>
        <c:axId val="1536628366"/>
        <c:axId val="2088892438"/>
      </c:lineChart>
      <c:catAx>
        <c:axId val="1536628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8892438"/>
      </c:catAx>
      <c:valAx>
        <c:axId val="2088892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662836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6月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'2026年06月'!$A$8:$A$37</c:f>
            </c:strRef>
          </c:cat>
          <c:val>
            <c:numRef>
              <c:f>'2026年06月'!$C$8:$C$37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'2026年06月'!$A$8:$A$37</c:f>
            </c:strRef>
          </c:cat>
          <c:val>
            <c:numRef>
              <c:f>'2026年06月'!$G$8:$G$37</c:f>
              <c:numCache/>
            </c:numRef>
          </c:val>
        </c:ser>
        <c:axId val="903528282"/>
        <c:axId val="269274746"/>
      </c:barChart>
      <c:catAx>
        <c:axId val="903528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69274746"/>
      </c:catAx>
      <c:valAx>
        <c:axId val="269274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0352828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7月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'2026年07月'!$A$8:$A$38</c:f>
            </c:strRef>
          </c:cat>
          <c:val>
            <c:numRef>
              <c:f>'2026年07月'!$D$8:$D$38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'2026年07月'!$A$8:$A$38</c:f>
            </c:strRef>
          </c:cat>
          <c:val>
            <c:numRef>
              <c:f>'2026年07月'!$H$8:$H$38</c:f>
              <c:numCache/>
            </c:numRef>
          </c:val>
          <c:smooth val="1"/>
        </c:ser>
        <c:axId val="1887584322"/>
        <c:axId val="442126235"/>
      </c:lineChart>
      <c:catAx>
        <c:axId val="1887584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2126235"/>
      </c:catAx>
      <c:valAx>
        <c:axId val="442126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758432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7月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'2026年07月'!$A$8:$A$38</c:f>
            </c:strRef>
          </c:cat>
          <c:val>
            <c:numRef>
              <c:f>'2026年07月'!$C$8:$C$38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'2026年07月'!$A$8:$A$38</c:f>
            </c:strRef>
          </c:cat>
          <c:val>
            <c:numRef>
              <c:f>'2026年07月'!$G$8:$G$38</c:f>
              <c:numCache/>
            </c:numRef>
          </c:val>
        </c:ser>
        <c:axId val="1483018182"/>
        <c:axId val="483656997"/>
      </c:barChart>
      <c:catAx>
        <c:axId val="1483018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83656997"/>
      </c:catAx>
      <c:valAx>
        <c:axId val="483656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301818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8月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'2026年08月'!$A$8:$A$38</c:f>
            </c:strRef>
          </c:cat>
          <c:val>
            <c:numRef>
              <c:f>'2026年08月'!$D$8:$D$38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'2026年08月'!$A$8:$A$38</c:f>
            </c:strRef>
          </c:cat>
          <c:val>
            <c:numRef>
              <c:f>'2026年08月'!$H$8:$H$38</c:f>
              <c:numCache/>
            </c:numRef>
          </c:val>
          <c:smooth val="1"/>
        </c:ser>
        <c:axId val="84504135"/>
        <c:axId val="1835249014"/>
      </c:lineChart>
      <c:catAx>
        <c:axId val="84504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5249014"/>
      </c:catAx>
      <c:valAx>
        <c:axId val="1835249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450413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8月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'2026年08月'!$A$8:$A$38</c:f>
            </c:strRef>
          </c:cat>
          <c:val>
            <c:numRef>
              <c:f>'2026年08月'!$C$8:$C$38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'2026年08月'!$A$8:$A$38</c:f>
            </c:strRef>
          </c:cat>
          <c:val>
            <c:numRef>
              <c:f>'2026年08月'!$G$8:$G$38</c:f>
              <c:numCache/>
            </c:numRef>
          </c:val>
        </c:ser>
        <c:axId val="1946093992"/>
        <c:axId val="527249113"/>
      </c:barChart>
      <c:catAx>
        <c:axId val="1946093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27249113"/>
      </c:catAx>
      <c:valAx>
        <c:axId val="527249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609399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9月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'2026年09月'!$A$8:$A$37</c:f>
            </c:strRef>
          </c:cat>
          <c:val>
            <c:numRef>
              <c:f>'2026年09月'!$D$8:$D$37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'2026年09月'!$A$8:$A$37</c:f>
            </c:strRef>
          </c:cat>
          <c:val>
            <c:numRef>
              <c:f>'2026年09月'!$H$8:$H$37</c:f>
              <c:numCache/>
            </c:numRef>
          </c:val>
          <c:smooth val="1"/>
        </c:ser>
        <c:axId val="715313135"/>
        <c:axId val="309528635"/>
      </c:lineChart>
      <c:catAx>
        <c:axId val="71531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09528635"/>
      </c:catAx>
      <c:valAx>
        <c:axId val="309528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1531313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9月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'2026年09月'!$A$8:$A$37</c:f>
            </c:strRef>
          </c:cat>
          <c:val>
            <c:numRef>
              <c:f>'2026年09月'!$C$8:$C$37</c:f>
              <c:numCache/>
            </c:numRef>
          </c:val>
        </c:ser>
        <c:ser>
          <c:idx val="1"/>
          <c:order val="1"/>
          <c:tx>
            <c:v>実績合計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'2026年09月'!$A$8:$A$37</c:f>
            </c:strRef>
          </c:cat>
          <c:val>
            <c:numRef>
              <c:f>'2026年09月'!$G$8:$G$37</c:f>
              <c:numCache/>
            </c:numRef>
          </c:val>
        </c:ser>
        <c:axId val="1714974941"/>
        <c:axId val="1811953342"/>
      </c:barChart>
      <c:catAx>
        <c:axId val="1714974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1953342"/>
      </c:catAx>
      <c:valAx>
        <c:axId val="1811953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1497494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'2026年10月'!$A$8:$A$38</c:f>
            </c:strRef>
          </c:cat>
          <c:val>
            <c:numRef>
              <c:f>'2026年10月'!$D$8:$D$38</c:f>
              <c:numCache/>
            </c:numRef>
          </c:val>
          <c:smooth val="1"/>
        </c:ser>
        <c:ser>
          <c:idx val="1"/>
          <c:order val="1"/>
          <c:tx>
            <c:v>累計実績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'2026年10月'!$A$8:$A$38</c:f>
            </c:strRef>
          </c:cat>
          <c:val>
            <c:numRef>
              <c:f>'2026年10月'!$H$8:$H$38</c:f>
              <c:numCache/>
            </c:numRef>
          </c:val>
          <c:smooth val="1"/>
        </c:ser>
        <c:axId val="767798971"/>
        <c:axId val="1395323116"/>
      </c:lineChart>
      <c:catAx>
        <c:axId val="767798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5323116"/>
      </c:catAx>
      <c:valAx>
        <c:axId val="1395323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779897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10月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日次予算</c:v>
          </c:tx>
          <c:spPr>
            <a:solidFill>
              <a:srgbClr val="BFBFBF"/>
            </a:solidFill>
            <a:ln cmpd="sng">
              <a:noFill/>
            </a:ln>
          </c:spPr>
          <c:invertIfNegative val="0"/>
          <c:cat>
            <c:strRef>
              <c:f>'2026年10月'!$A$8:$A$38</c:f>
            </c:strRef>
          </c:cat>
          <c:val>
            <c:numRef>
              <c:f>'2026年10月'!$C$8:$C$38</c:f>
              <c:numCache/>
            </c:numRef>
          </c:val>
        </c:ser>
        <c:ser>
          <c:idx val="1"/>
          <c:order val="1"/>
          <c:tx>
            <c:strRef>
              <c:f>'2026年10月'!$G$7</c:f>
            </c:strRef>
          </c:tx>
          <c:invertIfNegative val="0"/>
          <c:cat>
            <c:strRef>
              <c:f>'2026年10月'!$A$8:$A$38</c:f>
            </c:strRef>
          </c:cat>
          <c:val>
            <c:numRef>
              <c:f>'2026年10月'!$G$8:$G$38</c:f>
              <c:numCache/>
            </c:numRef>
          </c:val>
        </c:ser>
        <c:axId val="1238264167"/>
        <c:axId val="1596717934"/>
      </c:barChart>
      <c:catAx>
        <c:axId val="1238264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6717934"/>
      </c:catAx>
      <c:valAx>
        <c:axId val="1596717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826416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11月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'2026年11月'!$A$8:$A$37</c:f>
            </c:strRef>
          </c:cat>
          <c:val>
            <c:numRef>
              <c:f>'2026年11月'!$D$8:$D$37</c:f>
              <c:numCache/>
            </c:numRef>
          </c:val>
          <c:smooth val="1"/>
        </c:ser>
        <c:axId val="272749771"/>
        <c:axId val="1441740245"/>
      </c:lineChart>
      <c:catAx>
        <c:axId val="272749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41740245"/>
      </c:catAx>
      <c:valAx>
        <c:axId val="1441740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7274977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11月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'2026年11月'!$C$7</c:f>
            </c:strRef>
          </c:tx>
          <c:invertIfNegative val="0"/>
          <c:cat>
            <c:strRef>
              <c:f>'2026年11月'!$A$8:$A$37</c:f>
            </c:strRef>
          </c:cat>
          <c:val>
            <c:numRef>
              <c:f>'2026年11月'!$C$8:$C$37</c:f>
              <c:numCache/>
            </c:numRef>
          </c:val>
        </c:ser>
        <c:ser>
          <c:idx val="1"/>
          <c:order val="1"/>
          <c:tx>
            <c:strRef>
              <c:f>'2026年11月'!$G$7</c:f>
            </c:strRef>
          </c:tx>
          <c:invertIfNegative val="0"/>
          <c:cat>
            <c:strRef>
              <c:f>'2026年11月'!$A$8:$A$37</c:f>
            </c:strRef>
          </c:cat>
          <c:val>
            <c:numRef>
              <c:f>'2026年11月'!$G$8:$G$37</c:f>
              <c:numCache/>
            </c:numRef>
          </c:val>
        </c:ser>
        <c:axId val="1539919820"/>
        <c:axId val="858070723"/>
      </c:barChart>
      <c:catAx>
        <c:axId val="1539919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8070723"/>
      </c:catAx>
      <c:valAx>
        <c:axId val="85807072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3991982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12月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'2026年12月'!$A$8:$A$38</c:f>
            </c:strRef>
          </c:cat>
          <c:val>
            <c:numRef>
              <c:f>'2026年12月'!$D$8:$D$38</c:f>
              <c:numCache/>
            </c:numRef>
          </c:val>
          <c:smooth val="1"/>
        </c:ser>
        <c:axId val="111943995"/>
        <c:axId val="53384499"/>
      </c:lineChart>
      <c:catAx>
        <c:axId val="111943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3384499"/>
      </c:catAx>
      <c:valAx>
        <c:axId val="53384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194399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12月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'2026年12月'!$C$7</c:f>
            </c:strRef>
          </c:tx>
          <c:invertIfNegative val="0"/>
          <c:cat>
            <c:strRef>
              <c:f>'2026年12月'!$A$8:$A$38</c:f>
            </c:strRef>
          </c:cat>
          <c:val>
            <c:numRef>
              <c:f>'2026年12月'!$C$8:$C$38</c:f>
              <c:numCache/>
            </c:numRef>
          </c:val>
        </c:ser>
        <c:ser>
          <c:idx val="1"/>
          <c:order val="1"/>
          <c:tx>
            <c:strRef>
              <c:f>'2026年12月'!$G$7</c:f>
            </c:strRef>
          </c:tx>
          <c:invertIfNegative val="0"/>
          <c:cat>
            <c:strRef>
              <c:f>'2026年12月'!$A$8:$A$38</c:f>
            </c:strRef>
          </c:cat>
          <c:val>
            <c:numRef>
              <c:f>'2026年12月'!$G$8:$G$38</c:f>
              <c:numCache/>
            </c:numRef>
          </c:val>
        </c:ser>
        <c:axId val="1525784253"/>
        <c:axId val="1488530118"/>
      </c:barChart>
      <c:catAx>
        <c:axId val="1525784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8530118"/>
      </c:catAx>
      <c:valAx>
        <c:axId val="148853011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2578425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'2027年01月'!$A$8:$A$38</c:f>
            </c:strRef>
          </c:cat>
          <c:val>
            <c:numRef>
              <c:f>'2027年01月'!$D$8:$D$38</c:f>
              <c:numCache/>
            </c:numRef>
          </c:val>
          <c:smooth val="1"/>
        </c:ser>
        <c:axId val="170508281"/>
        <c:axId val="1382579253"/>
      </c:lineChart>
      <c:catAx>
        <c:axId val="170508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82579253"/>
      </c:catAx>
      <c:valAx>
        <c:axId val="1382579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50828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'2027年01月'!$C$7</c:f>
            </c:strRef>
          </c:tx>
          <c:invertIfNegative val="0"/>
          <c:cat>
            <c:strRef>
              <c:f>'2027年01月'!$A$8:$A$38</c:f>
            </c:strRef>
          </c:cat>
          <c:val>
            <c:numRef>
              <c:f>'2027年01月'!$C$8:$C$38</c:f>
              <c:numCache/>
            </c:numRef>
          </c:val>
        </c:ser>
        <c:ser>
          <c:idx val="1"/>
          <c:order val="1"/>
          <c:tx>
            <c:strRef>
              <c:f>'2027年01月'!$G$7</c:f>
            </c:strRef>
          </c:tx>
          <c:invertIfNegative val="0"/>
          <c:cat>
            <c:strRef>
              <c:f>'2027年01月'!$A$8:$A$38</c:f>
            </c:strRef>
          </c:cat>
          <c:val>
            <c:numRef>
              <c:f>'2027年01月'!$G$8:$G$38</c:f>
              <c:numCache/>
            </c:numRef>
          </c:val>
        </c:ser>
        <c:axId val="1153922311"/>
        <c:axId val="1051257236"/>
      </c:barChart>
      <c:catAx>
        <c:axId val="1153922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51257236"/>
      </c:catAx>
      <c:valAx>
        <c:axId val="105125723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5392231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2月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'2027年02月'!$A$8:$A$35</c:f>
            </c:strRef>
          </c:cat>
          <c:val>
            <c:numRef>
              <c:f>'2027年02月'!$D$8:$D$35</c:f>
              <c:numCache/>
            </c:numRef>
          </c:val>
          <c:smooth val="1"/>
        </c:ser>
        <c:axId val="818015203"/>
        <c:axId val="1422311739"/>
      </c:lineChart>
      <c:catAx>
        <c:axId val="8180152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2311739"/>
      </c:catAx>
      <c:valAx>
        <c:axId val="1422311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180152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2月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'2027年02月'!$C$7</c:f>
            </c:strRef>
          </c:tx>
          <c:invertIfNegative val="0"/>
          <c:cat>
            <c:strRef>
              <c:f>'2027年02月'!$A$8:$A$35</c:f>
            </c:strRef>
          </c:cat>
          <c:val>
            <c:numRef>
              <c:f>'2027年02月'!$C$8:$C$35</c:f>
              <c:numCache/>
            </c:numRef>
          </c:val>
        </c:ser>
        <c:ser>
          <c:idx val="1"/>
          <c:order val="1"/>
          <c:tx>
            <c:strRef>
              <c:f>'2027年02月'!$G$7</c:f>
            </c:strRef>
          </c:tx>
          <c:invertIfNegative val="0"/>
          <c:cat>
            <c:strRef>
              <c:f>'2027年02月'!$A$8:$A$35</c:f>
            </c:strRef>
          </c:cat>
          <c:val>
            <c:numRef>
              <c:f>'2027年02月'!$G$8:$G$35</c:f>
              <c:numCache/>
            </c:numRef>
          </c:val>
        </c:ser>
        <c:axId val="512891307"/>
        <c:axId val="420044144"/>
      </c:barChart>
      <c:catAx>
        <c:axId val="512891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0044144"/>
      </c:catAx>
      <c:valAx>
        <c:axId val="42004414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1289130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3月 累計：予算 vs 実績（ペース）</a:t>
            </a:r>
          </a:p>
        </c:rich>
      </c:tx>
      <c:overlay val="0"/>
    </c:title>
    <c:plotArea>
      <c:layout/>
      <c:lineChart>
        <c:ser>
          <c:idx val="0"/>
          <c:order val="0"/>
          <c:tx>
            <c:v>累計予算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'2027年03月'!$A$8:$A$38</c:f>
            </c:strRef>
          </c:cat>
          <c:val>
            <c:numRef>
              <c:f>'2027年03月'!$D$8:$D$38</c:f>
              <c:numCache/>
            </c:numRef>
          </c:val>
          <c:smooth val="1"/>
        </c:ser>
        <c:axId val="208453239"/>
        <c:axId val="1315970353"/>
      </c:lineChart>
      <c:catAx>
        <c:axId val="208453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5970353"/>
      </c:catAx>
      <c:valAx>
        <c:axId val="1315970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4532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3月 日別：予算 vs 実績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'2027年03月'!$C$7</c:f>
            </c:strRef>
          </c:tx>
          <c:invertIfNegative val="0"/>
          <c:cat>
            <c:strRef>
              <c:f>'2027年03月'!$A$8:$A$38</c:f>
            </c:strRef>
          </c:cat>
          <c:val>
            <c:numRef>
              <c:f>'2027年03月'!$C$8:$C$38</c:f>
              <c:numCache/>
            </c:numRef>
          </c:val>
        </c:ser>
        <c:ser>
          <c:idx val="1"/>
          <c:order val="1"/>
          <c:tx>
            <c:strRef>
              <c:f>'2027年03月'!$G$7</c:f>
            </c:strRef>
          </c:tx>
          <c:invertIfNegative val="0"/>
          <c:cat>
            <c:strRef>
              <c:f>'2027年03月'!$A$8:$A$38</c:f>
            </c:strRef>
          </c:cat>
          <c:val>
            <c:numRef>
              <c:f>'2027年03月'!$G$8:$G$38</c:f>
              <c:numCache/>
            </c:numRef>
          </c:val>
        </c:ser>
        <c:axId val="2020696637"/>
        <c:axId val="439398970"/>
      </c:barChart>
      <c:catAx>
        <c:axId val="2020696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9398970"/>
      </c:catAx>
      <c:valAx>
        <c:axId val="4393989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2069663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47625</xdr:rowOff>
    </xdr:from>
    <xdr:ext cx="7496175" cy="3400425"/>
    <xdr:graphicFrame>
      <xdr:nvGraphicFramePr>
        <xdr:cNvPr id="18279485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47625</xdr:rowOff>
    </xdr:from>
    <xdr:ext cx="7496175" cy="3400425"/>
    <xdr:graphicFrame>
      <xdr:nvGraphicFramePr>
        <xdr:cNvPr id="186063773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47625</xdr:rowOff>
    </xdr:from>
    <xdr:ext cx="7496175" cy="3400425"/>
    <xdr:graphicFrame>
      <xdr:nvGraphicFramePr>
        <xdr:cNvPr id="26254267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106952698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24450" cy="2828925"/>
    <xdr:graphicFrame>
      <xdr:nvGraphicFramePr>
        <xdr:cNvPr id="63071864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18769568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31204305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83891324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24450" cy="2828925"/>
    <xdr:graphicFrame>
      <xdr:nvGraphicFramePr>
        <xdr:cNvPr id="111445007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57775335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140048691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76145289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312066064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568981279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24450" cy="2828925"/>
    <xdr:graphicFrame>
      <xdr:nvGraphicFramePr>
        <xdr:cNvPr id="87799402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2117287514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432032127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5114925" cy="2828925"/>
    <xdr:graphicFrame>
      <xdr:nvGraphicFramePr>
        <xdr:cNvPr id="1110263123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42</xdr:row>
      <xdr:rowOff>0</xdr:rowOff>
    </xdr:from>
    <xdr:ext cx="5124450" cy="2828925"/>
    <xdr:graphicFrame>
      <xdr:nvGraphicFramePr>
        <xdr:cNvPr id="888171058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308750995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177482729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815031100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159882385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0</xdr:rowOff>
    </xdr:from>
    <xdr:ext cx="5114925" cy="2828925"/>
    <xdr:graphicFrame>
      <xdr:nvGraphicFramePr>
        <xdr:cNvPr id="967839371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40</xdr:row>
      <xdr:rowOff>0</xdr:rowOff>
    </xdr:from>
    <xdr:ext cx="5124450" cy="2828925"/>
    <xdr:graphicFrame>
      <xdr:nvGraphicFramePr>
        <xdr:cNvPr id="1344725128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0</xdr:rowOff>
    </xdr:from>
    <xdr:ext cx="5114925" cy="2828925"/>
    <xdr:graphicFrame>
      <xdr:nvGraphicFramePr>
        <xdr:cNvPr id="1801358102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43</xdr:row>
      <xdr:rowOff>0</xdr:rowOff>
    </xdr:from>
    <xdr:ext cx="5124450" cy="2828925"/>
    <xdr:graphicFrame>
      <xdr:nvGraphicFramePr>
        <xdr:cNvPr id="371311270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2.0"/>
    <col customWidth="1" min="2" max="3" width="13.0"/>
    <col customWidth="1" min="4" max="4" width="9.0"/>
    <col customWidth="1" min="5" max="5" width="15.14"/>
    <col customWidth="1" min="6" max="6" width="13.0"/>
    <col customWidth="1" min="7" max="7" width="9.0"/>
    <col customWidth="1" min="8" max="8" width="10.0"/>
    <col customWidth="1" min="9" max="10" width="9.0"/>
    <col customWidth="1" min="11" max="11" width="11.0"/>
    <col customWidth="1" min="12" max="13" width="14.0"/>
    <col customWidth="1" min="14" max="14" width="10.0"/>
    <col customWidth="1" min="15" max="26" width="8.71"/>
  </cols>
  <sheetData>
    <row r="1" ht="27.75" customHeight="1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17</v>
      </c>
    </row>
    <row r="4">
      <c r="A4" s="5" t="s">
        <v>18</v>
      </c>
      <c r="B4" s="6"/>
      <c r="C4" s="5" t="s">
        <v>19</v>
      </c>
      <c r="D4" s="6"/>
      <c r="E4" s="5" t="s">
        <v>20</v>
      </c>
      <c r="F4" s="6"/>
      <c r="G4" s="5" t="s">
        <v>21</v>
      </c>
      <c r="H4" s="6"/>
      <c r="I4" s="5" t="s">
        <v>8</v>
      </c>
      <c r="J4" s="6"/>
    </row>
    <row r="5">
      <c r="A5" s="8">
        <f>IF('設定'!$B$5=0,SUM(B8:B19),'設定'!$B$5)</f>
        <v>225809762</v>
      </c>
      <c r="B5" s="6"/>
      <c r="C5" s="8">
        <f>SUM(C8:C19)</f>
        <v>63872132</v>
      </c>
      <c r="D5" s="6"/>
      <c r="E5" s="9">
        <f>IFERROR(C5/A5,0)</f>
        <v>0.2828581521</v>
      </c>
      <c r="F5" s="6"/>
      <c r="G5" s="9">
        <f>IFERROR(SUMIFS($C$8:$C$19,$C$8:$C$19,"&gt;0",$B$8:$B$19,"&gt;0")/SUMIFS($B$8:$B$19,$C$8:$C$19,"&gt;0",$B$8:$B$19,"&gt;0"),0)</f>
        <v>0.5076882031</v>
      </c>
      <c r="H5" s="6"/>
      <c r="I5" s="8">
        <f>A5-C5</f>
        <v>161937630</v>
      </c>
      <c r="J5" s="6"/>
    </row>
    <row r="7" ht="30.0" customHeight="1">
      <c r="A7" s="12" t="s">
        <v>48</v>
      </c>
      <c r="B7" s="12" t="s">
        <v>3</v>
      </c>
      <c r="C7" s="12" t="s">
        <v>4</v>
      </c>
      <c r="D7" s="12" t="s">
        <v>5</v>
      </c>
      <c r="E7" s="12" t="s">
        <v>49</v>
      </c>
      <c r="F7" s="12" t="s">
        <v>50</v>
      </c>
      <c r="G7" s="12" t="s">
        <v>51</v>
      </c>
      <c r="H7" s="12" t="s">
        <v>36</v>
      </c>
      <c r="I7" s="12" t="s">
        <v>38</v>
      </c>
      <c r="J7" s="12" t="s">
        <v>13</v>
      </c>
      <c r="K7" s="12" t="s">
        <v>14</v>
      </c>
      <c r="L7" s="12" t="s">
        <v>27</v>
      </c>
      <c r="M7" s="12" t="s">
        <v>31</v>
      </c>
      <c r="N7" s="12" t="s">
        <v>52</v>
      </c>
    </row>
    <row r="8">
      <c r="A8" s="15" t="s">
        <v>53</v>
      </c>
      <c r="B8" s="17">
        <f>'2026年04月'!$A$4</f>
        <v>9820292</v>
      </c>
      <c r="C8" s="17">
        <f>'2026年04月'!$C$4</f>
        <v>9864675</v>
      </c>
      <c r="D8" s="18">
        <f t="shared" ref="D8:D19" si="1">IF(C8=0,"",IFERROR(C8/B8,""))</f>
        <v>1.004519519</v>
      </c>
      <c r="E8" s="17">
        <f t="shared" ref="E8:E19" si="2">C8-B8</f>
        <v>44383</v>
      </c>
      <c r="F8" s="17" t="str">
        <f>IF('設定'!C8="","",'設定'!C8)</f>
        <v/>
      </c>
      <c r="G8" s="18" t="str">
        <f t="shared" ref="G8:G19" si="3">IF(OR(F8="",C8=0),"",IFERROR(C8/F8,""))</f>
        <v/>
      </c>
      <c r="H8" s="20">
        <f>'2026年04月'!$M$38</f>
        <v>425</v>
      </c>
      <c r="I8" s="20">
        <f>'2026年04月'!$O$38</f>
        <v>1489</v>
      </c>
      <c r="J8" s="18">
        <f t="shared" ref="J8:J20" si="4">IFERROR(H8/I8,0)</f>
        <v>0.2854264607</v>
      </c>
      <c r="K8" s="17">
        <f t="shared" ref="K8:K20" si="5">IFERROR(C8/H8,0)</f>
        <v>23211</v>
      </c>
      <c r="L8" s="17">
        <f t="shared" ref="L8:L19" si="6">IF(C8=0,"",SUM($B$8:B8))</f>
        <v>9820292</v>
      </c>
      <c r="M8" s="17">
        <f t="shared" ref="M8:M19" si="7">IF(C8=0,"",SUM($C$8:C8))</f>
        <v>9864675</v>
      </c>
      <c r="N8" s="18">
        <f t="shared" ref="N8:N19" si="8">IF(M8="","",IFERROR(M8/L8,0))</f>
        <v>1.004519519</v>
      </c>
    </row>
    <row r="9">
      <c r="A9" s="23" t="s">
        <v>54</v>
      </c>
      <c r="B9" s="25">
        <f>'2026年05月'!$A$4</f>
        <v>12329470</v>
      </c>
      <c r="C9" s="25">
        <f>'2026年05月'!$C$4</f>
        <v>12381052</v>
      </c>
      <c r="D9" s="27">
        <f t="shared" si="1"/>
        <v>1.004183635</v>
      </c>
      <c r="E9" s="25">
        <f t="shared" si="2"/>
        <v>51582</v>
      </c>
      <c r="F9" s="25" t="str">
        <f>IF('設定'!C9="","",'設定'!C9)</f>
        <v/>
      </c>
      <c r="G9" s="27" t="str">
        <f t="shared" si="3"/>
        <v/>
      </c>
      <c r="H9" s="29">
        <f>'2026年05月'!$M$39</f>
        <v>537</v>
      </c>
      <c r="I9" s="29">
        <f>'2026年05月'!$O$39</f>
        <v>1516</v>
      </c>
      <c r="J9" s="27">
        <f t="shared" si="4"/>
        <v>0.3542216359</v>
      </c>
      <c r="K9" s="25">
        <f t="shared" si="5"/>
        <v>23055.96276</v>
      </c>
      <c r="L9" s="25">
        <f t="shared" si="6"/>
        <v>22149762</v>
      </c>
      <c r="M9" s="25">
        <f t="shared" si="7"/>
        <v>22245727</v>
      </c>
      <c r="N9" s="27">
        <f t="shared" si="8"/>
        <v>1.004332552</v>
      </c>
    </row>
    <row r="10">
      <c r="A10" s="15" t="s">
        <v>55</v>
      </c>
      <c r="B10" s="17">
        <f>'2026年06月'!$A$4</f>
        <v>17000000</v>
      </c>
      <c r="C10" s="17">
        <f>'2026年06月'!$C$4</f>
        <v>10446643</v>
      </c>
      <c r="D10" s="18">
        <f t="shared" si="1"/>
        <v>0.6145084118</v>
      </c>
      <c r="E10" s="17">
        <f t="shared" si="2"/>
        <v>-6553357</v>
      </c>
      <c r="F10" s="17" t="str">
        <f>IF('設定'!C10="","",'設定'!C10)</f>
        <v/>
      </c>
      <c r="G10" s="18" t="str">
        <f t="shared" si="3"/>
        <v/>
      </c>
      <c r="H10" s="20">
        <f>'2026年06月'!$M$38</f>
        <v>450</v>
      </c>
      <c r="I10" s="20">
        <f>'2026年06月'!$O$38</f>
        <v>1283</v>
      </c>
      <c r="J10" s="18">
        <f t="shared" si="4"/>
        <v>0.3507404521</v>
      </c>
      <c r="K10" s="17">
        <f t="shared" si="5"/>
        <v>23214.76222</v>
      </c>
      <c r="L10" s="17">
        <f t="shared" si="6"/>
        <v>39149762</v>
      </c>
      <c r="M10" s="17">
        <f t="shared" si="7"/>
        <v>32692370</v>
      </c>
      <c r="N10" s="18">
        <f t="shared" si="8"/>
        <v>0.8350592272</v>
      </c>
    </row>
    <row r="11">
      <c r="A11" s="23" t="s">
        <v>56</v>
      </c>
      <c r="B11" s="25">
        <f>'2026年07月'!$A$4</f>
        <v>20000000</v>
      </c>
      <c r="C11" s="25">
        <f>'2026年07月'!$C$4</f>
        <v>9690000</v>
      </c>
      <c r="D11" s="27">
        <f t="shared" si="1"/>
        <v>0.4845</v>
      </c>
      <c r="E11" s="25">
        <f t="shared" si="2"/>
        <v>-10310000</v>
      </c>
      <c r="F11" s="25" t="str">
        <f>IF('設定'!C11="","",'設定'!C11)</f>
        <v/>
      </c>
      <c r="G11" s="27" t="str">
        <f t="shared" si="3"/>
        <v/>
      </c>
      <c r="H11" s="29">
        <f>'2026年07月'!$M$39</f>
        <v>426</v>
      </c>
      <c r="I11" s="29">
        <f>'2026年07月'!$O$39</f>
        <v>1165</v>
      </c>
      <c r="J11" s="27">
        <f t="shared" si="4"/>
        <v>0.3656652361</v>
      </c>
      <c r="K11" s="25">
        <f t="shared" si="5"/>
        <v>22746.47887</v>
      </c>
      <c r="L11" s="25">
        <f t="shared" si="6"/>
        <v>59149762</v>
      </c>
      <c r="M11" s="25">
        <f t="shared" si="7"/>
        <v>42382370</v>
      </c>
      <c r="N11" s="27">
        <f t="shared" si="8"/>
        <v>0.7165264672</v>
      </c>
    </row>
    <row r="12">
      <c r="A12" s="15" t="s">
        <v>57</v>
      </c>
      <c r="B12" s="17">
        <f>'2026年08月'!$A$4</f>
        <v>24660000</v>
      </c>
      <c r="C12" s="17">
        <f>'2026年08月'!$C$4</f>
        <v>8510877</v>
      </c>
      <c r="D12" s="18">
        <f t="shared" si="1"/>
        <v>0.3451288321</v>
      </c>
      <c r="E12" s="17">
        <f t="shared" si="2"/>
        <v>-16149123</v>
      </c>
      <c r="F12" s="17" t="str">
        <f>IF('設定'!C12="","",'設定'!C12)</f>
        <v/>
      </c>
      <c r="G12" s="18" t="str">
        <f t="shared" si="3"/>
        <v/>
      </c>
      <c r="H12" s="20">
        <f>'2026年08月'!$M$39</f>
        <v>386</v>
      </c>
      <c r="I12" s="20">
        <f>'2026年08月'!$O$39</f>
        <v>971</v>
      </c>
      <c r="J12" s="18">
        <f t="shared" si="4"/>
        <v>0.3975283213</v>
      </c>
      <c r="K12" s="17">
        <f t="shared" si="5"/>
        <v>22048.90415</v>
      </c>
      <c r="L12" s="17">
        <f t="shared" si="6"/>
        <v>83809762</v>
      </c>
      <c r="M12" s="17">
        <f t="shared" si="7"/>
        <v>50893247</v>
      </c>
      <c r="N12" s="18">
        <f t="shared" si="8"/>
        <v>0.6072472441</v>
      </c>
    </row>
    <row r="13">
      <c r="A13" s="23" t="s">
        <v>59</v>
      </c>
      <c r="B13" s="25">
        <f>'2026年09月'!$A$4</f>
        <v>23000000</v>
      </c>
      <c r="C13" s="25">
        <f>'2026年09月'!$C$4</f>
        <v>7801176</v>
      </c>
      <c r="D13" s="27">
        <f t="shared" si="1"/>
        <v>0.3391815652</v>
      </c>
      <c r="E13" s="25">
        <f t="shared" si="2"/>
        <v>-15198824</v>
      </c>
      <c r="F13" s="25" t="str">
        <f>IF('設定'!C13="","",'設定'!C13)</f>
        <v/>
      </c>
      <c r="G13" s="27" t="str">
        <f t="shared" si="3"/>
        <v/>
      </c>
      <c r="H13" s="29">
        <f>'2026年09月'!$M$38</f>
        <v>333</v>
      </c>
      <c r="I13" s="29">
        <f>'2026年09月'!$O$38</f>
        <v>851</v>
      </c>
      <c r="J13" s="27">
        <f t="shared" si="4"/>
        <v>0.3913043478</v>
      </c>
      <c r="K13" s="25">
        <f t="shared" si="5"/>
        <v>23426.95495</v>
      </c>
      <c r="L13" s="25">
        <f t="shared" si="6"/>
        <v>106809762</v>
      </c>
      <c r="M13" s="25">
        <f t="shared" si="7"/>
        <v>58694423</v>
      </c>
      <c r="N13" s="27">
        <f t="shared" si="8"/>
        <v>0.5495230202</v>
      </c>
    </row>
    <row r="14">
      <c r="A14" s="15" t="s">
        <v>60</v>
      </c>
      <c r="B14" s="17">
        <f>'2026年10月'!$A$4</f>
        <v>19000000</v>
      </c>
      <c r="C14" s="17">
        <f>'2026年10月'!$C$4</f>
        <v>5177709</v>
      </c>
      <c r="D14" s="18">
        <f t="shared" si="1"/>
        <v>0.272511</v>
      </c>
      <c r="E14" s="17">
        <f t="shared" si="2"/>
        <v>-13822291</v>
      </c>
      <c r="F14" s="17" t="str">
        <f>IF('設定'!C14="","",'設定'!C14)</f>
        <v/>
      </c>
      <c r="G14" s="18" t="str">
        <f t="shared" si="3"/>
        <v/>
      </c>
      <c r="H14" s="20">
        <f>'2026年10月'!$M$39</f>
        <v>222</v>
      </c>
      <c r="I14" s="20">
        <f>'2026年10月'!$O$39</f>
        <v>600</v>
      </c>
      <c r="J14" s="18">
        <f t="shared" si="4"/>
        <v>0.37</v>
      </c>
      <c r="K14" s="17">
        <f t="shared" si="5"/>
        <v>23323.01351</v>
      </c>
      <c r="L14" s="17">
        <f t="shared" si="6"/>
        <v>125809762</v>
      </c>
      <c r="M14" s="17">
        <f t="shared" si="7"/>
        <v>63872132</v>
      </c>
      <c r="N14" s="18">
        <f t="shared" si="8"/>
        <v>0.5076882031</v>
      </c>
    </row>
    <row r="15">
      <c r="A15" s="23" t="s">
        <v>62</v>
      </c>
      <c r="B15" s="25">
        <f>'2026年11月'!$A$4</f>
        <v>19000000</v>
      </c>
      <c r="C15" s="25">
        <f>'2026年11月'!$C$4</f>
        <v>0</v>
      </c>
      <c r="D15" s="27" t="str">
        <f t="shared" si="1"/>
        <v/>
      </c>
      <c r="E15" s="25">
        <f t="shared" si="2"/>
        <v>-19000000</v>
      </c>
      <c r="F15" s="25" t="str">
        <f>IF('設定'!C15="","",'設定'!C15)</f>
        <v/>
      </c>
      <c r="G15" s="27" t="str">
        <f t="shared" si="3"/>
        <v/>
      </c>
      <c r="H15" s="29">
        <f>'2026年11月'!$M$38</f>
        <v>0</v>
      </c>
      <c r="I15" s="29">
        <f>'2026年11月'!$O$38</f>
        <v>0</v>
      </c>
      <c r="J15" s="27">
        <f t="shared" si="4"/>
        <v>0</v>
      </c>
      <c r="K15" s="25">
        <f t="shared" si="5"/>
        <v>0</v>
      </c>
      <c r="L15" s="25" t="str">
        <f t="shared" si="6"/>
        <v/>
      </c>
      <c r="M15" s="25" t="str">
        <f t="shared" si="7"/>
        <v/>
      </c>
      <c r="N15" s="27" t="str">
        <f t="shared" si="8"/>
        <v/>
      </c>
    </row>
    <row r="16">
      <c r="A16" s="15" t="s">
        <v>63</v>
      </c>
      <c r="B16" s="17">
        <f>'2026年12月'!$A$4</f>
        <v>21000000</v>
      </c>
      <c r="C16" s="17">
        <f>'2026年12月'!$C$4</f>
        <v>0</v>
      </c>
      <c r="D16" s="18" t="str">
        <f t="shared" si="1"/>
        <v/>
      </c>
      <c r="E16" s="17">
        <f t="shared" si="2"/>
        <v>-21000000</v>
      </c>
      <c r="F16" s="17">
        <f>IF('設定'!C16="","",'設定'!C16)</f>
        <v>4139160</v>
      </c>
      <c r="G16" s="18" t="str">
        <f t="shared" si="3"/>
        <v/>
      </c>
      <c r="H16" s="20">
        <f>'2026年12月'!$M$39</f>
        <v>0</v>
      </c>
      <c r="I16" s="20">
        <f>'2026年12月'!$O$39</f>
        <v>0</v>
      </c>
      <c r="J16" s="18">
        <f t="shared" si="4"/>
        <v>0</v>
      </c>
      <c r="K16" s="17">
        <f t="shared" si="5"/>
        <v>0</v>
      </c>
      <c r="L16" s="17" t="str">
        <f t="shared" si="6"/>
        <v/>
      </c>
      <c r="M16" s="17" t="str">
        <f t="shared" si="7"/>
        <v/>
      </c>
      <c r="N16" s="18" t="str">
        <f t="shared" si="8"/>
        <v/>
      </c>
    </row>
    <row r="17">
      <c r="A17" s="23" t="s">
        <v>65</v>
      </c>
      <c r="B17" s="25">
        <f>'2027年01月'!$A$4</f>
        <v>25000000</v>
      </c>
      <c r="C17" s="25">
        <f>'2027年01月'!$C$4</f>
        <v>0</v>
      </c>
      <c r="D17" s="27" t="str">
        <f t="shared" si="1"/>
        <v/>
      </c>
      <c r="E17" s="25">
        <f t="shared" si="2"/>
        <v>-25000000</v>
      </c>
      <c r="F17" s="25">
        <f>IF('設定'!C17="","",'設定'!C17)</f>
        <v>9650171</v>
      </c>
      <c r="G17" s="27" t="str">
        <f t="shared" si="3"/>
        <v/>
      </c>
      <c r="H17" s="29">
        <f>'2027年01月'!$M$39</f>
        <v>0</v>
      </c>
      <c r="I17" s="29">
        <f>'2027年01月'!$O$39</f>
        <v>0</v>
      </c>
      <c r="J17" s="27">
        <f t="shared" si="4"/>
        <v>0</v>
      </c>
      <c r="K17" s="25">
        <f t="shared" si="5"/>
        <v>0</v>
      </c>
      <c r="L17" s="25" t="str">
        <f t="shared" si="6"/>
        <v/>
      </c>
      <c r="M17" s="25" t="str">
        <f t="shared" si="7"/>
        <v/>
      </c>
      <c r="N17" s="27" t="str">
        <f t="shared" si="8"/>
        <v/>
      </c>
    </row>
    <row r="18">
      <c r="A18" s="15" t="s">
        <v>66</v>
      </c>
      <c r="B18" s="17">
        <f>'2027年02月'!$A$4</f>
        <v>19000000</v>
      </c>
      <c r="C18" s="17">
        <f>'2027年02月'!$C$4</f>
        <v>0</v>
      </c>
      <c r="D18" s="18" t="str">
        <f t="shared" si="1"/>
        <v/>
      </c>
      <c r="E18" s="17">
        <f t="shared" si="2"/>
        <v>-19000000</v>
      </c>
      <c r="F18" s="17">
        <f>IF('設定'!C18="","",'設定'!C18)</f>
        <v>7476182</v>
      </c>
      <c r="G18" s="18" t="str">
        <f t="shared" si="3"/>
        <v/>
      </c>
      <c r="H18" s="20">
        <f>'2027年02月'!$M$36</f>
        <v>0</v>
      </c>
      <c r="I18" s="20">
        <f>'2027年02月'!$O$36</f>
        <v>0</v>
      </c>
      <c r="J18" s="18">
        <f t="shared" si="4"/>
        <v>0</v>
      </c>
      <c r="K18" s="17">
        <f t="shared" si="5"/>
        <v>0</v>
      </c>
      <c r="L18" s="17" t="str">
        <f t="shared" si="6"/>
        <v/>
      </c>
      <c r="M18" s="17" t="str">
        <f t="shared" si="7"/>
        <v/>
      </c>
      <c r="N18" s="18" t="str">
        <f t="shared" si="8"/>
        <v/>
      </c>
    </row>
    <row r="19">
      <c r="A19" s="23" t="s">
        <v>68</v>
      </c>
      <c r="B19" s="25">
        <f>'2027年03月'!$A$4</f>
        <v>16000000</v>
      </c>
      <c r="C19" s="25">
        <f>'2027年03月'!$C$4</f>
        <v>0</v>
      </c>
      <c r="D19" s="27" t="str">
        <f t="shared" si="1"/>
        <v/>
      </c>
      <c r="E19" s="25">
        <f t="shared" si="2"/>
        <v>-16000000</v>
      </c>
      <c r="F19" s="25">
        <f>IF('設定'!C19="","",'設定'!C19)</f>
        <v>10101265</v>
      </c>
      <c r="G19" s="27" t="str">
        <f t="shared" si="3"/>
        <v/>
      </c>
      <c r="H19" s="29">
        <f>'2027年03月'!$M$39</f>
        <v>0</v>
      </c>
      <c r="I19" s="29">
        <f>'2027年03月'!$O$39</f>
        <v>0</v>
      </c>
      <c r="J19" s="27">
        <f t="shared" si="4"/>
        <v>0</v>
      </c>
      <c r="K19" s="25">
        <f t="shared" si="5"/>
        <v>0</v>
      </c>
      <c r="L19" s="25" t="str">
        <f t="shared" si="6"/>
        <v/>
      </c>
      <c r="M19" s="25" t="str">
        <f t="shared" si="7"/>
        <v/>
      </c>
      <c r="N19" s="27" t="str">
        <f t="shared" si="8"/>
        <v/>
      </c>
    </row>
    <row r="20">
      <c r="A20" s="35" t="s">
        <v>70</v>
      </c>
      <c r="B20" s="36">
        <f t="shared" ref="B20:C20" si="9">SUM(B8:B19)</f>
        <v>225809762</v>
      </c>
      <c r="C20" s="36">
        <f t="shared" si="9"/>
        <v>63872132</v>
      </c>
      <c r="D20" s="37">
        <f>IFERROR(C20/B20,0)</f>
        <v>0.2828581521</v>
      </c>
      <c r="E20" s="36">
        <f t="shared" ref="E20:F20" si="10">SUM(E8:E19)</f>
        <v>-161937630</v>
      </c>
      <c r="F20" s="36">
        <f t="shared" si="10"/>
        <v>31366778</v>
      </c>
      <c r="G20" s="37">
        <f>IFERROR(C20/F20,0)</f>
        <v>2.036298787</v>
      </c>
      <c r="H20" s="38">
        <f t="shared" ref="H20:I20" si="11">SUM(H8:H19)</f>
        <v>2779</v>
      </c>
      <c r="I20" s="38">
        <f t="shared" si="11"/>
        <v>7875</v>
      </c>
      <c r="J20" s="37">
        <f t="shared" si="4"/>
        <v>0.3528888889</v>
      </c>
      <c r="K20" s="36">
        <f t="shared" si="5"/>
        <v>22983.85462</v>
      </c>
      <c r="L20" s="36"/>
      <c r="M20" s="36"/>
      <c r="N20" s="37"/>
    </row>
    <row r="21" ht="15.75" customHeight="1"/>
    <row r="22" ht="15.75" customHeight="1">
      <c r="A22" s="39" t="s">
        <v>72</v>
      </c>
    </row>
    <row r="23" ht="15.75" customHeight="1">
      <c r="A23" s="39" t="s">
        <v>73</v>
      </c>
    </row>
    <row r="24" ht="15.75" customHeight="1">
      <c r="A24" s="40" t="s">
        <v>74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5:D5"/>
    <mergeCell ref="E5:F5"/>
    <mergeCell ref="G5:H5"/>
    <mergeCell ref="I5:J5"/>
    <mergeCell ref="A1:N1"/>
    <mergeCell ref="A4:B4"/>
    <mergeCell ref="C4:D4"/>
    <mergeCell ref="E4:F4"/>
    <mergeCell ref="G4:H4"/>
    <mergeCell ref="I4:J4"/>
    <mergeCell ref="A5:B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7</v>
      </c>
      <c r="H3" s="6"/>
      <c r="I3" s="5" t="s">
        <v>8</v>
      </c>
      <c r="J3" s="6"/>
      <c r="K3" s="5" t="s">
        <v>9</v>
      </c>
      <c r="L3" s="6"/>
    </row>
    <row r="4">
      <c r="A4" s="7">
        <f>IF('設定'!$B$8="",SUM(C8:C37),'設定'!$B$8)</f>
        <v>9820292</v>
      </c>
      <c r="B4" s="6"/>
      <c r="C4" s="8">
        <f>SUM(G8:G37)</f>
        <v>9864675</v>
      </c>
      <c r="D4" s="6"/>
      <c r="E4" s="9">
        <f>IFERROR(C4/A4,0)</f>
        <v>1.004519519</v>
      </c>
      <c r="F4" s="6"/>
      <c r="G4" s="10">
        <f>COUNTIF(G8:G37,"&gt;0")</f>
        <v>30</v>
      </c>
      <c r="H4" s="6"/>
      <c r="I4" s="8">
        <f>A4-C4</f>
        <v>-44383</v>
      </c>
      <c r="J4" s="6"/>
      <c r="K4" s="8">
        <f>IF((30-G4)&gt;0,(A4-C4)/(30-G4),0)</f>
        <v>0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SUM(C8:C37)</f>
        <v>18500000</v>
      </c>
      <c r="B6" s="6"/>
      <c r="C6" s="8">
        <f>IFERROR(C4/G4*30,0)</f>
        <v>9864675</v>
      </c>
      <c r="D6" s="6"/>
      <c r="E6" s="9">
        <f>IFERROR(M38/O38,0)</f>
        <v>0.2854264607</v>
      </c>
      <c r="F6" s="6"/>
      <c r="G6" s="8">
        <f>IFERROR(G38/M38,0)</f>
        <v>23211</v>
      </c>
      <c r="H6" s="6"/>
      <c r="I6" s="11">
        <f>IFERROR(N38/M38,0)</f>
        <v>1.098823529</v>
      </c>
      <c r="J6" s="6"/>
      <c r="K6" s="9">
        <f>IFERROR(P38/O38,0)</f>
        <v>0.481531229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46113.0</v>
      </c>
      <c r="B8" s="15" t="str">
        <f t="shared" ref="B8:B37" si="2">MID("日月火水木金土",WEEKDAY(A8),1)</f>
        <v>水</v>
      </c>
      <c r="C8" s="16">
        <v>500000.0</v>
      </c>
      <c r="D8" s="17">
        <f t="shared" ref="D8:D37" si="3">SUM($C$8:C8)</f>
        <v>500000</v>
      </c>
      <c r="E8" s="16">
        <v>63338.0</v>
      </c>
      <c r="F8" s="16">
        <v>43500.0</v>
      </c>
      <c r="G8" s="17">
        <f t="shared" ref="G8:G37" si="4">IF(COUNT(E8:F8)=0,"",SUM(E8:F8))</f>
        <v>106838</v>
      </c>
      <c r="H8" s="17">
        <f t="shared" ref="H8:H37" si="5">IF(G8="","",SUM($G$8:G8))</f>
        <v>106838</v>
      </c>
      <c r="I8" s="18">
        <f t="shared" ref="I8:J8" si="1">IF(G8="","",IFERROR(G8/C8,""))</f>
        <v>0.213676</v>
      </c>
      <c r="J8" s="18">
        <f t="shared" si="1"/>
        <v>0.213676</v>
      </c>
      <c r="K8" s="17">
        <f t="shared" ref="K8:K37" si="7">IF(H8="","",IF(D8=0,"",H8-D8))</f>
        <v>-393162</v>
      </c>
      <c r="L8" s="19" t="str">
        <f t="shared" ref="L8:L37" si="8">IF(G8="","—",IF(D8=0,"予算未入力",IF(H8&gt;=D8,"◎ ペース内","▲ 遅れ")))</f>
        <v>▲ 遅れ</v>
      </c>
      <c r="M8" s="21">
        <v>5.0</v>
      </c>
      <c r="N8" s="21">
        <v>6.0</v>
      </c>
      <c r="O8" s="21">
        <v>31.0</v>
      </c>
      <c r="P8" s="21">
        <v>18.0</v>
      </c>
      <c r="Q8" s="21"/>
      <c r="R8" s="18">
        <f t="shared" ref="R8:R38" si="9">IFERROR(M8/O8,"")</f>
        <v>0.1612903226</v>
      </c>
      <c r="S8" s="17">
        <f t="shared" ref="S8:S38" si="10">IFERROR(G8/M8,"")</f>
        <v>21367.6</v>
      </c>
      <c r="T8" s="22">
        <f t="shared" ref="T8:T38" si="11">IFERROR(N8/M8,"")</f>
        <v>1.2</v>
      </c>
      <c r="U8" s="18">
        <f t="shared" ref="U8:U38" si="12">IFERROR(P8/O8,"")</f>
        <v>0.5806451613</v>
      </c>
      <c r="V8" s="21"/>
      <c r="W8" s="21">
        <v>42670.0</v>
      </c>
      <c r="X8" s="16">
        <v>0.0</v>
      </c>
      <c r="Y8" s="24"/>
      <c r="AA8" s="26" t="s">
        <v>48</v>
      </c>
      <c r="AB8" s="28">
        <f t="shared" ref="AB8:AB14" si="13">IFERROR(AVERAGEIFS($G$8:$G$37,$B$8:$B$37,AA8,$G$8:$G$37,"&gt;0"),0)</f>
        <v>225772.5</v>
      </c>
      <c r="AC8" s="30">
        <f t="shared" ref="AC8:AC14" si="14">COUNTIFS($B$8:$B$37,AA8,$G$8:$G$37,"&gt;0")</f>
        <v>4</v>
      </c>
      <c r="AD8" s="31">
        <f t="shared" ref="AD8:AD14" si="15">IFERROR(SUMIF($B$8:$B$37,AA8,$M$8:$M$37)/SUMIF($B$8:$B$37,AA8,$O$8:$O$37),0)</f>
        <v>0.2407407407</v>
      </c>
      <c r="AE8" s="28">
        <f t="shared" ref="AE8:AE14" si="16">IFERROR(SUMIF($B$8:$B$37,AA8,$G$8:$G$37)/SUMIF($B$8:$B$37,AA8,$M$8:$M$37),0)</f>
        <v>23156.15385</v>
      </c>
    </row>
    <row r="9">
      <c r="A9" s="32">
        <v>46114.0</v>
      </c>
      <c r="B9" s="23" t="str">
        <f t="shared" si="2"/>
        <v>木</v>
      </c>
      <c r="C9" s="16">
        <v>500000.0</v>
      </c>
      <c r="D9" s="25">
        <f t="shared" si="3"/>
        <v>1000000</v>
      </c>
      <c r="E9" s="16">
        <v>45700.0</v>
      </c>
      <c r="F9" s="16">
        <v>187810.0</v>
      </c>
      <c r="G9" s="25">
        <f t="shared" si="4"/>
        <v>233510</v>
      </c>
      <c r="H9" s="25">
        <f t="shared" si="5"/>
        <v>340348</v>
      </c>
      <c r="I9" s="27">
        <f t="shared" ref="I9:J9" si="6">IF(G9="","",IFERROR(G9/C9,""))</f>
        <v>0.46702</v>
      </c>
      <c r="J9" s="27">
        <f t="shared" si="6"/>
        <v>0.340348</v>
      </c>
      <c r="K9" s="25">
        <f t="shared" si="7"/>
        <v>-659652</v>
      </c>
      <c r="L9" s="33" t="str">
        <f t="shared" si="8"/>
        <v>▲ 遅れ</v>
      </c>
      <c r="M9" s="21">
        <v>11.0</v>
      </c>
      <c r="N9" s="21">
        <v>13.0</v>
      </c>
      <c r="O9" s="21">
        <v>45.0</v>
      </c>
      <c r="P9" s="21">
        <v>18.0</v>
      </c>
      <c r="Q9" s="21"/>
      <c r="R9" s="27">
        <f t="shared" si="9"/>
        <v>0.2444444444</v>
      </c>
      <c r="S9" s="25">
        <f t="shared" si="10"/>
        <v>21228.18182</v>
      </c>
      <c r="T9" s="34">
        <f t="shared" si="11"/>
        <v>1.181818182</v>
      </c>
      <c r="U9" s="27">
        <f t="shared" si="12"/>
        <v>0.4</v>
      </c>
      <c r="V9" s="21"/>
      <c r="W9" s="21">
        <v>42700.0</v>
      </c>
      <c r="X9" s="16">
        <v>0.0</v>
      </c>
      <c r="Y9" s="24"/>
      <c r="AA9" s="26" t="s">
        <v>58</v>
      </c>
      <c r="AB9" s="28">
        <f t="shared" si="13"/>
        <v>284647.5</v>
      </c>
      <c r="AC9" s="30">
        <f t="shared" si="14"/>
        <v>4</v>
      </c>
      <c r="AD9" s="31">
        <f t="shared" si="15"/>
        <v>0.2613636364</v>
      </c>
      <c r="AE9" s="28">
        <f t="shared" si="16"/>
        <v>24751.95652</v>
      </c>
    </row>
    <row r="10">
      <c r="A10" s="14">
        <v>46115.0</v>
      </c>
      <c r="B10" s="15" t="str">
        <f t="shared" si="2"/>
        <v>金</v>
      </c>
      <c r="C10" s="16">
        <v>500000.0</v>
      </c>
      <c r="D10" s="17">
        <f t="shared" si="3"/>
        <v>1500000</v>
      </c>
      <c r="E10" s="16">
        <v>115210.0</v>
      </c>
      <c r="F10" s="16">
        <v>385848.0</v>
      </c>
      <c r="G10" s="17">
        <f t="shared" si="4"/>
        <v>501058</v>
      </c>
      <c r="H10" s="17">
        <f t="shared" si="5"/>
        <v>841406</v>
      </c>
      <c r="I10" s="18">
        <f t="shared" ref="I10:J10" si="17">IF(G10="","",IFERROR(G10/C10,""))</f>
        <v>1.002116</v>
      </c>
      <c r="J10" s="18">
        <f t="shared" si="17"/>
        <v>0.5609373333</v>
      </c>
      <c r="K10" s="17">
        <f t="shared" si="7"/>
        <v>-658594</v>
      </c>
      <c r="L10" s="19" t="str">
        <f t="shared" si="8"/>
        <v>▲ 遅れ</v>
      </c>
      <c r="M10" s="21">
        <v>25.0</v>
      </c>
      <c r="N10" s="21">
        <v>25.0</v>
      </c>
      <c r="O10" s="21">
        <v>49.0</v>
      </c>
      <c r="P10" s="21">
        <v>25.0</v>
      </c>
      <c r="Q10" s="21"/>
      <c r="R10" s="18">
        <f t="shared" si="9"/>
        <v>0.5102040816</v>
      </c>
      <c r="S10" s="17">
        <f t="shared" si="10"/>
        <v>20042.32</v>
      </c>
      <c r="T10" s="22">
        <f t="shared" si="11"/>
        <v>1</v>
      </c>
      <c r="U10" s="18">
        <f t="shared" si="12"/>
        <v>0.5102040816</v>
      </c>
      <c r="V10" s="21"/>
      <c r="W10" s="21">
        <v>42726.0</v>
      </c>
      <c r="X10" s="16">
        <v>0.0</v>
      </c>
      <c r="Y10" s="24"/>
      <c r="AA10" s="26" t="s">
        <v>61</v>
      </c>
      <c r="AB10" s="28">
        <f t="shared" si="13"/>
        <v>352604.6</v>
      </c>
      <c r="AC10" s="30">
        <f t="shared" si="14"/>
        <v>5</v>
      </c>
      <c r="AD10" s="31">
        <f t="shared" si="15"/>
        <v>0.3086419753</v>
      </c>
      <c r="AE10" s="28">
        <f t="shared" si="16"/>
        <v>23506.97333</v>
      </c>
    </row>
    <row r="11">
      <c r="A11" s="32">
        <v>46116.0</v>
      </c>
      <c r="B11" s="23" t="str">
        <f t="shared" si="2"/>
        <v>土</v>
      </c>
      <c r="C11" s="16">
        <v>800000.0</v>
      </c>
      <c r="D11" s="25">
        <f t="shared" si="3"/>
        <v>2300000</v>
      </c>
      <c r="E11" s="16">
        <v>143589.0</v>
      </c>
      <c r="F11" s="16">
        <v>252249.0</v>
      </c>
      <c r="G11" s="25">
        <f t="shared" si="4"/>
        <v>395838</v>
      </c>
      <c r="H11" s="25">
        <f t="shared" si="5"/>
        <v>1237244</v>
      </c>
      <c r="I11" s="27">
        <f t="shared" ref="I11:J11" si="18">IF(G11="","",IFERROR(G11/C11,""))</f>
        <v>0.4947975</v>
      </c>
      <c r="J11" s="27">
        <f t="shared" si="18"/>
        <v>0.5379321739</v>
      </c>
      <c r="K11" s="25">
        <f t="shared" si="7"/>
        <v>-1062756</v>
      </c>
      <c r="L11" s="33" t="str">
        <f t="shared" si="8"/>
        <v>▲ 遅れ</v>
      </c>
      <c r="M11" s="21">
        <v>18.0</v>
      </c>
      <c r="N11" s="21">
        <v>18.0</v>
      </c>
      <c r="O11" s="21">
        <v>65.0</v>
      </c>
      <c r="P11" s="21">
        <v>25.0</v>
      </c>
      <c r="Q11" s="21"/>
      <c r="R11" s="27">
        <f t="shared" si="9"/>
        <v>0.2769230769</v>
      </c>
      <c r="S11" s="25">
        <f t="shared" si="10"/>
        <v>21991</v>
      </c>
      <c r="T11" s="34">
        <f t="shared" si="11"/>
        <v>1</v>
      </c>
      <c r="U11" s="27">
        <f t="shared" si="12"/>
        <v>0.3846153846</v>
      </c>
      <c r="V11" s="21"/>
      <c r="W11" s="21"/>
      <c r="X11" s="16">
        <v>0.0</v>
      </c>
      <c r="Y11" s="24"/>
      <c r="AA11" s="26" t="s">
        <v>64</v>
      </c>
      <c r="AB11" s="28">
        <f t="shared" si="13"/>
        <v>218086</v>
      </c>
      <c r="AC11" s="30">
        <f t="shared" si="14"/>
        <v>5</v>
      </c>
      <c r="AD11" s="31">
        <f t="shared" si="15"/>
        <v>0.2424242424</v>
      </c>
      <c r="AE11" s="28">
        <f t="shared" si="16"/>
        <v>22717.29167</v>
      </c>
    </row>
    <row r="12">
      <c r="A12" s="14">
        <v>46117.0</v>
      </c>
      <c r="B12" s="15" t="str">
        <f t="shared" si="2"/>
        <v>日</v>
      </c>
      <c r="C12" s="16">
        <v>800000.0</v>
      </c>
      <c r="D12" s="17">
        <f t="shared" si="3"/>
        <v>3100000</v>
      </c>
      <c r="E12" s="16">
        <v>29970.0</v>
      </c>
      <c r="F12" s="16">
        <v>389469.0</v>
      </c>
      <c r="G12" s="17">
        <f t="shared" si="4"/>
        <v>419439</v>
      </c>
      <c r="H12" s="17">
        <f t="shared" si="5"/>
        <v>1656683</v>
      </c>
      <c r="I12" s="18">
        <f t="shared" ref="I12:J12" si="19">IF(G12="","",IFERROR(G12/C12,""))</f>
        <v>0.52429875</v>
      </c>
      <c r="J12" s="18">
        <f t="shared" si="19"/>
        <v>0.534413871</v>
      </c>
      <c r="K12" s="17">
        <f t="shared" si="7"/>
        <v>-1443317</v>
      </c>
      <c r="L12" s="19" t="str">
        <f t="shared" si="8"/>
        <v>▲ 遅れ</v>
      </c>
      <c r="M12" s="21">
        <v>20.0</v>
      </c>
      <c r="N12" s="21">
        <v>21.0</v>
      </c>
      <c r="O12" s="21">
        <v>67.0</v>
      </c>
      <c r="P12" s="21">
        <v>37.0</v>
      </c>
      <c r="Q12" s="21"/>
      <c r="R12" s="18">
        <f t="shared" si="9"/>
        <v>0.2985074627</v>
      </c>
      <c r="S12" s="17">
        <f t="shared" si="10"/>
        <v>20971.95</v>
      </c>
      <c r="T12" s="22">
        <f t="shared" si="11"/>
        <v>1.05</v>
      </c>
      <c r="U12" s="18">
        <f t="shared" si="12"/>
        <v>0.552238806</v>
      </c>
      <c r="V12" s="21"/>
      <c r="W12" s="21"/>
      <c r="X12" s="16">
        <v>0.0</v>
      </c>
      <c r="Y12" s="24"/>
      <c r="AA12" s="26" t="s">
        <v>67</v>
      </c>
      <c r="AB12" s="28">
        <f t="shared" si="13"/>
        <v>376413.75</v>
      </c>
      <c r="AC12" s="30">
        <f t="shared" si="14"/>
        <v>4</v>
      </c>
      <c r="AD12" s="31">
        <f t="shared" si="15"/>
        <v>0.3232323232</v>
      </c>
      <c r="AE12" s="28">
        <f t="shared" si="16"/>
        <v>23525.85938</v>
      </c>
    </row>
    <row r="13">
      <c r="A13" s="32">
        <v>46118.0</v>
      </c>
      <c r="B13" s="23" t="str">
        <f t="shared" si="2"/>
        <v>月</v>
      </c>
      <c r="C13" s="16">
        <v>500000.0</v>
      </c>
      <c r="D13" s="25">
        <f t="shared" si="3"/>
        <v>3600000</v>
      </c>
      <c r="E13" s="16">
        <v>72430.0</v>
      </c>
      <c r="F13" s="16">
        <v>154830.0</v>
      </c>
      <c r="G13" s="25">
        <f t="shared" si="4"/>
        <v>227260</v>
      </c>
      <c r="H13" s="25">
        <f t="shared" si="5"/>
        <v>1883943</v>
      </c>
      <c r="I13" s="27">
        <f t="shared" ref="I13:J13" si="20">IF(G13="","",IFERROR(G13/C13,""))</f>
        <v>0.45452</v>
      </c>
      <c r="J13" s="27">
        <f t="shared" si="20"/>
        <v>0.5233175</v>
      </c>
      <c r="K13" s="25">
        <f t="shared" si="7"/>
        <v>-1716057</v>
      </c>
      <c r="L13" s="33" t="str">
        <f t="shared" si="8"/>
        <v>▲ 遅れ</v>
      </c>
      <c r="M13" s="21">
        <v>10.0</v>
      </c>
      <c r="N13" s="21">
        <v>10.0</v>
      </c>
      <c r="O13" s="21">
        <v>42.0</v>
      </c>
      <c r="P13" s="21">
        <v>13.0</v>
      </c>
      <c r="Q13" s="21"/>
      <c r="R13" s="27">
        <f t="shared" si="9"/>
        <v>0.2380952381</v>
      </c>
      <c r="S13" s="25">
        <f t="shared" si="10"/>
        <v>22726</v>
      </c>
      <c r="T13" s="34">
        <f t="shared" si="11"/>
        <v>1</v>
      </c>
      <c r="U13" s="27">
        <f t="shared" si="12"/>
        <v>0.3095238095</v>
      </c>
      <c r="V13" s="21"/>
      <c r="W13" s="21"/>
      <c r="X13" s="16">
        <v>0.0</v>
      </c>
      <c r="Y13" s="24"/>
      <c r="AA13" s="26" t="s">
        <v>69</v>
      </c>
      <c r="AB13" s="28">
        <f t="shared" si="13"/>
        <v>387582</v>
      </c>
      <c r="AC13" s="30">
        <f t="shared" si="14"/>
        <v>4</v>
      </c>
      <c r="AD13" s="31">
        <f t="shared" si="15"/>
        <v>0.2605363985</v>
      </c>
      <c r="AE13" s="28">
        <f t="shared" si="16"/>
        <v>22798.94118</v>
      </c>
    </row>
    <row r="14">
      <c r="A14" s="14">
        <v>46119.0</v>
      </c>
      <c r="B14" s="15" t="str">
        <f t="shared" si="2"/>
        <v>火</v>
      </c>
      <c r="C14" s="16">
        <v>500000.0</v>
      </c>
      <c r="D14" s="17">
        <f t="shared" si="3"/>
        <v>4100000</v>
      </c>
      <c r="E14" s="16">
        <v>63410.0</v>
      </c>
      <c r="F14" s="16">
        <v>241630.0</v>
      </c>
      <c r="G14" s="17">
        <f t="shared" si="4"/>
        <v>305040</v>
      </c>
      <c r="H14" s="17">
        <f t="shared" si="5"/>
        <v>2188983</v>
      </c>
      <c r="I14" s="18">
        <f t="shared" ref="I14:J14" si="21">IF(G14="","",IFERROR(G14/C14,""))</f>
        <v>0.61008</v>
      </c>
      <c r="J14" s="18">
        <f t="shared" si="21"/>
        <v>0.5338982927</v>
      </c>
      <c r="K14" s="17">
        <f t="shared" si="7"/>
        <v>-1911017</v>
      </c>
      <c r="L14" s="19" t="str">
        <f t="shared" si="8"/>
        <v>▲ 遅れ</v>
      </c>
      <c r="M14" s="21">
        <v>14.0</v>
      </c>
      <c r="N14" s="21">
        <v>14.0</v>
      </c>
      <c r="O14" s="21">
        <v>63.0</v>
      </c>
      <c r="P14" s="21">
        <v>33.0</v>
      </c>
      <c r="Q14" s="21"/>
      <c r="R14" s="18">
        <f t="shared" si="9"/>
        <v>0.2222222222</v>
      </c>
      <c r="S14" s="17">
        <f t="shared" si="10"/>
        <v>21788.57143</v>
      </c>
      <c r="T14" s="22">
        <f t="shared" si="11"/>
        <v>1</v>
      </c>
      <c r="U14" s="18">
        <f t="shared" si="12"/>
        <v>0.5238095238</v>
      </c>
      <c r="V14" s="21"/>
      <c r="W14" s="21">
        <v>42790.0</v>
      </c>
      <c r="X14" s="16">
        <v>0.0</v>
      </c>
      <c r="Y14" s="24"/>
      <c r="AA14" s="26" t="s">
        <v>71</v>
      </c>
      <c r="AB14" s="28">
        <f t="shared" si="13"/>
        <v>478389.75</v>
      </c>
      <c r="AC14" s="30">
        <f t="shared" si="14"/>
        <v>4</v>
      </c>
      <c r="AD14" s="31">
        <f t="shared" si="15"/>
        <v>0.3386454183</v>
      </c>
      <c r="AE14" s="28">
        <f t="shared" si="16"/>
        <v>22512.45882</v>
      </c>
    </row>
    <row r="15">
      <c r="A15" s="32">
        <v>46120.0</v>
      </c>
      <c r="B15" s="23" t="str">
        <f t="shared" si="2"/>
        <v>水</v>
      </c>
      <c r="C15" s="16">
        <v>500000.0</v>
      </c>
      <c r="D15" s="25">
        <f t="shared" si="3"/>
        <v>4600000</v>
      </c>
      <c r="E15" s="16">
        <v>110150.0</v>
      </c>
      <c r="F15" s="16">
        <v>194900.0</v>
      </c>
      <c r="G15" s="25">
        <f t="shared" si="4"/>
        <v>305050</v>
      </c>
      <c r="H15" s="25">
        <f t="shared" si="5"/>
        <v>2494033</v>
      </c>
      <c r="I15" s="27">
        <f t="shared" ref="I15:J15" si="22">IF(G15="","",IFERROR(G15/C15,""))</f>
        <v>0.6101</v>
      </c>
      <c r="J15" s="27">
        <f t="shared" si="22"/>
        <v>0.542181087</v>
      </c>
      <c r="K15" s="25">
        <f t="shared" si="7"/>
        <v>-2105967</v>
      </c>
      <c r="L15" s="33" t="str">
        <f t="shared" si="8"/>
        <v>▲ 遅れ</v>
      </c>
      <c r="M15" s="21">
        <v>14.0</v>
      </c>
      <c r="N15" s="21">
        <v>16.0</v>
      </c>
      <c r="O15" s="21">
        <v>40.0</v>
      </c>
      <c r="P15" s="21">
        <v>24.0</v>
      </c>
      <c r="Q15" s="21"/>
      <c r="R15" s="27">
        <f t="shared" si="9"/>
        <v>0.35</v>
      </c>
      <c r="S15" s="25">
        <f t="shared" si="10"/>
        <v>21789.28571</v>
      </c>
      <c r="T15" s="34">
        <f t="shared" si="11"/>
        <v>1.142857143</v>
      </c>
      <c r="U15" s="27">
        <f t="shared" si="12"/>
        <v>0.6</v>
      </c>
      <c r="V15" s="21"/>
      <c r="W15" s="21"/>
      <c r="X15" s="16">
        <v>0.0</v>
      </c>
      <c r="Y15" s="24"/>
    </row>
    <row r="16">
      <c r="A16" s="14">
        <v>46121.0</v>
      </c>
      <c r="B16" s="15" t="str">
        <f t="shared" si="2"/>
        <v>木</v>
      </c>
      <c r="C16" s="16">
        <v>500000.0</v>
      </c>
      <c r="D16" s="17">
        <f t="shared" si="3"/>
        <v>5100000</v>
      </c>
      <c r="E16" s="16">
        <v>43220.0</v>
      </c>
      <c r="F16" s="16">
        <v>122250.0</v>
      </c>
      <c r="G16" s="17">
        <f t="shared" si="4"/>
        <v>165470</v>
      </c>
      <c r="H16" s="17">
        <f t="shared" si="5"/>
        <v>2659503</v>
      </c>
      <c r="I16" s="18">
        <f t="shared" ref="I16:J16" si="23">IF(G16="","",IFERROR(G16/C16,""))</f>
        <v>0.33094</v>
      </c>
      <c r="J16" s="18">
        <f t="shared" si="23"/>
        <v>0.5214711765</v>
      </c>
      <c r="K16" s="17">
        <f t="shared" si="7"/>
        <v>-2440497</v>
      </c>
      <c r="L16" s="19" t="str">
        <f t="shared" si="8"/>
        <v>▲ 遅れ</v>
      </c>
      <c r="M16" s="21">
        <v>7.0</v>
      </c>
      <c r="N16" s="21">
        <v>7.0</v>
      </c>
      <c r="O16" s="21">
        <v>33.0</v>
      </c>
      <c r="P16" s="21">
        <v>16.0</v>
      </c>
      <c r="Q16" s="21"/>
      <c r="R16" s="18">
        <f t="shared" si="9"/>
        <v>0.2121212121</v>
      </c>
      <c r="S16" s="17">
        <f t="shared" si="10"/>
        <v>23638.57143</v>
      </c>
      <c r="T16" s="22">
        <f t="shared" si="11"/>
        <v>1</v>
      </c>
      <c r="U16" s="18">
        <f t="shared" si="12"/>
        <v>0.4848484848</v>
      </c>
      <c r="V16" s="21"/>
      <c r="W16" s="21">
        <v>42835.0</v>
      </c>
      <c r="X16" s="16">
        <v>0.0</v>
      </c>
      <c r="Y16" s="24"/>
      <c r="AA16" s="39" t="s">
        <v>75</v>
      </c>
    </row>
    <row r="17">
      <c r="A17" s="32">
        <v>46122.0</v>
      </c>
      <c r="B17" s="23" t="str">
        <f t="shared" si="2"/>
        <v>金</v>
      </c>
      <c r="C17" s="16">
        <v>500000.0</v>
      </c>
      <c r="D17" s="25">
        <f t="shared" si="3"/>
        <v>5600000</v>
      </c>
      <c r="E17" s="16">
        <v>48620.0</v>
      </c>
      <c r="F17" s="16">
        <v>220380.0</v>
      </c>
      <c r="G17" s="25">
        <f t="shared" si="4"/>
        <v>269000</v>
      </c>
      <c r="H17" s="25">
        <f t="shared" si="5"/>
        <v>2928503</v>
      </c>
      <c r="I17" s="27">
        <f t="shared" ref="I17:J17" si="24">IF(G17="","",IFERROR(G17/C17,""))</f>
        <v>0.538</v>
      </c>
      <c r="J17" s="27">
        <f t="shared" si="24"/>
        <v>0.5229469643</v>
      </c>
      <c r="K17" s="25">
        <f t="shared" si="7"/>
        <v>-2671497</v>
      </c>
      <c r="L17" s="33" t="str">
        <f t="shared" si="8"/>
        <v>▲ 遅れ</v>
      </c>
      <c r="M17" s="21">
        <v>10.0</v>
      </c>
      <c r="N17" s="21">
        <v>10.0</v>
      </c>
      <c r="O17" s="21">
        <v>48.0</v>
      </c>
      <c r="P17" s="21">
        <v>19.0</v>
      </c>
      <c r="Q17" s="21"/>
      <c r="R17" s="27">
        <f t="shared" si="9"/>
        <v>0.2083333333</v>
      </c>
      <c r="S17" s="25">
        <f t="shared" si="10"/>
        <v>26900</v>
      </c>
      <c r="T17" s="34">
        <f t="shared" si="11"/>
        <v>1</v>
      </c>
      <c r="U17" s="27">
        <f t="shared" si="12"/>
        <v>0.3958333333</v>
      </c>
      <c r="V17" s="21"/>
      <c r="W17" s="21">
        <v>42878.0</v>
      </c>
      <c r="X17" s="16">
        <v>0.0</v>
      </c>
      <c r="Y17" s="24"/>
    </row>
    <row r="18">
      <c r="A18" s="14">
        <v>46123.0</v>
      </c>
      <c r="B18" s="15" t="str">
        <f t="shared" si="2"/>
        <v>土</v>
      </c>
      <c r="C18" s="16">
        <v>800000.0</v>
      </c>
      <c r="D18" s="17">
        <f t="shared" si="3"/>
        <v>6400000</v>
      </c>
      <c r="E18" s="16">
        <v>93430.0</v>
      </c>
      <c r="F18" s="16">
        <v>160680.0</v>
      </c>
      <c r="G18" s="17">
        <f t="shared" si="4"/>
        <v>254110</v>
      </c>
      <c r="H18" s="17">
        <f t="shared" si="5"/>
        <v>3182613</v>
      </c>
      <c r="I18" s="18">
        <f t="shared" ref="I18:J18" si="25">IF(G18="","",IFERROR(G18/C18,""))</f>
        <v>0.3176375</v>
      </c>
      <c r="J18" s="18">
        <f t="shared" si="25"/>
        <v>0.4972832813</v>
      </c>
      <c r="K18" s="17">
        <f t="shared" si="7"/>
        <v>-3217387</v>
      </c>
      <c r="L18" s="19" t="str">
        <f t="shared" si="8"/>
        <v>▲ 遅れ</v>
      </c>
      <c r="M18" s="21">
        <v>11.0</v>
      </c>
      <c r="N18" s="21">
        <v>12.0</v>
      </c>
      <c r="O18" s="21">
        <v>60.0</v>
      </c>
      <c r="P18" s="21">
        <v>25.0</v>
      </c>
      <c r="Q18" s="21"/>
      <c r="R18" s="18">
        <f t="shared" si="9"/>
        <v>0.1833333333</v>
      </c>
      <c r="S18" s="17">
        <f t="shared" si="10"/>
        <v>23100.90909</v>
      </c>
      <c r="T18" s="22">
        <f t="shared" si="11"/>
        <v>1.090909091</v>
      </c>
      <c r="U18" s="18">
        <f t="shared" si="12"/>
        <v>0.4166666667</v>
      </c>
      <c r="V18" s="21"/>
      <c r="W18" s="21"/>
      <c r="X18" s="16">
        <v>0.0</v>
      </c>
      <c r="Y18" s="24"/>
      <c r="AA18" s="40" t="s">
        <v>76</v>
      </c>
      <c r="AH18" s="39" t="s">
        <v>82</v>
      </c>
      <c r="AI18" s="41">
        <f>$A$8+MOD(2-WEEKDAY($A$8,2)+7,7)</f>
        <v>46119</v>
      </c>
    </row>
    <row r="19">
      <c r="A19" s="32">
        <v>46124.0</v>
      </c>
      <c r="B19" s="23" t="str">
        <f t="shared" si="2"/>
        <v>日</v>
      </c>
      <c r="C19" s="16">
        <v>800000.0</v>
      </c>
      <c r="D19" s="25">
        <f t="shared" si="3"/>
        <v>7200000</v>
      </c>
      <c r="E19" s="16">
        <v>44043.0</v>
      </c>
      <c r="F19" s="16">
        <v>337467.0</v>
      </c>
      <c r="G19" s="25">
        <f t="shared" si="4"/>
        <v>381510</v>
      </c>
      <c r="H19" s="25">
        <f t="shared" si="5"/>
        <v>3564123</v>
      </c>
      <c r="I19" s="27">
        <f t="shared" ref="I19:J19" si="26">IF(G19="","",IFERROR(G19/C19,""))</f>
        <v>0.4768875</v>
      </c>
      <c r="J19" s="27">
        <f t="shared" si="26"/>
        <v>0.4950170833</v>
      </c>
      <c r="K19" s="25">
        <f t="shared" si="7"/>
        <v>-3635877</v>
      </c>
      <c r="L19" s="33" t="str">
        <f t="shared" si="8"/>
        <v>▲ 遅れ</v>
      </c>
      <c r="M19" s="21">
        <v>17.0</v>
      </c>
      <c r="N19" s="21">
        <v>17.0</v>
      </c>
      <c r="O19" s="21">
        <v>56.0</v>
      </c>
      <c r="P19" s="21">
        <v>34.0</v>
      </c>
      <c r="Q19" s="21"/>
      <c r="R19" s="27">
        <f t="shared" si="9"/>
        <v>0.3035714286</v>
      </c>
      <c r="S19" s="25">
        <f t="shared" si="10"/>
        <v>22441.76471</v>
      </c>
      <c r="T19" s="34">
        <f t="shared" si="11"/>
        <v>1</v>
      </c>
      <c r="U19" s="27">
        <f t="shared" si="12"/>
        <v>0.6071428571</v>
      </c>
      <c r="V19" s="21"/>
      <c r="W19" s="21">
        <v>42923.0</v>
      </c>
      <c r="X19" s="16">
        <v>0.0</v>
      </c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46125.0</v>
      </c>
      <c r="B20" s="15" t="str">
        <f t="shared" si="2"/>
        <v>月</v>
      </c>
      <c r="C20" s="16">
        <v>500000.0</v>
      </c>
      <c r="D20" s="17">
        <f t="shared" si="3"/>
        <v>7700000</v>
      </c>
      <c r="E20" s="16">
        <v>43720.0</v>
      </c>
      <c r="F20" s="16">
        <v>138960.0</v>
      </c>
      <c r="G20" s="17">
        <f t="shared" si="4"/>
        <v>182680</v>
      </c>
      <c r="H20" s="17">
        <f t="shared" si="5"/>
        <v>3746803</v>
      </c>
      <c r="I20" s="18">
        <f t="shared" ref="I20:J20" si="27">IF(G20="","",IFERROR(G20/C20,""))</f>
        <v>0.36536</v>
      </c>
      <c r="J20" s="18">
        <f t="shared" si="27"/>
        <v>0.4865977922</v>
      </c>
      <c r="K20" s="17">
        <f t="shared" si="7"/>
        <v>-3953197</v>
      </c>
      <c r="L20" s="19" t="str">
        <f t="shared" si="8"/>
        <v>▲ 遅れ</v>
      </c>
      <c r="M20" s="21">
        <v>8.0</v>
      </c>
      <c r="N20" s="21">
        <v>8.0</v>
      </c>
      <c r="O20" s="21">
        <v>44.0</v>
      </c>
      <c r="P20" s="21">
        <v>15.0</v>
      </c>
      <c r="Q20" s="21"/>
      <c r="R20" s="18">
        <f t="shared" si="9"/>
        <v>0.1818181818</v>
      </c>
      <c r="S20" s="17">
        <f t="shared" si="10"/>
        <v>22835</v>
      </c>
      <c r="T20" s="22">
        <f t="shared" si="11"/>
        <v>1</v>
      </c>
      <c r="U20" s="18">
        <f t="shared" si="12"/>
        <v>0.3409090909</v>
      </c>
      <c r="V20" s="21"/>
      <c r="W20" s="21"/>
      <c r="X20" s="16">
        <v>0.0</v>
      </c>
      <c r="Y20" s="44" t="s">
        <v>83</v>
      </c>
      <c r="AA20" s="30">
        <v>1.0</v>
      </c>
      <c r="AB20" s="42" t="str">
        <f>IF($AI$18+7*(1-1)&gt;$A$37,"",TEXT($AI$18+7*(1-1),"m/d")&amp;"-"&amp;TEXT($AI$18+7*(1-1)+6,"m/d"))</f>
        <v>4/7-4/13</v>
      </c>
      <c r="AC20" s="28">
        <f>IF($AB20="","",(SUMIFS($G$8:$G$37,$A$8:$A$37,"&gt;="&amp;$AI$18+7*(1-1),$A$8:$A$37,"&lt;="&amp;$AI$18+7*(1-1)+6)+SUMIFS('2026年05月'!$G$8:$G$38,'2026年05月'!$A$8:$A$38,"&gt;="&amp;$AI$18+7*(1-1),'2026年05月'!$A$8:$A$38,"&lt;="&amp;$AI$18+7*(1-1)+6)))</f>
        <v>1862860</v>
      </c>
      <c r="AD20" s="31">
        <f>IF($AB20="","",IFERROR((SUMIFS($M$8:$M$37,$A$8:$A$37,"&gt;="&amp;$AI$18+7*(1-1),$A$8:$A$37,"&lt;="&amp;$AI$18+7*(1-1)+6)+SUMIFS('2026年05月'!$M$8:$M$38,'2026年05月'!$A$8:$A$38,"&gt;="&amp;$AI$18+7*(1-1),'2026年05月'!$A$8:$A$38,"&lt;="&amp;$AI$18+7*(1-1)+6))/(SUMIFS($O$8:$O$37,$A$8:$A$37,"&gt;="&amp;$AI$18+7*(1-1),$A$8:$A$37,"&lt;="&amp;$AI$18+7*(1-1)+6)+SUMIFS('2026年05月'!$O$8:$O$38,'2026年05月'!$A$8:$A$38,"&gt;="&amp;$AI$18+7*(1-1),'2026年05月'!$A$8:$A$38,"&lt;="&amp;$AI$18+7*(1-1)+6)),""))</f>
        <v>0.2354651163</v>
      </c>
      <c r="AE20" s="28">
        <f>IF($AB20="","",IFERROR((SUMIFS($G$8:$G$37,$A$8:$A$37,"&gt;="&amp;$AI$18+7*(1-1),$A$8:$A$37,"&lt;="&amp;$AI$18+7*(1-1)+6)+SUMIFS('2026年05月'!$G$8:$G$38,'2026年05月'!$A$8:$A$38,"&gt;="&amp;$AI$18+7*(1-1),'2026年05月'!$A$8:$A$38,"&lt;="&amp;$AI$18+7*(1-1)+6))/(SUMIFS($M$8:$M$37,$A$8:$A$37,"&gt;="&amp;$AI$18+7*(1-1),$A$8:$A$37,"&lt;="&amp;$AI$18+7*(1-1)+6)+SUMIFS('2026年05月'!$M$8:$M$38,'2026年05月'!$A$8:$A$38,"&gt;="&amp;$AI$18+7*(1-1),'2026年05月'!$A$8:$A$38,"&lt;="&amp;$AI$18+7*(1-1)+6)),""))</f>
        <v>22998.2716</v>
      </c>
      <c r="AF20" s="43">
        <f>IF($AB20="","",IFERROR((SUMIFS($N$8:$N$37,$A$8:$A$37,"&gt;="&amp;$AI$18+7*(1-1),$A$8:$A$37,"&lt;="&amp;$AI$18+7*(1-1)+6)+SUMIFS('2026年05月'!$N$8:$N$38,'2026年05月'!$A$8:$A$38,"&gt;="&amp;$AI$18+7*(1-1),'2026年05月'!$A$8:$A$38,"&lt;="&amp;$AI$18+7*(1-1)+6))/(SUMIFS($M$8:$M$37,$A$8:$A$37,"&gt;="&amp;$AI$18+7*(1-1),$A$8:$A$37,"&lt;="&amp;$AI$18+7*(1-1)+6)+SUMIFS('2026年05月'!$M$8:$M$38,'2026年05月'!$A$8:$A$38,"&gt;="&amp;$AI$18+7*(1-1),'2026年05月'!$A$8:$A$38,"&lt;="&amp;$AI$18+7*(1-1)+6)),""))</f>
        <v>1.037037037</v>
      </c>
      <c r="AG20" s="31">
        <f>IF($AB20="","",IFERROR((SUMIFS($P$8:$P$37,$A$8:$A$37,"&gt;="&amp;$AI$18+7*(1-1),$A$8:$A$37,"&lt;="&amp;$AI$18+7*(1-1)+6)+SUMIFS('2026年05月'!$P$8:$P$38,'2026年05月'!$A$8:$A$38,"&gt;="&amp;$AI$18+7*(1-1),'2026年05月'!$A$8:$A$38,"&lt;="&amp;$AI$18+7*(1-1)+6))/(SUMIFS($O$8:$O$37,$A$8:$A$37,"&gt;="&amp;$AI$18+7*(1-1),$A$8:$A$37,"&lt;="&amp;$AI$18+7*(1-1)+6)+SUMIFS('2026年05月'!$O$8:$O$38,'2026年05月'!$A$8:$A$38,"&gt;="&amp;$AI$18+7*(1-1),'2026年05月'!$A$8:$A$38,"&lt;="&amp;$AI$18+7*(1-1)+6)),""))</f>
        <v>0.4825581395</v>
      </c>
    </row>
    <row r="21" ht="15.75" customHeight="1">
      <c r="A21" s="32">
        <v>46126.0</v>
      </c>
      <c r="B21" s="23" t="str">
        <f t="shared" si="2"/>
        <v>火</v>
      </c>
      <c r="C21" s="16">
        <v>500000.0</v>
      </c>
      <c r="D21" s="25">
        <f t="shared" si="3"/>
        <v>8200000</v>
      </c>
      <c r="E21" s="16">
        <v>43720.0</v>
      </c>
      <c r="F21" s="16">
        <v>350990.0</v>
      </c>
      <c r="G21" s="25">
        <f t="shared" si="4"/>
        <v>394710</v>
      </c>
      <c r="H21" s="25">
        <f t="shared" si="5"/>
        <v>4141513</v>
      </c>
      <c r="I21" s="27">
        <f t="shared" ref="I21:J21" si="28">IF(G21="","",IFERROR(G21/C21,""))</f>
        <v>0.78942</v>
      </c>
      <c r="J21" s="27">
        <f t="shared" si="28"/>
        <v>0.505062561</v>
      </c>
      <c r="K21" s="25">
        <f t="shared" si="7"/>
        <v>-4058487</v>
      </c>
      <c r="L21" s="33" t="str">
        <f t="shared" si="8"/>
        <v>▲ 遅れ</v>
      </c>
      <c r="M21" s="21">
        <v>13.0</v>
      </c>
      <c r="N21" s="21">
        <v>18.0</v>
      </c>
      <c r="O21" s="21">
        <v>36.0</v>
      </c>
      <c r="P21" s="21">
        <v>12.0</v>
      </c>
      <c r="Q21" s="21"/>
      <c r="R21" s="27">
        <f t="shared" si="9"/>
        <v>0.3611111111</v>
      </c>
      <c r="S21" s="25">
        <f t="shared" si="10"/>
        <v>30362.30769</v>
      </c>
      <c r="T21" s="34">
        <f t="shared" si="11"/>
        <v>1.384615385</v>
      </c>
      <c r="U21" s="27">
        <f t="shared" si="12"/>
        <v>0.3333333333</v>
      </c>
      <c r="V21" s="21"/>
      <c r="W21" s="21">
        <v>43062.0</v>
      </c>
      <c r="X21" s="16">
        <v>0.0</v>
      </c>
      <c r="Y21" s="44" t="s">
        <v>84</v>
      </c>
      <c r="AA21" s="30">
        <v>2.0</v>
      </c>
      <c r="AB21" s="42" t="str">
        <f>IF($AI$18+7*(2-1)&gt;$A$37,"",TEXT($AI$18+7*(2-1),"m/d")&amp;"-"&amp;TEXT($AI$18+7*(2-1)+6,"m/d"))</f>
        <v>4/14-4/20</v>
      </c>
      <c r="AC21" s="28">
        <f>IF($AB21="","",(SUMIFS($G$8:$G$37,$A$8:$A$37,"&gt;="&amp;$AI$18+7*(2-1),$A$8:$A$37,"&lt;="&amp;$AI$18+7*(2-1)+6)+SUMIFS('2026年05月'!$G$8:$G$38,'2026年05月'!$A$8:$A$38,"&gt;="&amp;$AI$18+7*(2-1),'2026年05月'!$A$8:$A$38,"&lt;="&amp;$AI$18+7*(2-1)+6)))</f>
        <v>2595495</v>
      </c>
      <c r="AD21" s="31">
        <f>IF($AB21="","",IFERROR((SUMIFS($M$8:$M$37,$A$8:$A$37,"&gt;="&amp;$AI$18+7*(2-1),$A$8:$A$37,"&lt;="&amp;$AI$18+7*(2-1)+6)+SUMIFS('2026年05月'!$M$8:$M$38,'2026年05月'!$A$8:$A$38,"&gt;="&amp;$AI$18+7*(2-1),'2026年05月'!$A$8:$A$38,"&lt;="&amp;$AI$18+7*(2-1)+6))/(SUMIFS($O$8:$O$37,$A$8:$A$37,"&gt;="&amp;$AI$18+7*(2-1),$A$8:$A$37,"&lt;="&amp;$AI$18+7*(2-1)+6)+SUMIFS('2026年05月'!$O$8:$O$38,'2026年05月'!$A$8:$A$38,"&gt;="&amp;$AI$18+7*(2-1),'2026年05月'!$A$8:$A$38,"&lt;="&amp;$AI$18+7*(2-1)+6)),""))</f>
        <v>0.3165680473</v>
      </c>
      <c r="AE21" s="28">
        <f>IF($AB21="","",IFERROR((SUMIFS($G$8:$G$37,$A$8:$A$37,"&gt;="&amp;$AI$18+7*(2-1),$A$8:$A$37,"&lt;="&amp;$AI$18+7*(2-1)+6)+SUMIFS('2026年05月'!$G$8:$G$38,'2026年05月'!$A$8:$A$38,"&gt;="&amp;$AI$18+7*(2-1),'2026年05月'!$A$8:$A$38,"&lt;="&amp;$AI$18+7*(2-1)+6))/(SUMIFS($M$8:$M$37,$A$8:$A$37,"&gt;="&amp;$AI$18+7*(2-1),$A$8:$A$37,"&lt;="&amp;$AI$18+7*(2-1)+6)+SUMIFS('2026年05月'!$M$8:$M$38,'2026年05月'!$A$8:$A$38,"&gt;="&amp;$AI$18+7*(2-1),'2026年05月'!$A$8:$A$38,"&lt;="&amp;$AI$18+7*(2-1)+6)),""))</f>
        <v>24256.96262</v>
      </c>
      <c r="AF21" s="43">
        <f>IF($AB21="","",IFERROR((SUMIFS($N$8:$N$37,$A$8:$A$37,"&gt;="&amp;$AI$18+7*(2-1),$A$8:$A$37,"&lt;="&amp;$AI$18+7*(2-1)+6)+SUMIFS('2026年05月'!$N$8:$N$38,'2026年05月'!$A$8:$A$38,"&gt;="&amp;$AI$18+7*(2-1),'2026年05月'!$A$8:$A$38,"&lt;="&amp;$AI$18+7*(2-1)+6))/(SUMIFS($M$8:$M$37,$A$8:$A$37,"&gt;="&amp;$AI$18+7*(2-1),$A$8:$A$37,"&lt;="&amp;$AI$18+7*(2-1)+6)+SUMIFS('2026年05月'!$M$8:$M$38,'2026年05月'!$A$8:$A$38,"&gt;="&amp;$AI$18+7*(2-1),'2026年05月'!$A$8:$A$38,"&lt;="&amp;$AI$18+7*(2-1)+6)),""))</f>
        <v>1.121495327</v>
      </c>
      <c r="AG21" s="31">
        <f>IF($AB21="","",IFERROR((SUMIFS($P$8:$P$37,$A$8:$A$37,"&gt;="&amp;$AI$18+7*(2-1),$A$8:$A$37,"&lt;="&amp;$AI$18+7*(2-1)+6)+SUMIFS('2026年05月'!$P$8:$P$38,'2026年05月'!$A$8:$A$38,"&gt;="&amp;$AI$18+7*(2-1),'2026年05月'!$A$8:$A$38,"&lt;="&amp;$AI$18+7*(2-1)+6))/(SUMIFS($O$8:$O$37,$A$8:$A$37,"&gt;="&amp;$AI$18+7*(2-1),$A$8:$A$37,"&lt;="&amp;$AI$18+7*(2-1)+6)+SUMIFS('2026年05月'!$O$8:$O$38,'2026年05月'!$A$8:$A$38,"&gt;="&amp;$AI$18+7*(2-1),'2026年05月'!$A$8:$A$38,"&lt;="&amp;$AI$18+7*(2-1)+6)),""))</f>
        <v>0.4881656805</v>
      </c>
    </row>
    <row r="22" ht="15.75" customHeight="1">
      <c r="A22" s="14">
        <v>46127.0</v>
      </c>
      <c r="B22" s="15" t="str">
        <f t="shared" si="2"/>
        <v>水</v>
      </c>
      <c r="C22" s="16">
        <v>500000.0</v>
      </c>
      <c r="D22" s="17">
        <f t="shared" si="3"/>
        <v>8700000</v>
      </c>
      <c r="E22" s="16">
        <v>141345.0</v>
      </c>
      <c r="F22" s="16">
        <v>219930.0</v>
      </c>
      <c r="G22" s="17">
        <f t="shared" si="4"/>
        <v>361275</v>
      </c>
      <c r="H22" s="17">
        <f t="shared" si="5"/>
        <v>4502788</v>
      </c>
      <c r="I22" s="18">
        <f t="shared" ref="I22:J22" si="29">IF(G22="","",IFERROR(G22/C22,""))</f>
        <v>0.72255</v>
      </c>
      <c r="J22" s="18">
        <f t="shared" si="29"/>
        <v>0.5175618391</v>
      </c>
      <c r="K22" s="17">
        <f t="shared" si="7"/>
        <v>-4197212</v>
      </c>
      <c r="L22" s="19" t="str">
        <f t="shared" si="8"/>
        <v>▲ 遅れ</v>
      </c>
      <c r="M22" s="21">
        <v>15.0</v>
      </c>
      <c r="N22" s="21">
        <v>17.0</v>
      </c>
      <c r="O22" s="21">
        <v>27.0</v>
      </c>
      <c r="P22" s="21">
        <v>19.0</v>
      </c>
      <c r="Q22" s="21"/>
      <c r="R22" s="18">
        <f t="shared" si="9"/>
        <v>0.5555555556</v>
      </c>
      <c r="S22" s="17">
        <f t="shared" si="10"/>
        <v>24085</v>
      </c>
      <c r="T22" s="22">
        <f t="shared" si="11"/>
        <v>1.133333333</v>
      </c>
      <c r="U22" s="18">
        <f t="shared" si="12"/>
        <v>0.7037037037</v>
      </c>
      <c r="V22" s="21"/>
      <c r="W22" s="21">
        <v>43078.0</v>
      </c>
      <c r="X22" s="16">
        <v>0.0</v>
      </c>
      <c r="Y22" s="24"/>
      <c r="AA22" s="30">
        <v>3.0</v>
      </c>
      <c r="AB22" s="42" t="str">
        <f>IF($AI$18+7*(3-1)&gt;$A$37,"",TEXT($AI$18+7*(3-1),"m/d")&amp;"-"&amp;TEXT($AI$18+7*(3-1)+6,"m/d"))</f>
        <v>4/21-4/27</v>
      </c>
      <c r="AC22" s="28">
        <f>IF($AB22="","",(SUMIFS($G$8:$G$37,$A$8:$A$37,"&gt;="&amp;$AI$18+7*(3-1),$A$8:$A$37,"&lt;="&amp;$AI$18+7*(3-1)+6)+SUMIFS('2026年05月'!$G$8:$G$38,'2026年05月'!$A$8:$A$38,"&gt;="&amp;$AI$18+7*(3-1),'2026年05月'!$A$8:$A$38,"&lt;="&amp;$AI$18+7*(3-1)+6)))</f>
        <v>2390767</v>
      </c>
      <c r="AD22" s="31">
        <f>IF($AB22="","",IFERROR((SUMIFS($M$8:$M$37,$A$8:$A$37,"&gt;="&amp;$AI$18+7*(3-1),$A$8:$A$37,"&lt;="&amp;$AI$18+7*(3-1)+6)+SUMIFS('2026年05月'!$M$8:$M$38,'2026年05月'!$A$8:$A$38,"&gt;="&amp;$AI$18+7*(3-1),'2026年05月'!$A$8:$A$38,"&lt;="&amp;$AI$18+7*(3-1)+6))/(SUMIFS($O$8:$O$37,$A$8:$A$37,"&gt;="&amp;$AI$18+7*(3-1),$A$8:$A$37,"&lt;="&amp;$AI$18+7*(3-1)+6)+SUMIFS('2026年05月'!$O$8:$O$38,'2026年05月'!$A$8:$A$38,"&gt;="&amp;$AI$18+7*(3-1),'2026年05月'!$A$8:$A$38,"&lt;="&amp;$AI$18+7*(3-1)+6)),""))</f>
        <v>0.2844827586</v>
      </c>
      <c r="AE22" s="28">
        <f>IF($AB22="","",IFERROR((SUMIFS($G$8:$G$37,$A$8:$A$37,"&gt;="&amp;$AI$18+7*(3-1),$A$8:$A$37,"&lt;="&amp;$AI$18+7*(3-1)+6)+SUMIFS('2026年05月'!$G$8:$G$38,'2026年05月'!$A$8:$A$38,"&gt;="&amp;$AI$18+7*(3-1),'2026年05月'!$A$8:$A$38,"&lt;="&amp;$AI$18+7*(3-1)+6))/(SUMIFS($M$8:$M$37,$A$8:$A$37,"&gt;="&amp;$AI$18+7*(3-1),$A$8:$A$37,"&lt;="&amp;$AI$18+7*(3-1)+6)+SUMIFS('2026年05月'!$M$8:$M$38,'2026年05月'!$A$8:$A$38,"&gt;="&amp;$AI$18+7*(3-1),'2026年05月'!$A$8:$A$38,"&lt;="&amp;$AI$18+7*(3-1)+6)),""))</f>
        <v>24149.16162</v>
      </c>
      <c r="AF22" s="43">
        <f>IF($AB22="","",IFERROR((SUMIFS($N$8:$N$37,$A$8:$A$37,"&gt;="&amp;$AI$18+7*(3-1),$A$8:$A$37,"&lt;="&amp;$AI$18+7*(3-1)+6)+SUMIFS('2026年05月'!$N$8:$N$38,'2026年05月'!$A$8:$A$38,"&gt;="&amp;$AI$18+7*(3-1),'2026年05月'!$A$8:$A$38,"&lt;="&amp;$AI$18+7*(3-1)+6))/(SUMIFS($M$8:$M$37,$A$8:$A$37,"&gt;="&amp;$AI$18+7*(3-1),$A$8:$A$37,"&lt;="&amp;$AI$18+7*(3-1)+6)+SUMIFS('2026年05月'!$M$8:$M$38,'2026年05月'!$A$8:$A$38,"&gt;="&amp;$AI$18+7*(3-1),'2026年05月'!$A$8:$A$38,"&lt;="&amp;$AI$18+7*(3-1)+6)),""))</f>
        <v>1.151515152</v>
      </c>
      <c r="AG22" s="31">
        <f>IF($AB22="","",IFERROR((SUMIFS($P$8:$P$37,$A$8:$A$37,"&gt;="&amp;$AI$18+7*(3-1),$A$8:$A$37,"&lt;="&amp;$AI$18+7*(3-1)+6)+SUMIFS('2026年05月'!$P$8:$P$38,'2026年05月'!$A$8:$A$38,"&gt;="&amp;$AI$18+7*(3-1),'2026年05月'!$A$8:$A$38,"&lt;="&amp;$AI$18+7*(3-1)+6))/(SUMIFS($O$8:$O$37,$A$8:$A$37,"&gt;="&amp;$AI$18+7*(3-1),$A$8:$A$37,"&lt;="&amp;$AI$18+7*(3-1)+6)+SUMIFS('2026年05月'!$O$8:$O$38,'2026年05月'!$A$8:$A$38,"&gt;="&amp;$AI$18+7*(3-1),'2026年05月'!$A$8:$A$38,"&lt;="&amp;$AI$18+7*(3-1)+6)),""))</f>
        <v>0.4655172414</v>
      </c>
    </row>
    <row r="23" ht="15.75" customHeight="1">
      <c r="A23" s="32">
        <v>46128.0</v>
      </c>
      <c r="B23" s="23" t="str">
        <f t="shared" si="2"/>
        <v>木</v>
      </c>
      <c r="C23" s="16">
        <v>500000.0</v>
      </c>
      <c r="D23" s="25">
        <f t="shared" si="3"/>
        <v>9200000</v>
      </c>
      <c r="E23" s="16">
        <v>49710.0</v>
      </c>
      <c r="F23" s="16">
        <v>232000.0</v>
      </c>
      <c r="G23" s="25">
        <f t="shared" si="4"/>
        <v>281710</v>
      </c>
      <c r="H23" s="25">
        <f t="shared" si="5"/>
        <v>4784498</v>
      </c>
      <c r="I23" s="27">
        <f t="shared" ref="I23:J23" si="30">IF(G23="","",IFERROR(G23/C23,""))</f>
        <v>0.56342</v>
      </c>
      <c r="J23" s="27">
        <f t="shared" si="30"/>
        <v>0.5200541304</v>
      </c>
      <c r="K23" s="25">
        <f t="shared" si="7"/>
        <v>-4415502</v>
      </c>
      <c r="L23" s="33" t="str">
        <f t="shared" si="8"/>
        <v>▲ 遅れ</v>
      </c>
      <c r="M23" s="21">
        <v>12.0</v>
      </c>
      <c r="N23" s="21">
        <v>12.0</v>
      </c>
      <c r="O23" s="21">
        <v>52.0</v>
      </c>
      <c r="P23" s="21">
        <v>38.0</v>
      </c>
      <c r="Q23" s="21"/>
      <c r="R23" s="27">
        <f t="shared" si="9"/>
        <v>0.2307692308</v>
      </c>
      <c r="S23" s="25">
        <f t="shared" si="10"/>
        <v>23475.83333</v>
      </c>
      <c r="T23" s="34">
        <f t="shared" si="11"/>
        <v>1</v>
      </c>
      <c r="U23" s="27">
        <f t="shared" si="12"/>
        <v>0.7307692308</v>
      </c>
      <c r="V23" s="21"/>
      <c r="W23" s="21">
        <v>43159.0</v>
      </c>
      <c r="X23" s="16">
        <v>0.0</v>
      </c>
      <c r="Y23" s="24"/>
      <c r="AA23" s="30">
        <v>4.0</v>
      </c>
      <c r="AB23" s="42" t="str">
        <f>IF($AI$18+7*(4-1)&gt;$A$37,"",TEXT($AI$18+7*(4-1),"m/d")&amp;"-"&amp;TEXT($AI$18+7*(4-1)+6,"m/d"))</f>
        <v>4/28-5/4</v>
      </c>
      <c r="AC23" s="28">
        <f>IF($AB23="","",(SUMIFS($G$8:$G$37,$A$8:$A$37,"&gt;="&amp;$AI$18+7*(4-1),$A$8:$A$37,"&lt;="&amp;$AI$18+7*(4-1)+6)+SUMIFS('2026年05月'!$G$8:$G$38,'2026年05月'!$A$8:$A$38,"&gt;="&amp;$AI$18+7*(4-1),'2026年05月'!$A$8:$A$38,"&lt;="&amp;$AI$18+7*(4-1)+6)))</f>
        <v>3137766</v>
      </c>
      <c r="AD23" s="31">
        <f>IF($AB23="","",IFERROR((SUMIFS($M$8:$M$37,$A$8:$A$37,"&gt;="&amp;$AI$18+7*(4-1),$A$8:$A$37,"&lt;="&amp;$AI$18+7*(4-1)+6)+SUMIFS('2026年05月'!$M$8:$M$38,'2026年05月'!$A$8:$A$38,"&gt;="&amp;$AI$18+7*(4-1),'2026年05月'!$A$8:$A$38,"&lt;="&amp;$AI$18+7*(4-1)+6))/(SUMIFS($O$8:$O$37,$A$8:$A$37,"&gt;="&amp;$AI$18+7*(4-1),$A$8:$A$37,"&lt;="&amp;$AI$18+7*(4-1)+6)+SUMIFS('2026年05月'!$O$8:$O$38,'2026年05月'!$A$8:$A$38,"&gt;="&amp;$AI$18+7*(4-1),'2026年05月'!$A$8:$A$38,"&lt;="&amp;$AI$18+7*(4-1)+6)),""))</f>
        <v>0.3325358852</v>
      </c>
      <c r="AE23" s="28">
        <f>IF($AB23="","",IFERROR((SUMIFS($G$8:$G$37,$A$8:$A$37,"&gt;="&amp;$AI$18+7*(4-1),$A$8:$A$37,"&lt;="&amp;$AI$18+7*(4-1)+6)+SUMIFS('2026年05月'!$G$8:$G$38,'2026年05月'!$A$8:$A$38,"&gt;="&amp;$AI$18+7*(4-1),'2026年05月'!$A$8:$A$38,"&lt;="&amp;$AI$18+7*(4-1)+6))/(SUMIFS($M$8:$M$37,$A$8:$A$37,"&gt;="&amp;$AI$18+7*(4-1),$A$8:$A$37,"&lt;="&amp;$AI$18+7*(4-1)+6)+SUMIFS('2026年05月'!$M$8:$M$38,'2026年05月'!$A$8:$A$38,"&gt;="&amp;$AI$18+7*(4-1),'2026年05月'!$A$8:$A$38,"&lt;="&amp;$AI$18+7*(4-1)+6)),""))</f>
        <v>22573.85612</v>
      </c>
      <c r="AF23" s="43">
        <f>IF($AB23="","",IFERROR((SUMIFS($N$8:$N$37,$A$8:$A$37,"&gt;="&amp;$AI$18+7*(4-1),$A$8:$A$37,"&lt;="&amp;$AI$18+7*(4-1)+6)+SUMIFS('2026年05月'!$N$8:$N$38,'2026年05月'!$A$8:$A$38,"&gt;="&amp;$AI$18+7*(4-1),'2026年05月'!$A$8:$A$38,"&lt;="&amp;$AI$18+7*(4-1)+6))/(SUMIFS($M$8:$M$37,$A$8:$A$37,"&gt;="&amp;$AI$18+7*(4-1),$A$8:$A$37,"&lt;="&amp;$AI$18+7*(4-1)+6)+SUMIFS('2026年05月'!$M$8:$M$38,'2026年05月'!$A$8:$A$38,"&gt;="&amp;$AI$18+7*(4-1),'2026年05月'!$A$8:$A$38,"&lt;="&amp;$AI$18+7*(4-1)+6)),""))</f>
        <v>1.100719424</v>
      </c>
      <c r="AG23" s="31">
        <f>IF($AB23="","",IFERROR((SUMIFS($P$8:$P$37,$A$8:$A$37,"&gt;="&amp;$AI$18+7*(4-1),$A$8:$A$37,"&lt;="&amp;$AI$18+7*(4-1)+6)+SUMIFS('2026年05月'!$P$8:$P$38,'2026年05月'!$A$8:$A$38,"&gt;="&amp;$AI$18+7*(4-1),'2026年05月'!$A$8:$A$38,"&lt;="&amp;$AI$18+7*(4-1)+6))/(SUMIFS($O$8:$O$37,$A$8:$A$37,"&gt;="&amp;$AI$18+7*(4-1),$A$8:$A$37,"&lt;="&amp;$AI$18+7*(4-1)+6)+SUMIFS('2026年05月'!$O$8:$O$38,'2026年05月'!$A$8:$A$38,"&gt;="&amp;$AI$18+7*(4-1),'2026年05月'!$A$8:$A$38,"&lt;="&amp;$AI$18+7*(4-1)+6)),""))</f>
        <v>0.5717703349</v>
      </c>
    </row>
    <row r="24" ht="15.75" customHeight="1">
      <c r="A24" s="14">
        <v>46129.0</v>
      </c>
      <c r="B24" s="15" t="str">
        <f t="shared" si="2"/>
        <v>金</v>
      </c>
      <c r="C24" s="16">
        <v>500000.0</v>
      </c>
      <c r="D24" s="17">
        <f t="shared" si="3"/>
        <v>9700000</v>
      </c>
      <c r="E24" s="16">
        <v>69730.0</v>
      </c>
      <c r="F24" s="16">
        <v>193360.0</v>
      </c>
      <c r="G24" s="17">
        <f t="shared" si="4"/>
        <v>263090</v>
      </c>
      <c r="H24" s="17">
        <f t="shared" si="5"/>
        <v>5047588</v>
      </c>
      <c r="I24" s="18">
        <f t="shared" ref="I24:J24" si="31">IF(G24="","",IFERROR(G24/C24,""))</f>
        <v>0.52618</v>
      </c>
      <c r="J24" s="18">
        <f t="shared" si="31"/>
        <v>0.5203698969</v>
      </c>
      <c r="K24" s="17">
        <f t="shared" si="7"/>
        <v>-4652412</v>
      </c>
      <c r="L24" s="19" t="str">
        <f t="shared" si="8"/>
        <v>▲ 遅れ</v>
      </c>
      <c r="M24" s="21">
        <v>11.0</v>
      </c>
      <c r="N24" s="21">
        <v>12.0</v>
      </c>
      <c r="O24" s="21">
        <v>45.0</v>
      </c>
      <c r="P24" s="21">
        <v>17.0</v>
      </c>
      <c r="Q24" s="21">
        <v>36.0</v>
      </c>
      <c r="R24" s="18">
        <f t="shared" si="9"/>
        <v>0.2444444444</v>
      </c>
      <c r="S24" s="17">
        <f t="shared" si="10"/>
        <v>23917.27273</v>
      </c>
      <c r="T24" s="22">
        <f t="shared" si="11"/>
        <v>1.090909091</v>
      </c>
      <c r="U24" s="18">
        <f t="shared" si="12"/>
        <v>0.3777777778</v>
      </c>
      <c r="V24" s="21"/>
      <c r="W24" s="21">
        <v>43305.0</v>
      </c>
      <c r="X24" s="16">
        <v>0.0</v>
      </c>
      <c r="Y24" s="24"/>
      <c r="AA24" s="30">
        <v>5.0</v>
      </c>
      <c r="AB24" s="42" t="str">
        <f>IF($AI$18+7*(5-1)&gt;$A$37,"",TEXT($AI$18+7*(5-1),"m/d")&amp;"-"&amp;TEXT($AI$18+7*(5-1)+6,"m/d"))</f>
        <v/>
      </c>
      <c r="AC24" s="28" t="str">
        <f>IF($AB24="","",(SUMIFS($G$8:$G$37,$A$8:$A$37,"&gt;="&amp;$AI$18+7*(5-1),$A$8:$A$37,"&lt;="&amp;$AI$18+7*(5-1)+6)+SUMIFS('2026年05月'!$G$8:$G$38,'2026年05月'!$A$8:$A$38,"&gt;="&amp;$AI$18+7*(5-1),'2026年05月'!$A$8:$A$38,"&lt;="&amp;$AI$18+7*(5-1)+6)))</f>
        <v/>
      </c>
      <c r="AD24" s="31" t="str">
        <f>IF($AB24="","",IFERROR((SUMIFS($M$8:$M$37,$A$8:$A$37,"&gt;="&amp;$AI$18+7*(5-1),$A$8:$A$37,"&lt;="&amp;$AI$18+7*(5-1)+6)+SUMIFS('2026年05月'!$M$8:$M$38,'2026年05月'!$A$8:$A$38,"&gt;="&amp;$AI$18+7*(5-1),'2026年05月'!$A$8:$A$38,"&lt;="&amp;$AI$18+7*(5-1)+6))/(SUMIFS($O$8:$O$37,$A$8:$A$37,"&gt;="&amp;$AI$18+7*(5-1),$A$8:$A$37,"&lt;="&amp;$AI$18+7*(5-1)+6)+SUMIFS('2026年05月'!$O$8:$O$38,'2026年05月'!$A$8:$A$38,"&gt;="&amp;$AI$18+7*(5-1),'2026年05月'!$A$8:$A$38,"&lt;="&amp;$AI$18+7*(5-1)+6)),""))</f>
        <v/>
      </c>
      <c r="AE24" s="28" t="str">
        <f>IF($AB24="","",IFERROR((SUMIFS($G$8:$G$37,$A$8:$A$37,"&gt;="&amp;$AI$18+7*(5-1),$A$8:$A$37,"&lt;="&amp;$AI$18+7*(5-1)+6)+SUMIFS('2026年05月'!$G$8:$G$38,'2026年05月'!$A$8:$A$38,"&gt;="&amp;$AI$18+7*(5-1),'2026年05月'!$A$8:$A$38,"&lt;="&amp;$AI$18+7*(5-1)+6))/(SUMIFS($M$8:$M$37,$A$8:$A$37,"&gt;="&amp;$AI$18+7*(5-1),$A$8:$A$37,"&lt;="&amp;$AI$18+7*(5-1)+6)+SUMIFS('2026年05月'!$M$8:$M$38,'2026年05月'!$A$8:$A$38,"&gt;="&amp;$AI$18+7*(5-1),'2026年05月'!$A$8:$A$38,"&lt;="&amp;$AI$18+7*(5-1)+6)),""))</f>
        <v/>
      </c>
      <c r="AF24" s="43" t="str">
        <f>IF($AB24="","",IFERROR((SUMIFS($N$8:$N$37,$A$8:$A$37,"&gt;="&amp;$AI$18+7*(5-1),$A$8:$A$37,"&lt;="&amp;$AI$18+7*(5-1)+6)+SUMIFS('2026年05月'!$N$8:$N$38,'2026年05月'!$A$8:$A$38,"&gt;="&amp;$AI$18+7*(5-1),'2026年05月'!$A$8:$A$38,"&lt;="&amp;$AI$18+7*(5-1)+6))/(SUMIFS($M$8:$M$37,$A$8:$A$37,"&gt;="&amp;$AI$18+7*(5-1),$A$8:$A$37,"&lt;="&amp;$AI$18+7*(5-1)+6)+SUMIFS('2026年05月'!$M$8:$M$38,'2026年05月'!$A$8:$A$38,"&gt;="&amp;$AI$18+7*(5-1),'2026年05月'!$A$8:$A$38,"&lt;="&amp;$AI$18+7*(5-1)+6)),""))</f>
        <v/>
      </c>
      <c r="AG24" s="31" t="str">
        <f>IF($AB24="","",IFERROR((SUMIFS($P$8:$P$37,$A$8:$A$37,"&gt;="&amp;$AI$18+7*(5-1),$A$8:$A$37,"&lt;="&amp;$AI$18+7*(5-1)+6)+SUMIFS('2026年05月'!$P$8:$P$38,'2026年05月'!$A$8:$A$38,"&gt;="&amp;$AI$18+7*(5-1),'2026年05月'!$A$8:$A$38,"&lt;="&amp;$AI$18+7*(5-1)+6))/(SUMIFS($O$8:$O$37,$A$8:$A$37,"&gt;="&amp;$AI$18+7*(5-1),$A$8:$A$37,"&lt;="&amp;$AI$18+7*(5-1)+6)+SUMIFS('2026年05月'!$O$8:$O$38,'2026年05月'!$A$8:$A$38,"&gt;="&amp;$AI$18+7*(5-1),'2026年05月'!$A$8:$A$38,"&lt;="&amp;$AI$18+7*(5-1)+6)),""))</f>
        <v/>
      </c>
    </row>
    <row r="25" ht="15.75" customHeight="1">
      <c r="A25" s="32">
        <v>46130.0</v>
      </c>
      <c r="B25" s="23" t="str">
        <f t="shared" si="2"/>
        <v>土</v>
      </c>
      <c r="C25" s="16">
        <v>800000.0</v>
      </c>
      <c r="D25" s="25">
        <f t="shared" si="3"/>
        <v>10500000</v>
      </c>
      <c r="E25" s="16">
        <v>141940.0</v>
      </c>
      <c r="F25" s="16">
        <v>345030.0</v>
      </c>
      <c r="G25" s="25">
        <f t="shared" si="4"/>
        <v>486970</v>
      </c>
      <c r="H25" s="25">
        <f t="shared" si="5"/>
        <v>5534558</v>
      </c>
      <c r="I25" s="27">
        <f t="shared" ref="I25:J25" si="32">IF(G25="","",IFERROR(G25/C25,""))</f>
        <v>0.6087125</v>
      </c>
      <c r="J25" s="27">
        <f t="shared" si="32"/>
        <v>0.5271007619</v>
      </c>
      <c r="K25" s="25">
        <f t="shared" si="7"/>
        <v>-4965442</v>
      </c>
      <c r="L25" s="33" t="str">
        <f t="shared" si="8"/>
        <v>▲ 遅れ</v>
      </c>
      <c r="M25" s="21">
        <v>21.0</v>
      </c>
      <c r="N25" s="21">
        <v>22.0</v>
      </c>
      <c r="O25" s="21">
        <v>74.0</v>
      </c>
      <c r="P25" s="21">
        <v>35.0</v>
      </c>
      <c r="Q25" s="21">
        <v>55.0</v>
      </c>
      <c r="R25" s="27">
        <f t="shared" si="9"/>
        <v>0.2837837838</v>
      </c>
      <c r="S25" s="25">
        <f t="shared" si="10"/>
        <v>23189.04762</v>
      </c>
      <c r="T25" s="34">
        <f t="shared" si="11"/>
        <v>1.047619048</v>
      </c>
      <c r="U25" s="27">
        <f t="shared" si="12"/>
        <v>0.472972973</v>
      </c>
      <c r="V25" s="21"/>
      <c r="W25" s="21"/>
      <c r="X25" s="16">
        <v>0.0</v>
      </c>
      <c r="Y25" s="24"/>
      <c r="AA25" s="30">
        <v>6.0</v>
      </c>
      <c r="AB25" s="42" t="str">
        <f>IF($AI$18+7*(6-1)&gt;$A$37,"",TEXT($AI$18+7*(6-1),"m/d")&amp;"-"&amp;TEXT($AI$18+7*(6-1)+6,"m/d"))</f>
        <v/>
      </c>
      <c r="AC25" s="28" t="str">
        <f>IF($AB25="","",(SUMIFS($G$8:$G$37,$A$8:$A$37,"&gt;="&amp;$AI$18+7*(6-1),$A$8:$A$37,"&lt;="&amp;$AI$18+7*(6-1)+6)+SUMIFS('2026年05月'!$G$8:$G$38,'2026年05月'!$A$8:$A$38,"&gt;="&amp;$AI$18+7*(6-1),'2026年05月'!$A$8:$A$38,"&lt;="&amp;$AI$18+7*(6-1)+6)))</f>
        <v/>
      </c>
      <c r="AD25" s="31" t="str">
        <f>IF($AB25="","",IFERROR((SUMIFS($M$8:$M$37,$A$8:$A$37,"&gt;="&amp;$AI$18+7*(6-1),$A$8:$A$37,"&lt;="&amp;$AI$18+7*(6-1)+6)+SUMIFS('2026年05月'!$M$8:$M$38,'2026年05月'!$A$8:$A$38,"&gt;="&amp;$AI$18+7*(6-1),'2026年05月'!$A$8:$A$38,"&lt;="&amp;$AI$18+7*(6-1)+6))/(SUMIFS($O$8:$O$37,$A$8:$A$37,"&gt;="&amp;$AI$18+7*(6-1),$A$8:$A$37,"&lt;="&amp;$AI$18+7*(6-1)+6)+SUMIFS('2026年05月'!$O$8:$O$38,'2026年05月'!$A$8:$A$38,"&gt;="&amp;$AI$18+7*(6-1),'2026年05月'!$A$8:$A$38,"&lt;="&amp;$AI$18+7*(6-1)+6)),""))</f>
        <v/>
      </c>
      <c r="AE25" s="28" t="str">
        <f>IF($AB25="","",IFERROR((SUMIFS($G$8:$G$37,$A$8:$A$37,"&gt;="&amp;$AI$18+7*(6-1),$A$8:$A$37,"&lt;="&amp;$AI$18+7*(6-1)+6)+SUMIFS('2026年05月'!$G$8:$G$38,'2026年05月'!$A$8:$A$38,"&gt;="&amp;$AI$18+7*(6-1),'2026年05月'!$A$8:$A$38,"&lt;="&amp;$AI$18+7*(6-1)+6))/(SUMIFS($M$8:$M$37,$A$8:$A$37,"&gt;="&amp;$AI$18+7*(6-1),$A$8:$A$37,"&lt;="&amp;$AI$18+7*(6-1)+6)+SUMIFS('2026年05月'!$M$8:$M$38,'2026年05月'!$A$8:$A$38,"&gt;="&amp;$AI$18+7*(6-1),'2026年05月'!$A$8:$A$38,"&lt;="&amp;$AI$18+7*(6-1)+6)),""))</f>
        <v/>
      </c>
      <c r="AF25" s="43" t="str">
        <f>IF($AB25="","",IFERROR((SUMIFS($N$8:$N$37,$A$8:$A$37,"&gt;="&amp;$AI$18+7*(6-1),$A$8:$A$37,"&lt;="&amp;$AI$18+7*(6-1)+6)+SUMIFS('2026年05月'!$N$8:$N$38,'2026年05月'!$A$8:$A$38,"&gt;="&amp;$AI$18+7*(6-1),'2026年05月'!$A$8:$A$38,"&lt;="&amp;$AI$18+7*(6-1)+6))/(SUMIFS($M$8:$M$37,$A$8:$A$37,"&gt;="&amp;$AI$18+7*(6-1),$A$8:$A$37,"&lt;="&amp;$AI$18+7*(6-1)+6)+SUMIFS('2026年05月'!$M$8:$M$38,'2026年05月'!$A$8:$A$38,"&gt;="&amp;$AI$18+7*(6-1),'2026年05月'!$A$8:$A$38,"&lt;="&amp;$AI$18+7*(6-1)+6)),""))</f>
        <v/>
      </c>
      <c r="AG25" s="31" t="str">
        <f>IF($AB25="","",IFERROR((SUMIFS($P$8:$P$37,$A$8:$A$37,"&gt;="&amp;$AI$18+7*(6-1),$A$8:$A$37,"&lt;="&amp;$AI$18+7*(6-1)+6)+SUMIFS('2026年05月'!$P$8:$P$38,'2026年05月'!$A$8:$A$38,"&gt;="&amp;$AI$18+7*(6-1),'2026年05月'!$A$8:$A$38,"&lt;="&amp;$AI$18+7*(6-1)+6))/(SUMIFS($O$8:$O$37,$A$8:$A$37,"&gt;="&amp;$AI$18+7*(6-1),$A$8:$A$37,"&lt;="&amp;$AI$18+7*(6-1)+6)+SUMIFS('2026年05月'!$O$8:$O$38,'2026年05月'!$A$8:$A$38,"&gt;="&amp;$AI$18+7*(6-1),'2026年05月'!$A$8:$A$38,"&lt;="&amp;$AI$18+7*(6-1)+6)),""))</f>
        <v/>
      </c>
    </row>
    <row r="26" ht="15.75" customHeight="1">
      <c r="A26" s="14">
        <v>46131.0</v>
      </c>
      <c r="B26" s="15" t="str">
        <f t="shared" si="2"/>
        <v>日</v>
      </c>
      <c r="C26" s="16">
        <v>800000.0</v>
      </c>
      <c r="D26" s="17">
        <f t="shared" si="3"/>
        <v>11300000</v>
      </c>
      <c r="E26" s="16">
        <v>88320.0</v>
      </c>
      <c r="F26" s="16">
        <v>459850.0</v>
      </c>
      <c r="G26" s="17">
        <f t="shared" si="4"/>
        <v>548170</v>
      </c>
      <c r="H26" s="17">
        <f t="shared" si="5"/>
        <v>6082728</v>
      </c>
      <c r="I26" s="18">
        <f t="shared" ref="I26:J26" si="33">IF(G26="","",IFERROR(G26/C26,""))</f>
        <v>0.6852125</v>
      </c>
      <c r="J26" s="18">
        <f t="shared" si="33"/>
        <v>0.5382945133</v>
      </c>
      <c r="K26" s="17">
        <f t="shared" si="7"/>
        <v>-5217272</v>
      </c>
      <c r="L26" s="19" t="str">
        <f t="shared" si="8"/>
        <v>▲ 遅れ</v>
      </c>
      <c r="M26" s="21">
        <v>24.0</v>
      </c>
      <c r="N26" s="21">
        <v>26.0</v>
      </c>
      <c r="O26" s="21">
        <v>62.0</v>
      </c>
      <c r="P26" s="21">
        <v>27.0</v>
      </c>
      <c r="Q26" s="21">
        <v>60.0</v>
      </c>
      <c r="R26" s="18">
        <f t="shared" si="9"/>
        <v>0.3870967742</v>
      </c>
      <c r="S26" s="17">
        <f t="shared" si="10"/>
        <v>22840.41667</v>
      </c>
      <c r="T26" s="22">
        <f t="shared" si="11"/>
        <v>1.083333333</v>
      </c>
      <c r="U26" s="18">
        <f t="shared" si="12"/>
        <v>0.435483871</v>
      </c>
      <c r="V26" s="21"/>
      <c r="W26" s="21">
        <v>43533.0</v>
      </c>
      <c r="X26" s="16">
        <v>0.0</v>
      </c>
      <c r="Y26" s="44" t="s">
        <v>98</v>
      </c>
      <c r="AA26" s="39" t="s">
        <v>99</v>
      </c>
    </row>
    <row r="27" ht="15.75" customHeight="1">
      <c r="A27" s="32">
        <v>46132.0</v>
      </c>
      <c r="B27" s="23" t="str">
        <f t="shared" si="2"/>
        <v>月</v>
      </c>
      <c r="C27" s="16">
        <v>500000.0</v>
      </c>
      <c r="D27" s="25">
        <f t="shared" si="3"/>
        <v>11800000</v>
      </c>
      <c r="E27" s="16">
        <v>48120.0</v>
      </c>
      <c r="F27" s="16">
        <v>211450.0</v>
      </c>
      <c r="G27" s="25">
        <f t="shared" si="4"/>
        <v>259570</v>
      </c>
      <c r="H27" s="25">
        <f t="shared" si="5"/>
        <v>6342298</v>
      </c>
      <c r="I27" s="27">
        <f t="shared" ref="I27:J27" si="34">IF(G27="","",IFERROR(G27/C27,""))</f>
        <v>0.51914</v>
      </c>
      <c r="J27" s="27">
        <f t="shared" si="34"/>
        <v>0.5374828814</v>
      </c>
      <c r="K27" s="25">
        <f t="shared" si="7"/>
        <v>-5457702</v>
      </c>
      <c r="L27" s="33" t="str">
        <f t="shared" si="8"/>
        <v>▲ 遅れ</v>
      </c>
      <c r="M27" s="21">
        <v>11.0</v>
      </c>
      <c r="N27" s="21">
        <v>13.0</v>
      </c>
      <c r="O27" s="21">
        <v>42.0</v>
      </c>
      <c r="P27" s="21">
        <v>17.0</v>
      </c>
      <c r="Q27" s="21">
        <v>36.0</v>
      </c>
      <c r="R27" s="27">
        <f t="shared" si="9"/>
        <v>0.2619047619</v>
      </c>
      <c r="S27" s="25">
        <f t="shared" si="10"/>
        <v>23597.27273</v>
      </c>
      <c r="T27" s="34">
        <f t="shared" si="11"/>
        <v>1.181818182</v>
      </c>
      <c r="U27" s="27">
        <f t="shared" si="12"/>
        <v>0.4047619048</v>
      </c>
      <c r="V27" s="21"/>
      <c r="W27" s="21">
        <v>43604.0</v>
      </c>
      <c r="X27" s="16">
        <v>0.0</v>
      </c>
      <c r="Y27" s="24"/>
      <c r="AA27" s="39" t="s">
        <v>100</v>
      </c>
    </row>
    <row r="28" ht="15.75" customHeight="1">
      <c r="A28" s="14">
        <v>46133.0</v>
      </c>
      <c r="B28" s="15" t="str">
        <f t="shared" si="2"/>
        <v>火</v>
      </c>
      <c r="C28" s="16">
        <v>500000.0</v>
      </c>
      <c r="D28" s="17">
        <f t="shared" si="3"/>
        <v>12300000</v>
      </c>
      <c r="E28" s="16">
        <v>48120.0</v>
      </c>
      <c r="F28" s="16">
        <v>212270.0</v>
      </c>
      <c r="G28" s="17">
        <f t="shared" si="4"/>
        <v>260390</v>
      </c>
      <c r="H28" s="17">
        <f t="shared" si="5"/>
        <v>6602688</v>
      </c>
      <c r="I28" s="18">
        <f t="shared" ref="I28:J28" si="35">IF(G28="","",IFERROR(G28/C28,""))</f>
        <v>0.52078</v>
      </c>
      <c r="J28" s="18">
        <f t="shared" si="35"/>
        <v>0.5368039024</v>
      </c>
      <c r="K28" s="17">
        <f t="shared" si="7"/>
        <v>-5697312</v>
      </c>
      <c r="L28" s="19" t="str">
        <f t="shared" si="8"/>
        <v>▲ 遅れ</v>
      </c>
      <c r="M28" s="21">
        <v>11.0</v>
      </c>
      <c r="N28" s="21">
        <v>12.0</v>
      </c>
      <c r="O28" s="21">
        <v>53.0</v>
      </c>
      <c r="P28" s="21">
        <v>20.0</v>
      </c>
      <c r="Q28" s="21">
        <v>45.0</v>
      </c>
      <c r="R28" s="18">
        <f t="shared" si="9"/>
        <v>0.2075471698</v>
      </c>
      <c r="S28" s="17">
        <f t="shared" si="10"/>
        <v>23671.81818</v>
      </c>
      <c r="T28" s="22">
        <f t="shared" si="11"/>
        <v>1.090909091</v>
      </c>
      <c r="U28" s="18">
        <f t="shared" si="12"/>
        <v>0.3773584906</v>
      </c>
      <c r="V28" s="21"/>
      <c r="W28" s="21">
        <v>43732.0</v>
      </c>
      <c r="X28" s="16">
        <v>0.0</v>
      </c>
      <c r="Y28" s="44" t="s">
        <v>101</v>
      </c>
      <c r="AA28" s="39" t="s">
        <v>102</v>
      </c>
    </row>
    <row r="29" ht="15.75" customHeight="1">
      <c r="A29" s="32">
        <v>46134.0</v>
      </c>
      <c r="B29" s="23" t="str">
        <f t="shared" si="2"/>
        <v>水</v>
      </c>
      <c r="C29" s="16">
        <v>600000.0</v>
      </c>
      <c r="D29" s="25">
        <f t="shared" si="3"/>
        <v>12900000</v>
      </c>
      <c r="E29" s="16">
        <v>41520.0</v>
      </c>
      <c r="F29" s="16">
        <v>338380.0</v>
      </c>
      <c r="G29" s="25">
        <f t="shared" si="4"/>
        <v>379900</v>
      </c>
      <c r="H29" s="25">
        <f t="shared" si="5"/>
        <v>6982588</v>
      </c>
      <c r="I29" s="27">
        <f t="shared" ref="I29:J29" si="36">IF(G29="","",IFERROR(G29/C29,""))</f>
        <v>0.6331666667</v>
      </c>
      <c r="J29" s="27">
        <f t="shared" si="36"/>
        <v>0.5412858915</v>
      </c>
      <c r="K29" s="25">
        <f t="shared" si="7"/>
        <v>-5917412</v>
      </c>
      <c r="L29" s="33" t="str">
        <f t="shared" si="8"/>
        <v>▲ 遅れ</v>
      </c>
      <c r="M29" s="21">
        <v>15.0</v>
      </c>
      <c r="N29" s="21">
        <v>20.0</v>
      </c>
      <c r="O29" s="21">
        <v>63.0</v>
      </c>
      <c r="P29" s="21">
        <v>20.0</v>
      </c>
      <c r="Q29" s="21">
        <v>67.0</v>
      </c>
      <c r="R29" s="27">
        <f t="shared" si="9"/>
        <v>0.2380952381</v>
      </c>
      <c r="S29" s="25">
        <f t="shared" si="10"/>
        <v>25326.66667</v>
      </c>
      <c r="T29" s="34">
        <f t="shared" si="11"/>
        <v>1.333333333</v>
      </c>
      <c r="U29" s="27">
        <f t="shared" si="12"/>
        <v>0.3174603175</v>
      </c>
      <c r="V29" s="21"/>
      <c r="W29" s="21">
        <v>43777.0</v>
      </c>
      <c r="X29" s="16">
        <v>0.0</v>
      </c>
      <c r="Y29" s="24"/>
    </row>
    <row r="30" ht="15.75" customHeight="1">
      <c r="A30" s="14">
        <v>46135.0</v>
      </c>
      <c r="B30" s="15" t="str">
        <f t="shared" si="2"/>
        <v>木</v>
      </c>
      <c r="C30" s="16">
        <v>600000.0</v>
      </c>
      <c r="D30" s="17">
        <f t="shared" si="3"/>
        <v>13500000</v>
      </c>
      <c r="E30" s="16">
        <v>42730.0</v>
      </c>
      <c r="F30" s="16">
        <v>23810.0</v>
      </c>
      <c r="G30" s="17">
        <f t="shared" si="4"/>
        <v>66540</v>
      </c>
      <c r="H30" s="17">
        <f t="shared" si="5"/>
        <v>7049128</v>
      </c>
      <c r="I30" s="18">
        <f t="shared" ref="I30:J30" si="37">IF(G30="","",IFERROR(G30/C30,""))</f>
        <v>0.1109</v>
      </c>
      <c r="J30" s="18">
        <f t="shared" si="37"/>
        <v>0.5221576296</v>
      </c>
      <c r="K30" s="17">
        <f t="shared" si="7"/>
        <v>-6450872</v>
      </c>
      <c r="L30" s="19" t="str">
        <f t="shared" si="8"/>
        <v>▲ 遅れ</v>
      </c>
      <c r="M30" s="21">
        <v>3.0</v>
      </c>
      <c r="N30" s="21">
        <v>4.0</v>
      </c>
      <c r="O30" s="21">
        <v>14.0</v>
      </c>
      <c r="P30" s="21">
        <v>9.0</v>
      </c>
      <c r="Q30" s="21">
        <v>15.0</v>
      </c>
      <c r="R30" s="18">
        <f t="shared" si="9"/>
        <v>0.2142857143</v>
      </c>
      <c r="S30" s="17">
        <f t="shared" si="10"/>
        <v>22180</v>
      </c>
      <c r="T30" s="22">
        <f t="shared" si="11"/>
        <v>1.333333333</v>
      </c>
      <c r="U30" s="18">
        <f t="shared" si="12"/>
        <v>0.6428571429</v>
      </c>
      <c r="V30" s="21"/>
      <c r="W30" s="21">
        <v>43870.0</v>
      </c>
      <c r="X30" s="16">
        <v>0.0</v>
      </c>
      <c r="Y30" s="24"/>
    </row>
    <row r="31" ht="15.75" customHeight="1">
      <c r="A31" s="32">
        <v>46136.0</v>
      </c>
      <c r="B31" s="23" t="str">
        <f t="shared" si="2"/>
        <v>金</v>
      </c>
      <c r="C31" s="16">
        <v>600000.0</v>
      </c>
      <c r="D31" s="25">
        <f t="shared" si="3"/>
        <v>14100000</v>
      </c>
      <c r="E31" s="16">
        <v>83640.0</v>
      </c>
      <c r="F31" s="16">
        <v>388867.0</v>
      </c>
      <c r="G31" s="25">
        <f t="shared" si="4"/>
        <v>472507</v>
      </c>
      <c r="H31" s="25">
        <f t="shared" si="5"/>
        <v>7521635</v>
      </c>
      <c r="I31" s="27">
        <f t="shared" ref="I31:J31" si="38">IF(G31="","",IFERROR(G31/C31,""))</f>
        <v>0.7875116667</v>
      </c>
      <c r="J31" s="27">
        <f t="shared" si="38"/>
        <v>0.5334492908</v>
      </c>
      <c r="K31" s="25">
        <f t="shared" si="7"/>
        <v>-6578365</v>
      </c>
      <c r="L31" s="33" t="str">
        <f t="shared" si="8"/>
        <v>▲ 遅れ</v>
      </c>
      <c r="M31" s="21">
        <v>18.0</v>
      </c>
      <c r="N31" s="21">
        <v>22.0</v>
      </c>
      <c r="O31" s="21">
        <v>56.0</v>
      </c>
      <c r="P31" s="21">
        <v>28.0</v>
      </c>
      <c r="Q31" s="21">
        <v>53.0</v>
      </c>
      <c r="R31" s="27">
        <f t="shared" si="9"/>
        <v>0.3214285714</v>
      </c>
      <c r="S31" s="25">
        <f t="shared" si="10"/>
        <v>26250.38889</v>
      </c>
      <c r="T31" s="34">
        <f t="shared" si="11"/>
        <v>1.222222222</v>
      </c>
      <c r="U31" s="27">
        <f t="shared" si="12"/>
        <v>0.5</v>
      </c>
      <c r="V31" s="21"/>
      <c r="W31" s="21">
        <v>43953.0</v>
      </c>
      <c r="X31" s="16">
        <v>0.0</v>
      </c>
      <c r="Y31" s="24"/>
    </row>
    <row r="32" ht="15.75" customHeight="1">
      <c r="A32" s="14">
        <v>46137.0</v>
      </c>
      <c r="B32" s="15" t="str">
        <f t="shared" si="2"/>
        <v>土</v>
      </c>
      <c r="C32" s="16">
        <v>800000.0</v>
      </c>
      <c r="D32" s="17">
        <f t="shared" si="3"/>
        <v>14900000</v>
      </c>
      <c r="E32" s="16">
        <v>90790.0</v>
      </c>
      <c r="F32" s="16">
        <v>322620.0</v>
      </c>
      <c r="G32" s="17">
        <f t="shared" si="4"/>
        <v>413410</v>
      </c>
      <c r="H32" s="17">
        <f t="shared" si="5"/>
        <v>7935045</v>
      </c>
      <c r="I32" s="18">
        <f t="shared" ref="I32:J32" si="39">IF(G32="","",IFERROR(G32/C32,""))</f>
        <v>0.5167625</v>
      </c>
      <c r="J32" s="18">
        <f t="shared" si="39"/>
        <v>0.5325533557</v>
      </c>
      <c r="K32" s="17">
        <f t="shared" si="7"/>
        <v>-6964955</v>
      </c>
      <c r="L32" s="19" t="str">
        <f t="shared" si="8"/>
        <v>▲ 遅れ</v>
      </c>
      <c r="M32" s="21">
        <v>18.0</v>
      </c>
      <c r="N32" s="21">
        <v>19.0</v>
      </c>
      <c r="O32" s="21">
        <v>62.0</v>
      </c>
      <c r="P32" s="21">
        <v>27.0</v>
      </c>
      <c r="Q32" s="21">
        <v>53.0</v>
      </c>
      <c r="R32" s="18">
        <f t="shared" si="9"/>
        <v>0.2903225806</v>
      </c>
      <c r="S32" s="17">
        <f t="shared" si="10"/>
        <v>22967.22222</v>
      </c>
      <c r="T32" s="22">
        <f t="shared" si="11"/>
        <v>1.055555556</v>
      </c>
      <c r="U32" s="18">
        <f t="shared" si="12"/>
        <v>0.435483871</v>
      </c>
      <c r="V32" s="21"/>
      <c r="W32" s="21">
        <v>44008.0</v>
      </c>
      <c r="X32" s="16">
        <v>0.0</v>
      </c>
      <c r="Y32" s="24"/>
    </row>
    <row r="33" ht="15.75" customHeight="1">
      <c r="A33" s="32">
        <v>46138.0</v>
      </c>
      <c r="B33" s="23" t="str">
        <f t="shared" si="2"/>
        <v>日</v>
      </c>
      <c r="C33" s="16">
        <v>800000.0</v>
      </c>
      <c r="D33" s="25">
        <f t="shared" si="3"/>
        <v>15700000</v>
      </c>
      <c r="E33" s="16">
        <v>52460.0</v>
      </c>
      <c r="F33" s="16">
        <v>511980.0</v>
      </c>
      <c r="G33" s="25">
        <f t="shared" si="4"/>
        <v>564440</v>
      </c>
      <c r="H33" s="25">
        <f t="shared" si="5"/>
        <v>8499485</v>
      </c>
      <c r="I33" s="27">
        <f t="shared" ref="I33:J33" si="40">IF(G33="","",IFERROR(G33/C33,""))</f>
        <v>0.70555</v>
      </c>
      <c r="J33" s="27">
        <f t="shared" si="40"/>
        <v>0.5413684713</v>
      </c>
      <c r="K33" s="25">
        <f t="shared" si="7"/>
        <v>-7200515</v>
      </c>
      <c r="L33" s="33" t="str">
        <f t="shared" si="8"/>
        <v>▲ 遅れ</v>
      </c>
      <c r="M33" s="21">
        <v>24.0</v>
      </c>
      <c r="N33" s="21">
        <v>26.0</v>
      </c>
      <c r="O33" s="21">
        <v>66.0</v>
      </c>
      <c r="P33" s="21">
        <v>45.0</v>
      </c>
      <c r="Q33" s="21">
        <v>53.0</v>
      </c>
      <c r="R33" s="27">
        <f t="shared" si="9"/>
        <v>0.3636363636</v>
      </c>
      <c r="S33" s="25">
        <f t="shared" si="10"/>
        <v>23518.33333</v>
      </c>
      <c r="T33" s="34">
        <f t="shared" si="11"/>
        <v>1.083333333</v>
      </c>
      <c r="U33" s="27">
        <f t="shared" si="12"/>
        <v>0.6818181818</v>
      </c>
      <c r="V33" s="21"/>
      <c r="W33" s="21">
        <v>44051.0</v>
      </c>
      <c r="X33" s="16">
        <v>0.0</v>
      </c>
      <c r="Y33" s="44" t="s">
        <v>103</v>
      </c>
    </row>
    <row r="34" ht="15.75" customHeight="1">
      <c r="A34" s="14">
        <v>46139.0</v>
      </c>
      <c r="B34" s="15" t="str">
        <f t="shared" si="2"/>
        <v>月</v>
      </c>
      <c r="C34" s="16">
        <v>600000.0</v>
      </c>
      <c r="D34" s="17">
        <f t="shared" si="3"/>
        <v>16300000</v>
      </c>
      <c r="E34" s="16">
        <v>140040.0</v>
      </c>
      <c r="F34" s="16">
        <v>93540.0</v>
      </c>
      <c r="G34" s="17">
        <f t="shared" si="4"/>
        <v>233580</v>
      </c>
      <c r="H34" s="17">
        <f t="shared" si="5"/>
        <v>8733065</v>
      </c>
      <c r="I34" s="18">
        <f t="shared" ref="I34:J34" si="41">IF(G34="","",IFERROR(G34/C34,""))</f>
        <v>0.3893</v>
      </c>
      <c r="J34" s="18">
        <f t="shared" si="41"/>
        <v>0.5357708589</v>
      </c>
      <c r="K34" s="17">
        <f t="shared" si="7"/>
        <v>-7566935</v>
      </c>
      <c r="L34" s="19" t="str">
        <f t="shared" si="8"/>
        <v>▲ 遅れ</v>
      </c>
      <c r="M34" s="21">
        <v>10.0</v>
      </c>
      <c r="N34" s="21">
        <v>11.0</v>
      </c>
      <c r="O34" s="21">
        <v>34.0</v>
      </c>
      <c r="P34" s="21">
        <v>13.0</v>
      </c>
      <c r="Q34" s="21">
        <v>23.0</v>
      </c>
      <c r="R34" s="18">
        <f t="shared" si="9"/>
        <v>0.2941176471</v>
      </c>
      <c r="S34" s="17">
        <f t="shared" si="10"/>
        <v>23358</v>
      </c>
      <c r="T34" s="22">
        <f t="shared" si="11"/>
        <v>1.1</v>
      </c>
      <c r="U34" s="18">
        <f t="shared" si="12"/>
        <v>0.3823529412</v>
      </c>
      <c r="V34" s="21"/>
      <c r="W34" s="21">
        <v>44085.0</v>
      </c>
      <c r="X34" s="16">
        <v>0.0</v>
      </c>
      <c r="Y34" s="24"/>
    </row>
    <row r="35" ht="15.75" customHeight="1">
      <c r="A35" s="32">
        <v>46140.0</v>
      </c>
      <c r="B35" s="23" t="str">
        <f t="shared" si="2"/>
        <v>火</v>
      </c>
      <c r="C35" s="16">
        <v>700000.0</v>
      </c>
      <c r="D35" s="25">
        <f t="shared" si="3"/>
        <v>17000000</v>
      </c>
      <c r="E35" s="16">
        <v>45920.0</v>
      </c>
      <c r="F35" s="16">
        <v>132530.0</v>
      </c>
      <c r="G35" s="25">
        <f t="shared" si="4"/>
        <v>178450</v>
      </c>
      <c r="H35" s="25">
        <f t="shared" si="5"/>
        <v>8911515</v>
      </c>
      <c r="I35" s="27">
        <f t="shared" ref="I35:J35" si="42">IF(G35="","",IFERROR(G35/C35,""))</f>
        <v>0.2549285714</v>
      </c>
      <c r="J35" s="27">
        <f t="shared" si="42"/>
        <v>0.5242067647</v>
      </c>
      <c r="K35" s="25">
        <f t="shared" si="7"/>
        <v>-8088485</v>
      </c>
      <c r="L35" s="33" t="str">
        <f t="shared" si="8"/>
        <v>▲ 遅れ</v>
      </c>
      <c r="M35" s="21">
        <v>8.0</v>
      </c>
      <c r="N35" s="21">
        <v>8.0</v>
      </c>
      <c r="O35" s="21">
        <v>24.0</v>
      </c>
      <c r="P35" s="21">
        <v>10.0</v>
      </c>
      <c r="Q35" s="21">
        <v>24.0</v>
      </c>
      <c r="R35" s="27">
        <f t="shared" si="9"/>
        <v>0.3333333333</v>
      </c>
      <c r="S35" s="25">
        <f t="shared" si="10"/>
        <v>22306.25</v>
      </c>
      <c r="T35" s="34">
        <f t="shared" si="11"/>
        <v>1</v>
      </c>
      <c r="U35" s="27">
        <f t="shared" si="12"/>
        <v>0.4166666667</v>
      </c>
      <c r="V35" s="21"/>
      <c r="W35" s="21">
        <v>44087.0</v>
      </c>
      <c r="X35" s="16">
        <v>0.0</v>
      </c>
      <c r="Y35" s="24"/>
    </row>
    <row r="36" ht="15.75" customHeight="1">
      <c r="A36" s="14">
        <v>46141.0</v>
      </c>
      <c r="B36" s="15" t="str">
        <f t="shared" si="2"/>
        <v>水</v>
      </c>
      <c r="C36" s="16">
        <v>800000.0</v>
      </c>
      <c r="D36" s="17">
        <f t="shared" si="3"/>
        <v>17800000</v>
      </c>
      <c r="E36" s="16">
        <v>155130.0</v>
      </c>
      <c r="F36" s="16">
        <v>454830.0</v>
      </c>
      <c r="G36" s="17">
        <f t="shared" si="4"/>
        <v>609960</v>
      </c>
      <c r="H36" s="17">
        <f t="shared" si="5"/>
        <v>9521475</v>
      </c>
      <c r="I36" s="18">
        <f t="shared" ref="I36:J36" si="43">IF(G36="","",IFERROR(G36/C36,""))</f>
        <v>0.76245</v>
      </c>
      <c r="J36" s="18">
        <f t="shared" si="43"/>
        <v>0.5349143258</v>
      </c>
      <c r="K36" s="17">
        <f t="shared" si="7"/>
        <v>-8278525</v>
      </c>
      <c r="L36" s="19" t="str">
        <f t="shared" si="8"/>
        <v>▲ 遅れ</v>
      </c>
      <c r="M36" s="21">
        <v>26.0</v>
      </c>
      <c r="N36" s="21">
        <v>30.0</v>
      </c>
      <c r="O36" s="21">
        <v>82.0</v>
      </c>
      <c r="P36" s="21">
        <v>50.0</v>
      </c>
      <c r="Q36" s="21">
        <v>63.0</v>
      </c>
      <c r="R36" s="18">
        <f t="shared" si="9"/>
        <v>0.3170731707</v>
      </c>
      <c r="S36" s="17">
        <f t="shared" si="10"/>
        <v>23460</v>
      </c>
      <c r="T36" s="22">
        <f t="shared" si="11"/>
        <v>1.153846154</v>
      </c>
      <c r="U36" s="18">
        <f t="shared" si="12"/>
        <v>0.6097560976</v>
      </c>
      <c r="V36" s="21"/>
      <c r="W36" s="21"/>
      <c r="X36" s="16">
        <v>0.0</v>
      </c>
      <c r="Y36" s="24"/>
    </row>
    <row r="37" ht="15.75" customHeight="1">
      <c r="A37" s="32">
        <v>46142.0</v>
      </c>
      <c r="B37" s="23" t="str">
        <f t="shared" si="2"/>
        <v>木</v>
      </c>
      <c r="C37" s="16">
        <v>700000.0</v>
      </c>
      <c r="D37" s="25">
        <f t="shared" si="3"/>
        <v>18500000</v>
      </c>
      <c r="E37" s="16">
        <v>138850.0</v>
      </c>
      <c r="F37" s="16">
        <v>204350.0</v>
      </c>
      <c r="G37" s="25">
        <f t="shared" si="4"/>
        <v>343200</v>
      </c>
      <c r="H37" s="25">
        <f t="shared" si="5"/>
        <v>9864675</v>
      </c>
      <c r="I37" s="27">
        <f t="shared" ref="I37:J37" si="44">IF(G37="","",IFERROR(G37/C37,""))</f>
        <v>0.4902857143</v>
      </c>
      <c r="J37" s="27">
        <f t="shared" si="44"/>
        <v>0.5332256757</v>
      </c>
      <c r="K37" s="25">
        <f t="shared" si="7"/>
        <v>-8635325</v>
      </c>
      <c r="L37" s="33" t="str">
        <f t="shared" si="8"/>
        <v>▲ 遅れ</v>
      </c>
      <c r="M37" s="21">
        <v>15.0</v>
      </c>
      <c r="N37" s="21">
        <v>18.0</v>
      </c>
      <c r="O37" s="21">
        <v>54.0</v>
      </c>
      <c r="P37" s="21">
        <v>28.0</v>
      </c>
      <c r="Q37" s="21">
        <v>51.0</v>
      </c>
      <c r="R37" s="27">
        <f t="shared" si="9"/>
        <v>0.2777777778</v>
      </c>
      <c r="S37" s="25">
        <f t="shared" si="10"/>
        <v>22880</v>
      </c>
      <c r="T37" s="34">
        <f t="shared" si="11"/>
        <v>1.2</v>
      </c>
      <c r="U37" s="27">
        <f t="shared" si="12"/>
        <v>0.5185185185</v>
      </c>
      <c r="V37" s="21"/>
      <c r="W37" s="21">
        <v>44065.0</v>
      </c>
      <c r="X37" s="16">
        <v>0.0</v>
      </c>
      <c r="Y37" s="24"/>
    </row>
    <row r="38" ht="15.75" customHeight="1">
      <c r="A38" s="45" t="s">
        <v>97</v>
      </c>
      <c r="B38" s="35"/>
      <c r="C38" s="36">
        <f>SUM(C8:C37)</f>
        <v>18500000</v>
      </c>
      <c r="D38" s="36">
        <f>C38</f>
        <v>18500000</v>
      </c>
      <c r="E38" s="36">
        <f t="shared" ref="E38:G38" si="45">SUM(E8:E37)</f>
        <v>2338915</v>
      </c>
      <c r="F38" s="36">
        <f t="shared" si="45"/>
        <v>7525760</v>
      </c>
      <c r="G38" s="36">
        <f t="shared" si="45"/>
        <v>9864675</v>
      </c>
      <c r="H38" s="36">
        <f>G38</f>
        <v>9864675</v>
      </c>
      <c r="I38" s="37">
        <f>IFERROR(G38/C38,"")</f>
        <v>0.5332256757</v>
      </c>
      <c r="J38" s="37">
        <f>IFERROR(G38/C38,"")</f>
        <v>0.5332256757</v>
      </c>
      <c r="K38" s="36">
        <f>G38-C38</f>
        <v>-8635325</v>
      </c>
      <c r="L38" s="46"/>
      <c r="M38" s="38">
        <f t="shared" ref="M38:Q38" si="46">SUM(M8:M37)</f>
        <v>425</v>
      </c>
      <c r="N38" s="38">
        <f t="shared" si="46"/>
        <v>467</v>
      </c>
      <c r="O38" s="38">
        <f t="shared" si="46"/>
        <v>1489</v>
      </c>
      <c r="P38" s="38">
        <f t="shared" si="46"/>
        <v>717</v>
      </c>
      <c r="Q38" s="38">
        <f t="shared" si="46"/>
        <v>634</v>
      </c>
      <c r="R38" s="37">
        <f t="shared" si="9"/>
        <v>0.2854264607</v>
      </c>
      <c r="S38" s="36">
        <f t="shared" si="10"/>
        <v>23211</v>
      </c>
      <c r="T38" s="47">
        <f t="shared" si="11"/>
        <v>1.098823529</v>
      </c>
      <c r="U38" s="37">
        <f t="shared" si="12"/>
        <v>0.481531229</v>
      </c>
      <c r="V38" s="38">
        <f>SUM(V8:V37)</f>
        <v>0</v>
      </c>
      <c r="W38" s="38">
        <f>IFERROR(LOOKUP(9.99E+307,W8:W37),"")</f>
        <v>44065</v>
      </c>
      <c r="X38" s="36">
        <f>SUM(X8:X37)</f>
        <v>0</v>
      </c>
      <c r="Y38" s="48" t="s">
        <v>107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7">
    <cfRule type="expression" dxfId="0" priority="1">
      <formula>AND($G8&lt;&gt;"",$K8&gt;=0)</formula>
    </cfRule>
  </conditionalFormatting>
  <conditionalFormatting sqref="K8:K37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2.86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6</v>
      </c>
      <c r="H3" s="6"/>
      <c r="I3" s="5" t="s">
        <v>8</v>
      </c>
      <c r="J3" s="6"/>
      <c r="K3" s="5" t="s">
        <v>9</v>
      </c>
      <c r="L3" s="6"/>
    </row>
    <row r="4">
      <c r="A4" s="7">
        <f>IF('設定'!$B$9="",SUM(C8:C38),'設定'!$B$9)</f>
        <v>12329470</v>
      </c>
      <c r="B4" s="6"/>
      <c r="C4" s="8">
        <f>SUM(G8:G38)</f>
        <v>12381052</v>
      </c>
      <c r="D4" s="6"/>
      <c r="E4" s="9">
        <f>IFERROR(C4/A4,0)</f>
        <v>1.004183635</v>
      </c>
      <c r="F4" s="6"/>
      <c r="G4" s="10">
        <f>COUNTIF(G8:G38,"&gt;0")</f>
        <v>31</v>
      </c>
      <c r="H4" s="6"/>
      <c r="I4" s="8">
        <f>A4-C4</f>
        <v>-51582</v>
      </c>
      <c r="J4" s="6"/>
      <c r="K4" s="8">
        <f>IF((31-G4)&gt;0,(A4-C4)/(31-G4),0)</f>
        <v>0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SUM(C8:C38)</f>
        <v>20200000</v>
      </c>
      <c r="B6" s="6"/>
      <c r="C6" s="8">
        <f>IFERROR(C4/G4*31,0)</f>
        <v>12381052</v>
      </c>
      <c r="D6" s="6"/>
      <c r="E6" s="9">
        <f>IFERROR(M39/O39,0)</f>
        <v>0.3542216359</v>
      </c>
      <c r="F6" s="6"/>
      <c r="G6" s="8">
        <f>IFERROR(G39/M39,0)</f>
        <v>23055.96276</v>
      </c>
      <c r="H6" s="6"/>
      <c r="I6" s="11">
        <f>IFERROR(N39/M39,0)</f>
        <v>1.106145251</v>
      </c>
      <c r="J6" s="6"/>
      <c r="K6" s="9">
        <f>IFERROR(P39/O39,0)</f>
        <v>0.610817942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46143.0</v>
      </c>
      <c r="B8" s="15" t="str">
        <f t="shared" ref="B8:B38" si="2">MID("日月火水木金土",WEEKDAY(A8),1)</f>
        <v>金</v>
      </c>
      <c r="C8" s="16">
        <v>500000.0</v>
      </c>
      <c r="D8" s="17">
        <f t="shared" ref="D8:D38" si="3">SUM($C$8:C8)</f>
        <v>500000</v>
      </c>
      <c r="E8" s="16">
        <v>82330.0</v>
      </c>
      <c r="F8" s="16">
        <v>358729.0</v>
      </c>
      <c r="G8" s="17">
        <f t="shared" ref="G8:G38" si="4">IF(COUNT(E8:F8)=0,"",SUM(E8:F8))</f>
        <v>441059</v>
      </c>
      <c r="H8" s="17">
        <f t="shared" ref="H8:H38" si="5">IF(G8="","",SUM($G$8:G8))</f>
        <v>441059</v>
      </c>
      <c r="I8" s="18">
        <f t="shared" ref="I8:J8" si="1">IF(G8="","",IFERROR(G8/C8,""))</f>
        <v>0.882118</v>
      </c>
      <c r="J8" s="18">
        <f t="shared" si="1"/>
        <v>0.882118</v>
      </c>
      <c r="K8" s="17">
        <f t="shared" ref="K8:K38" si="7">IF(H8="","",IF(D8=0,"",H8-D8))</f>
        <v>-58941</v>
      </c>
      <c r="L8" s="19" t="str">
        <f t="shared" ref="L8:L38" si="8">IF(G8="","—",IF(D8=0,"予算未入力",IF(H8&gt;=D8,"◎ ペース内","▲ 遅れ")))</f>
        <v>▲ 遅れ</v>
      </c>
      <c r="M8" s="21">
        <v>20.0</v>
      </c>
      <c r="N8" s="21">
        <v>21.0</v>
      </c>
      <c r="O8" s="21">
        <v>40.0</v>
      </c>
      <c r="P8" s="21">
        <v>23.0</v>
      </c>
      <c r="Q8" s="21">
        <v>57.0</v>
      </c>
      <c r="R8" s="18">
        <f t="shared" ref="R8:R39" si="9">IFERROR(M8/O8,"")</f>
        <v>0.5</v>
      </c>
      <c r="S8" s="17">
        <f t="shared" ref="S8:S39" si="10">IFERROR(G8/M8,"")</f>
        <v>22052.95</v>
      </c>
      <c r="T8" s="22">
        <f t="shared" ref="T8:T39" si="11">IFERROR(N8/M8,"")</f>
        <v>1.05</v>
      </c>
      <c r="U8" s="18">
        <f t="shared" ref="U8:U39" si="12">IFERROR(P8/O8,"")</f>
        <v>0.575</v>
      </c>
      <c r="V8" s="21"/>
      <c r="W8" s="21">
        <v>44051.0</v>
      </c>
      <c r="X8" s="16">
        <v>0.0</v>
      </c>
      <c r="Y8" s="24"/>
      <c r="AA8" s="26" t="s">
        <v>48</v>
      </c>
      <c r="AB8" s="28">
        <f t="shared" ref="AB8:AB14" si="13">IFERROR(AVERAGEIFS($G$8:$G$38,$B$8:$B$38,AA8,$G$8:$G$38,"&gt;0"),0)</f>
        <v>445354.25</v>
      </c>
      <c r="AC8" s="30">
        <f t="shared" ref="AC8:AC14" si="14">COUNTIFS($B$8:$B$38,AA8,$G$8:$G$38,"&gt;0")</f>
        <v>4</v>
      </c>
      <c r="AD8" s="31">
        <f t="shared" ref="AD8:AD14" si="15">IFERROR(SUMIF($B$8:$B$38,AA8,$M$8:$M$38)/SUMIF($B$8:$B$38,AA8,$O$8:$O$38),0)</f>
        <v>0.3495575221</v>
      </c>
      <c r="AE8" s="28">
        <f t="shared" ref="AE8:AE14" si="16">IFERROR(SUMIF($B$8:$B$38,AA8,$G$8:$G$38)/SUMIF($B$8:$B$38,AA8,$M$8:$M$38),0)</f>
        <v>22549.58228</v>
      </c>
    </row>
    <row r="9">
      <c r="A9" s="32">
        <v>46144.0</v>
      </c>
      <c r="B9" s="23" t="str">
        <f t="shared" si="2"/>
        <v>土</v>
      </c>
      <c r="C9" s="16">
        <v>1000000.0</v>
      </c>
      <c r="D9" s="25">
        <f t="shared" si="3"/>
        <v>1500000</v>
      </c>
      <c r="E9" s="16">
        <v>112090.0</v>
      </c>
      <c r="F9" s="16">
        <v>429750.0</v>
      </c>
      <c r="G9" s="25">
        <f t="shared" si="4"/>
        <v>541840</v>
      </c>
      <c r="H9" s="25">
        <f t="shared" si="5"/>
        <v>982899</v>
      </c>
      <c r="I9" s="27">
        <f t="shared" ref="I9:J9" si="6">IF(G9="","",IFERROR(G9/C9,""))</f>
        <v>0.54184</v>
      </c>
      <c r="J9" s="27">
        <f t="shared" si="6"/>
        <v>0.655266</v>
      </c>
      <c r="K9" s="25">
        <f t="shared" si="7"/>
        <v>-517101</v>
      </c>
      <c r="L9" s="33" t="str">
        <f t="shared" si="8"/>
        <v>▲ 遅れ</v>
      </c>
      <c r="M9" s="21">
        <v>24.0</v>
      </c>
      <c r="N9" s="21">
        <v>26.0</v>
      </c>
      <c r="O9" s="21">
        <v>88.0</v>
      </c>
      <c r="P9" s="21">
        <v>53.0</v>
      </c>
      <c r="Q9" s="21">
        <v>106.0</v>
      </c>
      <c r="R9" s="27">
        <f t="shared" si="9"/>
        <v>0.2727272727</v>
      </c>
      <c r="S9" s="25">
        <f t="shared" si="10"/>
        <v>22576.66667</v>
      </c>
      <c r="T9" s="34">
        <f t="shared" si="11"/>
        <v>1.083333333</v>
      </c>
      <c r="U9" s="27">
        <f t="shared" si="12"/>
        <v>0.6022727273</v>
      </c>
      <c r="V9" s="21"/>
      <c r="W9" s="21">
        <v>44043.0</v>
      </c>
      <c r="X9" s="16">
        <v>0.0</v>
      </c>
      <c r="Y9" s="24"/>
      <c r="AA9" s="26" t="s">
        <v>58</v>
      </c>
      <c r="AB9" s="28">
        <f t="shared" si="13"/>
        <v>348647.5</v>
      </c>
      <c r="AC9" s="30">
        <f t="shared" si="14"/>
        <v>4</v>
      </c>
      <c r="AD9" s="31">
        <f t="shared" si="15"/>
        <v>0.2777777778</v>
      </c>
      <c r="AE9" s="28">
        <f t="shared" si="16"/>
        <v>23243.16667</v>
      </c>
    </row>
    <row r="10">
      <c r="A10" s="14">
        <v>46145.0</v>
      </c>
      <c r="B10" s="15" t="str">
        <f t="shared" si="2"/>
        <v>日</v>
      </c>
      <c r="C10" s="16">
        <v>1000000.0</v>
      </c>
      <c r="D10" s="17">
        <f t="shared" si="3"/>
        <v>2500000</v>
      </c>
      <c r="E10" s="16">
        <v>164000.0</v>
      </c>
      <c r="F10" s="16">
        <v>421487.0</v>
      </c>
      <c r="G10" s="17">
        <f t="shared" si="4"/>
        <v>585487</v>
      </c>
      <c r="H10" s="17">
        <f t="shared" si="5"/>
        <v>1568386</v>
      </c>
      <c r="I10" s="18">
        <f t="shared" ref="I10:J10" si="17">IF(G10="","",IFERROR(G10/C10,""))</f>
        <v>0.585487</v>
      </c>
      <c r="J10" s="18">
        <f t="shared" si="17"/>
        <v>0.6273544</v>
      </c>
      <c r="K10" s="17">
        <f t="shared" si="7"/>
        <v>-931614</v>
      </c>
      <c r="L10" s="19" t="str">
        <f t="shared" si="8"/>
        <v>▲ 遅れ</v>
      </c>
      <c r="M10" s="21">
        <v>25.0</v>
      </c>
      <c r="N10" s="21">
        <v>28.0</v>
      </c>
      <c r="O10" s="21">
        <v>74.0</v>
      </c>
      <c r="P10" s="21">
        <v>43.0</v>
      </c>
      <c r="Q10" s="21">
        <v>86.0</v>
      </c>
      <c r="R10" s="18">
        <f t="shared" si="9"/>
        <v>0.3378378378</v>
      </c>
      <c r="S10" s="17">
        <f t="shared" si="10"/>
        <v>23419.48</v>
      </c>
      <c r="T10" s="22">
        <f t="shared" si="11"/>
        <v>1.12</v>
      </c>
      <c r="U10" s="18">
        <f t="shared" si="12"/>
        <v>0.5810810811</v>
      </c>
      <c r="V10" s="21"/>
      <c r="W10" s="21">
        <v>44038.0</v>
      </c>
      <c r="X10" s="16">
        <v>0.0</v>
      </c>
      <c r="Y10" s="24"/>
      <c r="AA10" s="26" t="s">
        <v>61</v>
      </c>
      <c r="AB10" s="28">
        <f t="shared" si="13"/>
        <v>388922.5</v>
      </c>
      <c r="AC10" s="30">
        <f t="shared" si="14"/>
        <v>4</v>
      </c>
      <c r="AD10" s="31">
        <f t="shared" si="15"/>
        <v>0.3522727273</v>
      </c>
      <c r="AE10" s="28">
        <f t="shared" si="16"/>
        <v>25091.77419</v>
      </c>
    </row>
    <row r="11">
      <c r="A11" s="32">
        <v>46146.0</v>
      </c>
      <c r="B11" s="23" t="str">
        <f t="shared" si="2"/>
        <v>月</v>
      </c>
      <c r="C11" s="16">
        <v>1000000.0</v>
      </c>
      <c r="D11" s="25">
        <f t="shared" si="3"/>
        <v>3500000</v>
      </c>
      <c r="E11" s="16">
        <v>105540.0</v>
      </c>
      <c r="F11" s="16">
        <v>332230.0</v>
      </c>
      <c r="G11" s="25">
        <f t="shared" si="4"/>
        <v>437770</v>
      </c>
      <c r="H11" s="25">
        <f t="shared" si="5"/>
        <v>2006156</v>
      </c>
      <c r="I11" s="27">
        <f t="shared" ref="I11:J11" si="18">IF(G11="","",IFERROR(G11/C11,""))</f>
        <v>0.43777</v>
      </c>
      <c r="J11" s="27">
        <f t="shared" si="18"/>
        <v>0.5731874286</v>
      </c>
      <c r="K11" s="25">
        <f t="shared" si="7"/>
        <v>-1493844</v>
      </c>
      <c r="L11" s="33" t="str">
        <f t="shared" si="8"/>
        <v>▲ 遅れ</v>
      </c>
      <c r="M11" s="21">
        <v>21.0</v>
      </c>
      <c r="N11" s="21">
        <v>22.0</v>
      </c>
      <c r="O11" s="21">
        <v>56.0</v>
      </c>
      <c r="P11" s="21">
        <v>32.0</v>
      </c>
      <c r="Q11" s="21">
        <v>56.0</v>
      </c>
      <c r="R11" s="27">
        <f t="shared" si="9"/>
        <v>0.375</v>
      </c>
      <c r="S11" s="25">
        <f t="shared" si="10"/>
        <v>20846.19048</v>
      </c>
      <c r="T11" s="34">
        <f t="shared" si="11"/>
        <v>1.047619048</v>
      </c>
      <c r="U11" s="27">
        <f t="shared" si="12"/>
        <v>0.5714285714</v>
      </c>
      <c r="V11" s="21"/>
      <c r="W11" s="21">
        <v>44028.0</v>
      </c>
      <c r="X11" s="16">
        <v>0.0</v>
      </c>
      <c r="Y11" s="24"/>
      <c r="AA11" s="26" t="s">
        <v>64</v>
      </c>
      <c r="AB11" s="28">
        <f t="shared" si="13"/>
        <v>298960.75</v>
      </c>
      <c r="AC11" s="30">
        <f t="shared" si="14"/>
        <v>4</v>
      </c>
      <c r="AD11" s="31">
        <f t="shared" si="15"/>
        <v>0.3941605839</v>
      </c>
      <c r="AE11" s="28">
        <f t="shared" si="16"/>
        <v>22145.24074</v>
      </c>
    </row>
    <row r="12">
      <c r="A12" s="14">
        <v>46147.0</v>
      </c>
      <c r="B12" s="15" t="str">
        <f t="shared" si="2"/>
        <v>火</v>
      </c>
      <c r="C12" s="16">
        <v>1000000.0</v>
      </c>
      <c r="D12" s="17">
        <f t="shared" si="3"/>
        <v>4500000</v>
      </c>
      <c r="E12" s="16">
        <v>186310.0</v>
      </c>
      <c r="F12" s="16">
        <v>428550.0</v>
      </c>
      <c r="G12" s="17">
        <f t="shared" si="4"/>
        <v>614860</v>
      </c>
      <c r="H12" s="17">
        <f t="shared" si="5"/>
        <v>2621016</v>
      </c>
      <c r="I12" s="18">
        <f t="shared" ref="I12:J12" si="19">IF(G12="","",IFERROR(G12/C12,""))</f>
        <v>0.61486</v>
      </c>
      <c r="J12" s="18">
        <f t="shared" si="19"/>
        <v>0.582448</v>
      </c>
      <c r="K12" s="17">
        <f t="shared" si="7"/>
        <v>-1878984</v>
      </c>
      <c r="L12" s="19" t="str">
        <f t="shared" si="8"/>
        <v>▲ 遅れ</v>
      </c>
      <c r="M12" s="21">
        <v>27.0</v>
      </c>
      <c r="N12" s="21">
        <v>30.0</v>
      </c>
      <c r="O12" s="21">
        <v>78.0</v>
      </c>
      <c r="P12" s="21">
        <v>74.0</v>
      </c>
      <c r="Q12" s="21">
        <v>59.0</v>
      </c>
      <c r="R12" s="18">
        <f t="shared" si="9"/>
        <v>0.3461538462</v>
      </c>
      <c r="S12" s="17">
        <f t="shared" si="10"/>
        <v>22772.59259</v>
      </c>
      <c r="T12" s="22">
        <f t="shared" si="11"/>
        <v>1.111111111</v>
      </c>
      <c r="U12" s="18">
        <f t="shared" si="12"/>
        <v>0.9487179487</v>
      </c>
      <c r="V12" s="21"/>
      <c r="W12" s="21">
        <v>44009.0</v>
      </c>
      <c r="X12" s="16">
        <v>0.0</v>
      </c>
      <c r="Y12" s="24"/>
      <c r="AA12" s="26" t="s">
        <v>67</v>
      </c>
      <c r="AB12" s="28">
        <f t="shared" si="13"/>
        <v>279935.8</v>
      </c>
      <c r="AC12" s="30">
        <f t="shared" si="14"/>
        <v>5</v>
      </c>
      <c r="AD12" s="31">
        <f t="shared" si="15"/>
        <v>0.3333333333</v>
      </c>
      <c r="AE12" s="28">
        <f t="shared" si="16"/>
        <v>23327.98333</v>
      </c>
    </row>
    <row r="13">
      <c r="A13" s="32">
        <v>46148.0</v>
      </c>
      <c r="B13" s="23" t="str">
        <f t="shared" si="2"/>
        <v>水</v>
      </c>
      <c r="C13" s="16">
        <v>1000000.0</v>
      </c>
      <c r="D13" s="25">
        <f t="shared" si="3"/>
        <v>5500000</v>
      </c>
      <c r="E13" s="16">
        <v>19910.0</v>
      </c>
      <c r="F13" s="16">
        <v>546700.0</v>
      </c>
      <c r="G13" s="25">
        <f t="shared" si="4"/>
        <v>566610</v>
      </c>
      <c r="H13" s="25">
        <f t="shared" si="5"/>
        <v>3187626</v>
      </c>
      <c r="I13" s="27">
        <f t="shared" ref="I13:J13" si="20">IF(G13="","",IFERROR(G13/C13,""))</f>
        <v>0.56661</v>
      </c>
      <c r="J13" s="27">
        <f t="shared" si="20"/>
        <v>0.5795683636</v>
      </c>
      <c r="K13" s="25">
        <f t="shared" si="7"/>
        <v>-2312374</v>
      </c>
      <c r="L13" s="33" t="str">
        <f t="shared" si="8"/>
        <v>▲ 遅れ</v>
      </c>
      <c r="M13" s="21">
        <v>21.0</v>
      </c>
      <c r="N13" s="21">
        <v>29.0</v>
      </c>
      <c r="O13" s="21">
        <v>73.0</v>
      </c>
      <c r="P13" s="21">
        <v>36.0</v>
      </c>
      <c r="Q13" s="21">
        <v>85.0</v>
      </c>
      <c r="R13" s="27">
        <f t="shared" si="9"/>
        <v>0.2876712329</v>
      </c>
      <c r="S13" s="25">
        <f t="shared" si="10"/>
        <v>26981.42857</v>
      </c>
      <c r="T13" s="34">
        <f t="shared" si="11"/>
        <v>1.380952381</v>
      </c>
      <c r="U13" s="27">
        <f t="shared" si="12"/>
        <v>0.4931506849</v>
      </c>
      <c r="V13" s="21"/>
      <c r="W13" s="21">
        <v>43989.0</v>
      </c>
      <c r="X13" s="16">
        <v>0.0</v>
      </c>
      <c r="Y13" s="24"/>
      <c r="AA13" s="26" t="s">
        <v>69</v>
      </c>
      <c r="AB13" s="28">
        <f t="shared" si="13"/>
        <v>547375.8</v>
      </c>
      <c r="AC13" s="30">
        <f t="shared" si="14"/>
        <v>5</v>
      </c>
      <c r="AD13" s="31">
        <f t="shared" si="15"/>
        <v>0.4080267559</v>
      </c>
      <c r="AE13" s="28">
        <f t="shared" si="16"/>
        <v>22433.43443</v>
      </c>
    </row>
    <row r="14">
      <c r="A14" s="14">
        <v>46149.0</v>
      </c>
      <c r="B14" s="15" t="str">
        <f t="shared" si="2"/>
        <v>木</v>
      </c>
      <c r="C14" s="16">
        <v>600000.0</v>
      </c>
      <c r="D14" s="17">
        <f t="shared" si="3"/>
        <v>6100000</v>
      </c>
      <c r="E14" s="16">
        <v>57530.0</v>
      </c>
      <c r="F14" s="16">
        <v>299099.0</v>
      </c>
      <c r="G14" s="17">
        <f t="shared" si="4"/>
        <v>356629</v>
      </c>
      <c r="H14" s="17">
        <f t="shared" si="5"/>
        <v>3544255</v>
      </c>
      <c r="I14" s="18">
        <f t="shared" ref="I14:J14" si="21">IF(G14="","",IFERROR(G14/C14,""))</f>
        <v>0.5943816667</v>
      </c>
      <c r="J14" s="18">
        <f t="shared" si="21"/>
        <v>0.5810254098</v>
      </c>
      <c r="K14" s="17">
        <f t="shared" si="7"/>
        <v>-2555745</v>
      </c>
      <c r="L14" s="19" t="str">
        <f t="shared" si="8"/>
        <v>▲ 遅れ</v>
      </c>
      <c r="M14" s="21">
        <v>17.0</v>
      </c>
      <c r="N14" s="21">
        <v>17.0</v>
      </c>
      <c r="O14" s="21">
        <v>45.0</v>
      </c>
      <c r="P14" s="21">
        <v>32.0</v>
      </c>
      <c r="Q14" s="21">
        <v>56.0</v>
      </c>
      <c r="R14" s="18">
        <f t="shared" si="9"/>
        <v>0.3777777778</v>
      </c>
      <c r="S14" s="17">
        <f t="shared" si="10"/>
        <v>20978.17647</v>
      </c>
      <c r="T14" s="22">
        <f t="shared" si="11"/>
        <v>1</v>
      </c>
      <c r="U14" s="18">
        <f t="shared" si="12"/>
        <v>0.7111111111</v>
      </c>
      <c r="V14" s="21"/>
      <c r="W14" s="21">
        <v>43971.0</v>
      </c>
      <c r="X14" s="16">
        <v>0.0</v>
      </c>
      <c r="Y14" s="24"/>
      <c r="AA14" s="26" t="s">
        <v>71</v>
      </c>
      <c r="AB14" s="28">
        <f t="shared" si="13"/>
        <v>463390.8</v>
      </c>
      <c r="AC14" s="30">
        <f t="shared" si="14"/>
        <v>5</v>
      </c>
      <c r="AD14" s="31">
        <f t="shared" si="15"/>
        <v>0.3546099291</v>
      </c>
      <c r="AE14" s="28">
        <f t="shared" si="16"/>
        <v>23169.54</v>
      </c>
    </row>
    <row r="15">
      <c r="A15" s="32">
        <v>46150.0</v>
      </c>
      <c r="B15" s="23" t="str">
        <f t="shared" si="2"/>
        <v>金</v>
      </c>
      <c r="C15" s="16">
        <v>600000.0</v>
      </c>
      <c r="D15" s="25">
        <f t="shared" si="3"/>
        <v>6700000</v>
      </c>
      <c r="E15" s="16">
        <v>0.0</v>
      </c>
      <c r="F15" s="16">
        <v>338440.0</v>
      </c>
      <c r="G15" s="25">
        <f t="shared" si="4"/>
        <v>338440</v>
      </c>
      <c r="H15" s="25">
        <f t="shared" si="5"/>
        <v>3882695</v>
      </c>
      <c r="I15" s="27">
        <f t="shared" ref="I15:J15" si="22">IF(G15="","",IFERROR(G15/C15,""))</f>
        <v>0.5640666667</v>
      </c>
      <c r="J15" s="27">
        <f t="shared" si="22"/>
        <v>0.5795067164</v>
      </c>
      <c r="K15" s="25">
        <f t="shared" si="7"/>
        <v>-2817305</v>
      </c>
      <c r="L15" s="33" t="str">
        <f t="shared" si="8"/>
        <v>▲ 遅れ</v>
      </c>
      <c r="M15" s="21">
        <v>13.0</v>
      </c>
      <c r="N15" s="21">
        <v>17.0</v>
      </c>
      <c r="O15" s="21">
        <v>38.0</v>
      </c>
      <c r="P15" s="21">
        <v>29.0</v>
      </c>
      <c r="Q15" s="21">
        <v>39.0</v>
      </c>
      <c r="R15" s="27">
        <f t="shared" si="9"/>
        <v>0.3421052632</v>
      </c>
      <c r="S15" s="25">
        <f t="shared" si="10"/>
        <v>26033.84615</v>
      </c>
      <c r="T15" s="34">
        <f t="shared" si="11"/>
        <v>1.307692308</v>
      </c>
      <c r="U15" s="27">
        <f t="shared" si="12"/>
        <v>0.7631578947</v>
      </c>
      <c r="V15" s="21"/>
      <c r="W15" s="21">
        <v>43954.0</v>
      </c>
      <c r="X15" s="16">
        <v>0.0</v>
      </c>
      <c r="Y15" s="24"/>
    </row>
    <row r="16">
      <c r="A16" s="14">
        <v>46151.0</v>
      </c>
      <c r="B16" s="15" t="str">
        <f t="shared" si="2"/>
        <v>土</v>
      </c>
      <c r="C16" s="16">
        <v>900000.0</v>
      </c>
      <c r="D16" s="17">
        <f t="shared" si="3"/>
        <v>7600000</v>
      </c>
      <c r="E16" s="16">
        <v>172350.0</v>
      </c>
      <c r="F16" s="16">
        <v>202700.0</v>
      </c>
      <c r="G16" s="17">
        <f t="shared" si="4"/>
        <v>375050</v>
      </c>
      <c r="H16" s="17">
        <f t="shared" si="5"/>
        <v>4257745</v>
      </c>
      <c r="I16" s="18">
        <f t="shared" ref="I16:J16" si="23">IF(G16="","",IFERROR(G16/C16,""))</f>
        <v>0.4167222222</v>
      </c>
      <c r="J16" s="18">
        <f t="shared" si="23"/>
        <v>0.5602296053</v>
      </c>
      <c r="K16" s="17">
        <f t="shared" si="7"/>
        <v>-3342255</v>
      </c>
      <c r="L16" s="19" t="str">
        <f t="shared" si="8"/>
        <v>▲ 遅れ</v>
      </c>
      <c r="M16" s="21">
        <v>18.0</v>
      </c>
      <c r="N16" s="21">
        <v>20.0</v>
      </c>
      <c r="O16" s="21">
        <v>52.0</v>
      </c>
      <c r="P16" s="21">
        <v>29.0</v>
      </c>
      <c r="Q16" s="21">
        <v>58.0</v>
      </c>
      <c r="R16" s="18">
        <f t="shared" si="9"/>
        <v>0.3461538462</v>
      </c>
      <c r="S16" s="17">
        <f t="shared" si="10"/>
        <v>20836.11111</v>
      </c>
      <c r="T16" s="22">
        <f t="shared" si="11"/>
        <v>1.111111111</v>
      </c>
      <c r="U16" s="18">
        <f t="shared" si="12"/>
        <v>0.5576923077</v>
      </c>
      <c r="V16" s="21"/>
      <c r="W16" s="21">
        <v>43954.0</v>
      </c>
      <c r="X16" s="16">
        <v>0.0</v>
      </c>
      <c r="Y16" s="24"/>
      <c r="AA16" s="39" t="s">
        <v>75</v>
      </c>
    </row>
    <row r="17">
      <c r="A17" s="32">
        <v>46152.0</v>
      </c>
      <c r="B17" s="23" t="str">
        <f t="shared" si="2"/>
        <v>日</v>
      </c>
      <c r="C17" s="16">
        <v>900000.0</v>
      </c>
      <c r="D17" s="25">
        <f t="shared" si="3"/>
        <v>8500000</v>
      </c>
      <c r="E17" s="16">
        <v>83970.0</v>
      </c>
      <c r="F17" s="16">
        <v>284370.0</v>
      </c>
      <c r="G17" s="25">
        <f t="shared" si="4"/>
        <v>368340</v>
      </c>
      <c r="H17" s="25">
        <f t="shared" si="5"/>
        <v>4626085</v>
      </c>
      <c r="I17" s="27">
        <f t="shared" ref="I17:J17" si="24">IF(G17="","",IFERROR(G17/C17,""))</f>
        <v>0.4092666667</v>
      </c>
      <c r="J17" s="27">
        <f t="shared" si="24"/>
        <v>0.5442452941</v>
      </c>
      <c r="K17" s="25">
        <f t="shared" si="7"/>
        <v>-3873915</v>
      </c>
      <c r="L17" s="33" t="str">
        <f t="shared" si="8"/>
        <v>▲ 遅れ</v>
      </c>
      <c r="M17" s="21">
        <v>16.0</v>
      </c>
      <c r="N17" s="21">
        <v>18.0</v>
      </c>
      <c r="O17" s="21">
        <v>48.0</v>
      </c>
      <c r="P17" s="21">
        <v>22.0</v>
      </c>
      <c r="Q17" s="21">
        <v>58.0</v>
      </c>
      <c r="R17" s="27">
        <f t="shared" si="9"/>
        <v>0.3333333333</v>
      </c>
      <c r="S17" s="25">
        <f t="shared" si="10"/>
        <v>23021.25</v>
      </c>
      <c r="T17" s="34">
        <f t="shared" si="11"/>
        <v>1.125</v>
      </c>
      <c r="U17" s="27">
        <f t="shared" si="12"/>
        <v>0.4583333333</v>
      </c>
      <c r="V17" s="21"/>
      <c r="W17" s="21">
        <v>43945.0</v>
      </c>
      <c r="X17" s="16">
        <v>0.0</v>
      </c>
      <c r="Y17" s="24"/>
    </row>
    <row r="18">
      <c r="A18" s="14">
        <v>46153.0</v>
      </c>
      <c r="B18" s="15" t="str">
        <f t="shared" si="2"/>
        <v>月</v>
      </c>
      <c r="C18" s="16">
        <v>500000.0</v>
      </c>
      <c r="D18" s="17">
        <f t="shared" si="3"/>
        <v>9000000</v>
      </c>
      <c r="E18" s="16">
        <v>43610.0</v>
      </c>
      <c r="F18" s="16">
        <v>349930.0</v>
      </c>
      <c r="G18" s="17">
        <f t="shared" si="4"/>
        <v>393540</v>
      </c>
      <c r="H18" s="17">
        <f t="shared" si="5"/>
        <v>5019625</v>
      </c>
      <c r="I18" s="18">
        <f t="shared" ref="I18:J18" si="25">IF(G18="","",IFERROR(G18/C18,""))</f>
        <v>0.78708</v>
      </c>
      <c r="J18" s="18">
        <f t="shared" si="25"/>
        <v>0.5577361111</v>
      </c>
      <c r="K18" s="17">
        <f t="shared" si="7"/>
        <v>-3980375</v>
      </c>
      <c r="L18" s="19" t="str">
        <f t="shared" si="8"/>
        <v>▲ 遅れ</v>
      </c>
      <c r="M18" s="21">
        <v>17.0</v>
      </c>
      <c r="N18" s="21">
        <v>20.0</v>
      </c>
      <c r="O18" s="21">
        <v>52.0</v>
      </c>
      <c r="P18" s="21">
        <v>27.0</v>
      </c>
      <c r="Q18" s="21">
        <v>53.0</v>
      </c>
      <c r="R18" s="18">
        <f t="shared" si="9"/>
        <v>0.3269230769</v>
      </c>
      <c r="S18" s="17">
        <f t="shared" si="10"/>
        <v>23149.41176</v>
      </c>
      <c r="T18" s="22">
        <f t="shared" si="11"/>
        <v>1.176470588</v>
      </c>
      <c r="U18" s="18">
        <f t="shared" si="12"/>
        <v>0.5192307692</v>
      </c>
      <c r="V18" s="21"/>
      <c r="W18" s="21">
        <v>43952.0</v>
      </c>
      <c r="X18" s="16">
        <v>0.0</v>
      </c>
      <c r="Y18" s="24"/>
      <c r="AA18" s="40" t="s">
        <v>76</v>
      </c>
      <c r="AH18" s="39" t="s">
        <v>77</v>
      </c>
      <c r="AI18" s="41">
        <f>$A$8+MOD(2-WEEKDAY($A$8,2)+7,7)</f>
        <v>46147</v>
      </c>
    </row>
    <row r="19">
      <c r="A19" s="32">
        <v>46154.0</v>
      </c>
      <c r="B19" s="23" t="str">
        <f t="shared" si="2"/>
        <v>火</v>
      </c>
      <c r="C19" s="16">
        <v>500000.0</v>
      </c>
      <c r="D19" s="25">
        <f t="shared" si="3"/>
        <v>9500000</v>
      </c>
      <c r="E19" s="16">
        <v>41520.0</v>
      </c>
      <c r="F19" s="16">
        <v>122810.0</v>
      </c>
      <c r="G19" s="25">
        <f t="shared" si="4"/>
        <v>164330</v>
      </c>
      <c r="H19" s="25">
        <f t="shared" si="5"/>
        <v>5183955</v>
      </c>
      <c r="I19" s="27">
        <f t="shared" ref="I19:J19" si="26">IF(G19="","",IFERROR(G19/C19,""))</f>
        <v>0.32866</v>
      </c>
      <c r="J19" s="27">
        <f t="shared" si="26"/>
        <v>0.5456794737</v>
      </c>
      <c r="K19" s="25">
        <f t="shared" si="7"/>
        <v>-4316045</v>
      </c>
      <c r="L19" s="33" t="str">
        <f t="shared" si="8"/>
        <v>▲ 遅れ</v>
      </c>
      <c r="M19" s="21">
        <v>8.0</v>
      </c>
      <c r="N19" s="21">
        <v>10.0</v>
      </c>
      <c r="O19" s="21">
        <v>38.0</v>
      </c>
      <c r="P19" s="21">
        <v>14.0</v>
      </c>
      <c r="Q19" s="21">
        <v>19.0</v>
      </c>
      <c r="R19" s="27">
        <f t="shared" si="9"/>
        <v>0.2105263158</v>
      </c>
      <c r="S19" s="25">
        <f t="shared" si="10"/>
        <v>20541.25</v>
      </c>
      <c r="T19" s="34">
        <f t="shared" si="11"/>
        <v>1.25</v>
      </c>
      <c r="U19" s="27">
        <f t="shared" si="12"/>
        <v>0.3684210526</v>
      </c>
      <c r="V19" s="21"/>
      <c r="W19" s="21">
        <v>43940.0</v>
      </c>
      <c r="X19" s="16">
        <v>0.0</v>
      </c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46155.0</v>
      </c>
      <c r="B20" s="15" t="str">
        <f t="shared" si="2"/>
        <v>水</v>
      </c>
      <c r="C20" s="16">
        <v>500000.0</v>
      </c>
      <c r="D20" s="17">
        <f t="shared" si="3"/>
        <v>10000000</v>
      </c>
      <c r="E20" s="16">
        <v>71930.0</v>
      </c>
      <c r="F20" s="16">
        <v>95300.0</v>
      </c>
      <c r="G20" s="17">
        <f t="shared" si="4"/>
        <v>167230</v>
      </c>
      <c r="H20" s="17">
        <f t="shared" si="5"/>
        <v>5351185</v>
      </c>
      <c r="I20" s="18">
        <f t="shared" ref="I20:J20" si="27">IF(G20="","",IFERROR(G20/C20,""))</f>
        <v>0.33446</v>
      </c>
      <c r="J20" s="18">
        <f t="shared" si="27"/>
        <v>0.5351185</v>
      </c>
      <c r="K20" s="17">
        <f t="shared" si="7"/>
        <v>-4648815</v>
      </c>
      <c r="L20" s="19" t="str">
        <f t="shared" si="8"/>
        <v>▲ 遅れ</v>
      </c>
      <c r="M20" s="21">
        <v>8.0</v>
      </c>
      <c r="N20" s="21">
        <v>8.0</v>
      </c>
      <c r="O20" s="21">
        <v>27.0</v>
      </c>
      <c r="P20" s="21">
        <v>13.0</v>
      </c>
      <c r="Q20" s="21">
        <v>30.0</v>
      </c>
      <c r="R20" s="18">
        <f t="shared" si="9"/>
        <v>0.2962962963</v>
      </c>
      <c r="S20" s="17">
        <f t="shared" si="10"/>
        <v>20903.75</v>
      </c>
      <c r="T20" s="22">
        <f t="shared" si="11"/>
        <v>1</v>
      </c>
      <c r="U20" s="18">
        <f t="shared" si="12"/>
        <v>0.4814814815</v>
      </c>
      <c r="V20" s="21"/>
      <c r="W20" s="21">
        <v>43930.0</v>
      </c>
      <c r="X20" s="16">
        <v>0.0</v>
      </c>
      <c r="Y20" s="24"/>
      <c r="AA20" s="30">
        <v>1.0</v>
      </c>
      <c r="AB20" s="42" t="str">
        <f>IF($AI$18+7*(1-1)&gt;$A$38,"",TEXT($AI$18+7*(1-1),"m/d")&amp;"-"&amp;TEXT($AI$18+7*(1-1)+6,"m/d"))</f>
        <v>5/5-5/11</v>
      </c>
      <c r="AC20" s="28">
        <f>IF($AB20="","",(SUMIFS($G$8:$G$38,$A$8:$A$38,"&gt;="&amp;$AI$18+7*(1-1),$A$8:$A$38,"&lt;="&amp;$AI$18+7*(1-1)+6)+SUMIFS('2026年06月'!$G$8:$G$37,'2026年06月'!$A$8:$A$37,"&gt;="&amp;$AI$18+7*(1-1),'2026年06月'!$A$8:$A$37,"&lt;="&amp;$AI$18+7*(1-1)+6)))</f>
        <v>3013469</v>
      </c>
      <c r="AD20" s="31">
        <f>IF($AB20="","",IFERROR((SUMIFS($M$8:$M$38,$A$8:$A$38,"&gt;="&amp;$AI$18+7*(1-1),$A$8:$A$38,"&lt;="&amp;$AI$18+7*(1-1)+6)+SUMIFS('2026年06月'!$M$8:$M$37,'2026年06月'!$A$8:$A$37,"&gt;="&amp;$AI$18+7*(1-1),'2026年06月'!$A$8:$A$37,"&lt;="&amp;$AI$18+7*(1-1)+6))/(SUMIFS($O$8:$O$38,$A$8:$A$38,"&gt;="&amp;$AI$18+7*(1-1),$A$8:$A$38,"&lt;="&amp;$AI$18+7*(1-1)+6)+SUMIFS('2026年06月'!$O$8:$O$37,'2026年06月'!$A$8:$A$37,"&gt;="&amp;$AI$18+7*(1-1),'2026年06月'!$A$8:$A$37,"&lt;="&amp;$AI$18+7*(1-1)+6)),""))</f>
        <v>0.3341968912</v>
      </c>
      <c r="AE20" s="28">
        <f>IF($AB20="","",IFERROR((SUMIFS($G$8:$G$38,$A$8:$A$38,"&gt;="&amp;$AI$18+7*(1-1),$A$8:$A$38,"&lt;="&amp;$AI$18+7*(1-1)+6)+SUMIFS('2026年06月'!$G$8:$G$37,'2026年06月'!$A$8:$A$37,"&gt;="&amp;$AI$18+7*(1-1),'2026年06月'!$A$8:$A$37,"&lt;="&amp;$AI$18+7*(1-1)+6))/(SUMIFS($M$8:$M$38,$A$8:$A$38,"&gt;="&amp;$AI$18+7*(1-1),$A$8:$A$38,"&lt;="&amp;$AI$18+7*(1-1)+6)+SUMIFS('2026年06月'!$M$8:$M$37,'2026年06月'!$A$8:$A$37,"&gt;="&amp;$AI$18+7*(1-1),'2026年06月'!$A$8:$A$37,"&lt;="&amp;$AI$18+7*(1-1)+6)),""))</f>
        <v>23360.22481</v>
      </c>
      <c r="AF20" s="43">
        <f>IF($AB20="","",IFERROR((SUMIFS($N$8:$N$38,$A$8:$A$38,"&gt;="&amp;$AI$18+7*(1-1),$A$8:$A$38,"&lt;="&amp;$AI$18+7*(1-1)+6)+SUMIFS('2026年06月'!$N$8:$N$37,'2026年06月'!$A$8:$A$37,"&gt;="&amp;$AI$18+7*(1-1),'2026年06月'!$A$8:$A$37,"&lt;="&amp;$AI$18+7*(1-1)+6))/(SUMIFS($M$8:$M$38,$A$8:$A$38,"&gt;="&amp;$AI$18+7*(1-1),$A$8:$A$38,"&lt;="&amp;$AI$18+7*(1-1)+6)+SUMIFS('2026年06月'!$M$8:$M$37,'2026年06月'!$A$8:$A$37,"&gt;="&amp;$AI$18+7*(1-1),'2026年06月'!$A$8:$A$37,"&lt;="&amp;$AI$18+7*(1-1)+6)),""))</f>
        <v>1.170542636</v>
      </c>
      <c r="AG20" s="31">
        <f>IF($AB20="","",IFERROR((SUMIFS($P$8:$P$38,$A$8:$A$38,"&gt;="&amp;$AI$18+7*(1-1),$A$8:$A$38,"&lt;="&amp;$AI$18+7*(1-1)+6)+SUMIFS('2026年06月'!$P$8:$P$37,'2026年06月'!$A$8:$A$37,"&gt;="&amp;$AI$18+7*(1-1),'2026年06月'!$A$8:$A$37,"&lt;="&amp;$AI$18+7*(1-1)+6))/(SUMIFS($O$8:$O$38,$A$8:$A$38,"&gt;="&amp;$AI$18+7*(1-1),$A$8:$A$38,"&lt;="&amp;$AI$18+7*(1-1)+6)+SUMIFS('2026年06月'!$O$8:$O$37,'2026年06月'!$A$8:$A$37,"&gt;="&amp;$AI$18+7*(1-1),'2026年06月'!$A$8:$A$37,"&lt;="&amp;$AI$18+7*(1-1)+6)),""))</f>
        <v>0.6450777202</v>
      </c>
    </row>
    <row r="21" ht="15.75" customHeight="1">
      <c r="A21" s="32">
        <v>46156.0</v>
      </c>
      <c r="B21" s="23" t="str">
        <f t="shared" si="2"/>
        <v>木</v>
      </c>
      <c r="C21" s="16">
        <v>500000.0</v>
      </c>
      <c r="D21" s="25">
        <f t="shared" si="3"/>
        <v>10500000</v>
      </c>
      <c r="E21" s="16">
        <v>23810.0</v>
      </c>
      <c r="F21" s="16">
        <v>212930.0</v>
      </c>
      <c r="G21" s="25">
        <f t="shared" si="4"/>
        <v>236740</v>
      </c>
      <c r="H21" s="25">
        <f t="shared" si="5"/>
        <v>5587925</v>
      </c>
      <c r="I21" s="27">
        <f t="shared" ref="I21:J21" si="28">IF(G21="","",IFERROR(G21/C21,""))</f>
        <v>0.47348</v>
      </c>
      <c r="J21" s="27">
        <f t="shared" si="28"/>
        <v>0.5321833333</v>
      </c>
      <c r="K21" s="25">
        <f t="shared" si="7"/>
        <v>-4912075</v>
      </c>
      <c r="L21" s="33" t="str">
        <f t="shared" si="8"/>
        <v>▲ 遅れ</v>
      </c>
      <c r="M21" s="21">
        <v>11.0</v>
      </c>
      <c r="N21" s="21">
        <v>12.0</v>
      </c>
      <c r="O21" s="21">
        <v>28.0</v>
      </c>
      <c r="P21" s="21">
        <v>17.0</v>
      </c>
      <c r="Q21" s="21">
        <v>34.0</v>
      </c>
      <c r="R21" s="27">
        <f t="shared" si="9"/>
        <v>0.3928571429</v>
      </c>
      <c r="S21" s="25">
        <f t="shared" si="10"/>
        <v>21521.81818</v>
      </c>
      <c r="T21" s="34">
        <f t="shared" si="11"/>
        <v>1.090909091</v>
      </c>
      <c r="U21" s="27">
        <f t="shared" si="12"/>
        <v>0.6071428571</v>
      </c>
      <c r="V21" s="21"/>
      <c r="W21" s="21"/>
      <c r="X21" s="16">
        <v>0.0</v>
      </c>
      <c r="Y21" s="24"/>
      <c r="AA21" s="30">
        <v>2.0</v>
      </c>
      <c r="AB21" s="42" t="str">
        <f>IF($AI$18+7*(2-1)&gt;$A$38,"",TEXT($AI$18+7*(2-1),"m/d")&amp;"-"&amp;TEXT($AI$18+7*(2-1)+6,"m/d"))</f>
        <v>5/12-5/18</v>
      </c>
      <c r="AC21" s="28">
        <f>IF($AB21="","",(SUMIFS($G$8:$G$38,$A$8:$A$38,"&gt;="&amp;$AI$18+7*(2-1),$A$8:$A$38,"&lt;="&amp;$AI$18+7*(2-1)+6)+SUMIFS('2026年06月'!$G$8:$G$37,'2026年06月'!$A$8:$A$37,"&gt;="&amp;$AI$18+7*(2-1),'2026年06月'!$A$8:$A$37,"&lt;="&amp;$AI$18+7*(2-1)+6)))</f>
        <v>2242257</v>
      </c>
      <c r="AD21" s="31">
        <f>IF($AB21="","",IFERROR((SUMIFS($M$8:$M$38,$A$8:$A$38,"&gt;="&amp;$AI$18+7*(2-1),$A$8:$A$38,"&lt;="&amp;$AI$18+7*(2-1)+6)+SUMIFS('2026年06月'!$M$8:$M$37,'2026年06月'!$A$8:$A$37,"&gt;="&amp;$AI$18+7*(2-1),'2026年06月'!$A$8:$A$37,"&lt;="&amp;$AI$18+7*(2-1)+6))/(SUMIFS($O$8:$O$38,$A$8:$A$38,"&gt;="&amp;$AI$18+7*(2-1),$A$8:$A$38,"&lt;="&amp;$AI$18+7*(2-1)+6)+SUMIFS('2026年06月'!$O$8:$O$37,'2026年06月'!$A$8:$A$37,"&gt;="&amp;$AI$18+7*(2-1),'2026年06月'!$A$8:$A$37,"&lt;="&amp;$AI$18+7*(2-1)+6)),""))</f>
        <v>0.3521126761</v>
      </c>
      <c r="AE21" s="28">
        <f>IF($AB21="","",IFERROR((SUMIFS($G$8:$G$38,$A$8:$A$38,"&gt;="&amp;$AI$18+7*(2-1),$A$8:$A$38,"&lt;="&amp;$AI$18+7*(2-1)+6)+SUMIFS('2026年06月'!$G$8:$G$37,'2026年06月'!$A$8:$A$37,"&gt;="&amp;$AI$18+7*(2-1),'2026年06月'!$A$8:$A$37,"&lt;="&amp;$AI$18+7*(2-1)+6))/(SUMIFS($M$8:$M$38,$A$8:$A$38,"&gt;="&amp;$AI$18+7*(2-1),$A$8:$A$38,"&lt;="&amp;$AI$18+7*(2-1)+6)+SUMIFS('2026年06月'!$M$8:$M$37,'2026年06月'!$A$8:$A$37,"&gt;="&amp;$AI$18+7*(2-1),'2026年06月'!$A$8:$A$37,"&lt;="&amp;$AI$18+7*(2-1)+6)),""))</f>
        <v>22422.57</v>
      </c>
      <c r="AF21" s="43">
        <f>IF($AB21="","",IFERROR((SUMIFS($N$8:$N$38,$A$8:$A$38,"&gt;="&amp;$AI$18+7*(2-1),$A$8:$A$38,"&lt;="&amp;$AI$18+7*(2-1)+6)+SUMIFS('2026年06月'!$N$8:$N$37,'2026年06月'!$A$8:$A$37,"&gt;="&amp;$AI$18+7*(2-1),'2026年06月'!$A$8:$A$37,"&lt;="&amp;$AI$18+7*(2-1)+6))/(SUMIFS($M$8:$M$38,$A$8:$A$38,"&gt;="&amp;$AI$18+7*(2-1),$A$8:$A$38,"&lt;="&amp;$AI$18+7*(2-1)+6)+SUMIFS('2026年06月'!$M$8:$M$37,'2026年06月'!$A$8:$A$37,"&gt;="&amp;$AI$18+7*(2-1),'2026年06月'!$A$8:$A$37,"&lt;="&amp;$AI$18+7*(2-1)+6)),""))</f>
        <v>1.08</v>
      </c>
      <c r="AG21" s="31">
        <f>IF($AB21="","",IFERROR((SUMIFS($P$8:$P$38,$A$8:$A$38,"&gt;="&amp;$AI$18+7*(2-1),$A$8:$A$38,"&lt;="&amp;$AI$18+7*(2-1)+6)+SUMIFS('2026年06月'!$P$8:$P$37,'2026年06月'!$A$8:$A$37,"&gt;="&amp;$AI$18+7*(2-1),'2026年06月'!$A$8:$A$37,"&lt;="&amp;$AI$18+7*(2-1)+6))/(SUMIFS($O$8:$O$38,$A$8:$A$38,"&gt;="&amp;$AI$18+7*(2-1),$A$8:$A$38,"&lt;="&amp;$AI$18+7*(2-1)+6)+SUMIFS('2026年06月'!$O$8:$O$37,'2026年06月'!$A$8:$A$37,"&gt;="&amp;$AI$18+7*(2-1),'2026年06月'!$A$8:$A$37,"&lt;="&amp;$AI$18+7*(2-1)+6)),""))</f>
        <v>0.5809859155</v>
      </c>
    </row>
    <row r="22" ht="15.75" customHeight="1">
      <c r="A22" s="14">
        <v>46157.0</v>
      </c>
      <c r="B22" s="15" t="str">
        <f t="shared" si="2"/>
        <v>金</v>
      </c>
      <c r="C22" s="16">
        <v>500000.0</v>
      </c>
      <c r="D22" s="17">
        <f t="shared" si="3"/>
        <v>11000000</v>
      </c>
      <c r="E22" s="16">
        <v>23810.0</v>
      </c>
      <c r="F22" s="16">
        <v>215350.0</v>
      </c>
      <c r="G22" s="17">
        <f t="shared" si="4"/>
        <v>239160</v>
      </c>
      <c r="H22" s="17">
        <f t="shared" si="5"/>
        <v>5827085</v>
      </c>
      <c r="I22" s="18">
        <f t="shared" ref="I22:J22" si="29">IF(G22="","",IFERROR(G22/C22,""))</f>
        <v>0.47832</v>
      </c>
      <c r="J22" s="18">
        <f t="shared" si="29"/>
        <v>0.529735</v>
      </c>
      <c r="K22" s="17">
        <f t="shared" si="7"/>
        <v>-5172915</v>
      </c>
      <c r="L22" s="19" t="str">
        <f t="shared" si="8"/>
        <v>▲ 遅れ</v>
      </c>
      <c r="M22" s="21">
        <v>10.0</v>
      </c>
      <c r="N22" s="21">
        <v>10.0</v>
      </c>
      <c r="O22" s="21">
        <v>28.0</v>
      </c>
      <c r="P22" s="21">
        <v>16.0</v>
      </c>
      <c r="Q22" s="21">
        <v>37.0</v>
      </c>
      <c r="R22" s="18">
        <f t="shared" si="9"/>
        <v>0.3571428571</v>
      </c>
      <c r="S22" s="17">
        <f t="shared" si="10"/>
        <v>23916</v>
      </c>
      <c r="T22" s="22">
        <f t="shared" si="11"/>
        <v>1</v>
      </c>
      <c r="U22" s="18">
        <f t="shared" si="12"/>
        <v>0.5714285714</v>
      </c>
      <c r="V22" s="21"/>
      <c r="W22" s="21">
        <v>43959.0</v>
      </c>
      <c r="X22" s="16">
        <v>0.0</v>
      </c>
      <c r="Y22" s="24"/>
      <c r="AA22" s="30">
        <v>3.0</v>
      </c>
      <c r="AB22" s="42" t="str">
        <f>IF($AI$18+7*(3-1)&gt;$A$38,"",TEXT($AI$18+7*(3-1),"m/d")&amp;"-"&amp;TEXT($AI$18+7*(3-1)+6,"m/d"))</f>
        <v>5/19-5/25</v>
      </c>
      <c r="AC22" s="28">
        <f>IF($AB22="","",(SUMIFS($G$8:$G$38,$A$8:$A$38,"&gt;="&amp;$AI$18+7*(3-1),$A$8:$A$38,"&lt;="&amp;$AI$18+7*(3-1)+6)+SUMIFS('2026年06月'!$G$8:$G$37,'2026年06月'!$A$8:$A$37,"&gt;="&amp;$AI$18+7*(3-1),'2026年06月'!$A$8:$A$37,"&lt;="&amp;$AI$18+7*(3-1)+6)))</f>
        <v>2806389</v>
      </c>
      <c r="AD22" s="31">
        <f>IF($AB22="","",IFERROR((SUMIFS($M$8:$M$38,$A$8:$A$38,"&gt;="&amp;$AI$18+7*(3-1),$A$8:$A$38,"&lt;="&amp;$AI$18+7*(3-1)+6)+SUMIFS('2026年06月'!$M$8:$M$37,'2026年06月'!$A$8:$A$37,"&gt;="&amp;$AI$18+7*(3-1),'2026年06月'!$A$8:$A$37,"&lt;="&amp;$AI$18+7*(3-1)+6))/(SUMIFS($O$8:$O$38,$A$8:$A$38,"&gt;="&amp;$AI$18+7*(3-1),$A$8:$A$38,"&lt;="&amp;$AI$18+7*(3-1)+6)+SUMIFS('2026年06月'!$O$8:$O$37,'2026年06月'!$A$8:$A$37,"&gt;="&amp;$AI$18+7*(3-1),'2026年06月'!$A$8:$A$37,"&lt;="&amp;$AI$18+7*(3-1)+6)),""))</f>
        <v>0.3449275362</v>
      </c>
      <c r="AE22" s="28">
        <f>IF($AB22="","",IFERROR((SUMIFS($G$8:$G$38,$A$8:$A$38,"&gt;="&amp;$AI$18+7*(3-1),$A$8:$A$38,"&lt;="&amp;$AI$18+7*(3-1)+6)+SUMIFS('2026年06月'!$G$8:$G$37,'2026年06月'!$A$8:$A$37,"&gt;="&amp;$AI$18+7*(3-1),'2026年06月'!$A$8:$A$37,"&lt;="&amp;$AI$18+7*(3-1)+6))/(SUMIFS($M$8:$M$38,$A$8:$A$38,"&gt;="&amp;$AI$18+7*(3-1),$A$8:$A$38,"&lt;="&amp;$AI$18+7*(3-1)+6)+SUMIFS('2026年06月'!$M$8:$M$37,'2026年06月'!$A$8:$A$37,"&gt;="&amp;$AI$18+7*(3-1),'2026年06月'!$A$8:$A$37,"&lt;="&amp;$AI$18+7*(3-1)+6)),""))</f>
        <v>23583.10084</v>
      </c>
      <c r="AF22" s="43">
        <f>IF($AB22="","",IFERROR((SUMIFS($N$8:$N$38,$A$8:$A$38,"&gt;="&amp;$AI$18+7*(3-1),$A$8:$A$38,"&lt;="&amp;$AI$18+7*(3-1)+6)+SUMIFS('2026年06月'!$N$8:$N$37,'2026年06月'!$A$8:$A$37,"&gt;="&amp;$AI$18+7*(3-1),'2026年06月'!$A$8:$A$37,"&lt;="&amp;$AI$18+7*(3-1)+6))/(SUMIFS($M$8:$M$38,$A$8:$A$38,"&gt;="&amp;$AI$18+7*(3-1),$A$8:$A$38,"&lt;="&amp;$AI$18+7*(3-1)+6)+SUMIFS('2026年06月'!$M$8:$M$37,'2026年06月'!$A$8:$A$37,"&gt;="&amp;$AI$18+7*(3-1),'2026年06月'!$A$8:$A$37,"&lt;="&amp;$AI$18+7*(3-1)+6)),""))</f>
        <v>1.084033613</v>
      </c>
      <c r="AG22" s="31">
        <f>IF($AB22="","",IFERROR((SUMIFS($P$8:$P$38,$A$8:$A$38,"&gt;="&amp;$AI$18+7*(3-1),$A$8:$A$38,"&lt;="&amp;$AI$18+7*(3-1)+6)+SUMIFS('2026年06月'!$P$8:$P$37,'2026年06月'!$A$8:$A$37,"&gt;="&amp;$AI$18+7*(3-1),'2026年06月'!$A$8:$A$37,"&lt;="&amp;$AI$18+7*(3-1)+6))/(SUMIFS($O$8:$O$38,$A$8:$A$38,"&gt;="&amp;$AI$18+7*(3-1),$A$8:$A$38,"&lt;="&amp;$AI$18+7*(3-1)+6)+SUMIFS('2026年06月'!$O$8:$O$37,'2026年06月'!$A$8:$A$37,"&gt;="&amp;$AI$18+7*(3-1),'2026年06月'!$A$8:$A$37,"&lt;="&amp;$AI$18+7*(3-1)+6)),""))</f>
        <v>0.6086956522</v>
      </c>
    </row>
    <row r="23" ht="15.75" customHeight="1">
      <c r="A23" s="32">
        <v>46158.0</v>
      </c>
      <c r="B23" s="23" t="str">
        <f t="shared" si="2"/>
        <v>土</v>
      </c>
      <c r="C23" s="16">
        <v>700000.0</v>
      </c>
      <c r="D23" s="25">
        <f t="shared" si="3"/>
        <v>11700000</v>
      </c>
      <c r="E23" s="16">
        <v>19300.0</v>
      </c>
      <c r="F23" s="16">
        <v>525400.0</v>
      </c>
      <c r="G23" s="25">
        <f t="shared" si="4"/>
        <v>544700</v>
      </c>
      <c r="H23" s="25">
        <f t="shared" si="5"/>
        <v>6371785</v>
      </c>
      <c r="I23" s="27">
        <f t="shared" ref="I23:J23" si="30">IF(G23="","",IFERROR(G23/C23,""))</f>
        <v>0.7781428571</v>
      </c>
      <c r="J23" s="27">
        <f t="shared" si="30"/>
        <v>0.5445970085</v>
      </c>
      <c r="K23" s="25">
        <f t="shared" si="7"/>
        <v>-5328215</v>
      </c>
      <c r="L23" s="33" t="str">
        <f t="shared" si="8"/>
        <v>▲ 遅れ</v>
      </c>
      <c r="M23" s="21">
        <v>25.0</v>
      </c>
      <c r="N23" s="21">
        <v>26.0</v>
      </c>
      <c r="O23" s="21">
        <v>57.0</v>
      </c>
      <c r="P23" s="21">
        <v>46.0</v>
      </c>
      <c r="Q23" s="21">
        <v>65.0</v>
      </c>
      <c r="R23" s="27">
        <f t="shared" si="9"/>
        <v>0.4385964912</v>
      </c>
      <c r="S23" s="25">
        <f t="shared" si="10"/>
        <v>21788</v>
      </c>
      <c r="T23" s="34">
        <f t="shared" si="11"/>
        <v>1.04</v>
      </c>
      <c r="U23" s="27">
        <f t="shared" si="12"/>
        <v>0.8070175439</v>
      </c>
      <c r="V23" s="21"/>
      <c r="W23" s="21">
        <v>43976.0</v>
      </c>
      <c r="X23" s="16">
        <v>0.0</v>
      </c>
      <c r="Y23" s="24"/>
      <c r="AA23" s="30">
        <v>4.0</v>
      </c>
      <c r="AB23" s="42" t="str">
        <f>IF($AI$18+7*(4-1)&gt;$A$38,"",TEXT($AI$18+7*(4-1),"m/d")&amp;"-"&amp;TEXT($AI$18+7*(4-1)+6,"m/d"))</f>
        <v>5/26-6/1</v>
      </c>
      <c r="AC23" s="28">
        <f>IF($AB23="","",(SUMIFS($G$8:$G$38,$A$8:$A$38,"&gt;="&amp;$AI$18+7*(4-1),$A$8:$A$38,"&lt;="&amp;$AI$18+7*(4-1)+6)+SUMIFS('2026年06月'!$G$8:$G$37,'2026年06月'!$A$8:$A$37,"&gt;="&amp;$AI$18+7*(4-1),'2026年06月'!$A$8:$A$37,"&lt;="&amp;$AI$18+7*(4-1)+6)))</f>
        <v>2628231</v>
      </c>
      <c r="AD23" s="31">
        <f>IF($AB23="","",IFERROR((SUMIFS($M$8:$M$38,$A$8:$A$38,"&gt;="&amp;$AI$18+7*(4-1),$A$8:$A$38,"&lt;="&amp;$AI$18+7*(4-1)+6)+SUMIFS('2026年06月'!$M$8:$M$37,'2026年06月'!$A$8:$A$37,"&gt;="&amp;$AI$18+7*(4-1),'2026年06月'!$A$8:$A$37,"&lt;="&amp;$AI$18+7*(4-1)+6))/(SUMIFS($O$8:$O$38,$A$8:$A$38,"&gt;="&amp;$AI$18+7*(4-1),$A$8:$A$38,"&lt;="&amp;$AI$18+7*(4-1)+6)+SUMIFS('2026年06月'!$O$8:$O$37,'2026年06月'!$A$8:$A$37,"&gt;="&amp;$AI$18+7*(4-1),'2026年06月'!$A$8:$A$37,"&lt;="&amp;$AI$18+7*(4-1)+6)),""))</f>
        <v>0.4</v>
      </c>
      <c r="AE23" s="28">
        <f>IF($AB23="","",IFERROR((SUMIFS($G$8:$G$38,$A$8:$A$38,"&gt;="&amp;$AI$18+7*(4-1),$A$8:$A$38,"&lt;="&amp;$AI$18+7*(4-1)+6)+SUMIFS('2026年06月'!$G$8:$G$37,'2026年06月'!$A$8:$A$37,"&gt;="&amp;$AI$18+7*(4-1),'2026年06月'!$A$8:$A$37,"&lt;="&amp;$AI$18+7*(4-1)+6))/(SUMIFS($M$8:$M$38,$A$8:$A$38,"&gt;="&amp;$AI$18+7*(4-1),$A$8:$A$38,"&lt;="&amp;$AI$18+7*(4-1)+6)+SUMIFS('2026年06月'!$M$8:$M$37,'2026年06月'!$A$8:$A$37,"&gt;="&amp;$AI$18+7*(4-1),'2026年06月'!$A$8:$A$37,"&lt;="&amp;$AI$18+7*(4-1)+6)),""))</f>
        <v>23893.00909</v>
      </c>
      <c r="AF23" s="43">
        <f>IF($AB23="","",IFERROR((SUMIFS($N$8:$N$38,$A$8:$A$38,"&gt;="&amp;$AI$18+7*(4-1),$A$8:$A$38,"&lt;="&amp;$AI$18+7*(4-1)+6)+SUMIFS('2026年06月'!$N$8:$N$37,'2026年06月'!$A$8:$A$37,"&gt;="&amp;$AI$18+7*(4-1),'2026年06月'!$A$8:$A$37,"&lt;="&amp;$AI$18+7*(4-1)+6))/(SUMIFS($M$8:$M$38,$A$8:$A$38,"&gt;="&amp;$AI$18+7*(4-1),$A$8:$A$38,"&lt;="&amp;$AI$18+7*(4-1)+6)+SUMIFS('2026年06月'!$M$8:$M$37,'2026年06月'!$A$8:$A$37,"&gt;="&amp;$AI$18+7*(4-1),'2026年06月'!$A$8:$A$37,"&lt;="&amp;$AI$18+7*(4-1)+6)),""))</f>
        <v>1.154545455</v>
      </c>
      <c r="AG23" s="31">
        <f>IF($AB23="","",IFERROR((SUMIFS($P$8:$P$38,$A$8:$A$38,"&gt;="&amp;$AI$18+7*(4-1),$A$8:$A$38,"&lt;="&amp;$AI$18+7*(4-1)+6)+SUMIFS('2026年06月'!$P$8:$P$37,'2026年06月'!$A$8:$A$37,"&gt;="&amp;$AI$18+7*(4-1),'2026年06月'!$A$8:$A$37,"&lt;="&amp;$AI$18+7*(4-1)+6))/(SUMIFS($O$8:$O$38,$A$8:$A$38,"&gt;="&amp;$AI$18+7*(4-1),$A$8:$A$38,"&lt;="&amp;$AI$18+7*(4-1)+6)+SUMIFS('2026年06月'!$O$8:$O$37,'2026年06月'!$A$8:$A$37,"&gt;="&amp;$AI$18+7*(4-1),'2026年06月'!$A$8:$A$37,"&lt;="&amp;$AI$18+7*(4-1)+6)),""))</f>
        <v>0.6327272727</v>
      </c>
    </row>
    <row r="24" ht="15.75" customHeight="1">
      <c r="A24" s="14">
        <v>46159.0</v>
      </c>
      <c r="B24" s="15" t="str">
        <f t="shared" si="2"/>
        <v>日</v>
      </c>
      <c r="C24" s="16">
        <v>700000.0</v>
      </c>
      <c r="D24" s="17">
        <f t="shared" si="3"/>
        <v>12400000</v>
      </c>
      <c r="E24" s="16">
        <v>67420.0</v>
      </c>
      <c r="F24" s="16">
        <v>389670.0</v>
      </c>
      <c r="G24" s="17">
        <f t="shared" si="4"/>
        <v>457090</v>
      </c>
      <c r="H24" s="17">
        <f t="shared" si="5"/>
        <v>6828875</v>
      </c>
      <c r="I24" s="18">
        <f t="shared" ref="I24:J24" si="31">IF(G24="","",IFERROR(G24/C24,""))</f>
        <v>0.6529857143</v>
      </c>
      <c r="J24" s="18">
        <f t="shared" si="31"/>
        <v>0.5507157258</v>
      </c>
      <c r="K24" s="17">
        <f t="shared" si="7"/>
        <v>-5571125</v>
      </c>
      <c r="L24" s="19" t="str">
        <f t="shared" si="8"/>
        <v>▲ 遅れ</v>
      </c>
      <c r="M24" s="21">
        <v>20.0</v>
      </c>
      <c r="N24" s="21">
        <v>21.0</v>
      </c>
      <c r="O24" s="21">
        <v>45.0</v>
      </c>
      <c r="P24" s="21">
        <v>38.0</v>
      </c>
      <c r="Q24" s="21">
        <v>86.0</v>
      </c>
      <c r="R24" s="18">
        <f t="shared" si="9"/>
        <v>0.4444444444</v>
      </c>
      <c r="S24" s="17">
        <f t="shared" si="10"/>
        <v>22854.5</v>
      </c>
      <c r="T24" s="22">
        <f t="shared" si="11"/>
        <v>1.05</v>
      </c>
      <c r="U24" s="18">
        <f t="shared" si="12"/>
        <v>0.8444444444</v>
      </c>
      <c r="V24" s="21"/>
      <c r="W24" s="21">
        <v>43986.0</v>
      </c>
      <c r="X24" s="16">
        <v>0.0</v>
      </c>
      <c r="Y24" s="24"/>
      <c r="AA24" s="30">
        <v>5.0</v>
      </c>
      <c r="AB24" s="42" t="str">
        <f>IF($AI$18+7*(5-1)&gt;$A$38,"",TEXT($AI$18+7*(5-1),"m/d")&amp;"-"&amp;TEXT($AI$18+7*(5-1)+6,"m/d"))</f>
        <v/>
      </c>
      <c r="AC24" s="28" t="str">
        <f>IF($AB24="","",(SUMIFS($G$8:$G$38,$A$8:$A$38,"&gt;="&amp;$AI$18+7*(5-1),$A$8:$A$38,"&lt;="&amp;$AI$18+7*(5-1)+6)+SUMIFS('2026年06月'!$G$8:$G$37,'2026年06月'!$A$8:$A$37,"&gt;="&amp;$AI$18+7*(5-1),'2026年06月'!$A$8:$A$37,"&lt;="&amp;$AI$18+7*(5-1)+6)))</f>
        <v/>
      </c>
      <c r="AD24" s="31" t="str">
        <f>IF($AB24="","",IFERROR((SUMIFS($M$8:$M$38,$A$8:$A$38,"&gt;="&amp;$AI$18+7*(5-1),$A$8:$A$38,"&lt;="&amp;$AI$18+7*(5-1)+6)+SUMIFS('2026年06月'!$M$8:$M$37,'2026年06月'!$A$8:$A$37,"&gt;="&amp;$AI$18+7*(5-1),'2026年06月'!$A$8:$A$37,"&lt;="&amp;$AI$18+7*(5-1)+6))/(SUMIFS($O$8:$O$38,$A$8:$A$38,"&gt;="&amp;$AI$18+7*(5-1),$A$8:$A$38,"&lt;="&amp;$AI$18+7*(5-1)+6)+SUMIFS('2026年06月'!$O$8:$O$37,'2026年06月'!$A$8:$A$37,"&gt;="&amp;$AI$18+7*(5-1),'2026年06月'!$A$8:$A$37,"&lt;="&amp;$AI$18+7*(5-1)+6)),""))</f>
        <v/>
      </c>
      <c r="AE24" s="28" t="str">
        <f>IF($AB24="","",IFERROR((SUMIFS($G$8:$G$38,$A$8:$A$38,"&gt;="&amp;$AI$18+7*(5-1),$A$8:$A$38,"&lt;="&amp;$AI$18+7*(5-1)+6)+SUMIFS('2026年06月'!$G$8:$G$37,'2026年06月'!$A$8:$A$37,"&gt;="&amp;$AI$18+7*(5-1),'2026年06月'!$A$8:$A$37,"&lt;="&amp;$AI$18+7*(5-1)+6))/(SUMIFS($M$8:$M$38,$A$8:$A$38,"&gt;="&amp;$AI$18+7*(5-1),$A$8:$A$38,"&lt;="&amp;$AI$18+7*(5-1)+6)+SUMIFS('2026年06月'!$M$8:$M$37,'2026年06月'!$A$8:$A$37,"&gt;="&amp;$AI$18+7*(5-1),'2026年06月'!$A$8:$A$37,"&lt;="&amp;$AI$18+7*(5-1)+6)),""))</f>
        <v/>
      </c>
      <c r="AF24" s="43" t="str">
        <f>IF($AB24="","",IFERROR((SUMIFS($N$8:$N$38,$A$8:$A$38,"&gt;="&amp;$AI$18+7*(5-1),$A$8:$A$38,"&lt;="&amp;$AI$18+7*(5-1)+6)+SUMIFS('2026年06月'!$N$8:$N$37,'2026年06月'!$A$8:$A$37,"&gt;="&amp;$AI$18+7*(5-1),'2026年06月'!$A$8:$A$37,"&lt;="&amp;$AI$18+7*(5-1)+6))/(SUMIFS($M$8:$M$38,$A$8:$A$38,"&gt;="&amp;$AI$18+7*(5-1),$A$8:$A$38,"&lt;="&amp;$AI$18+7*(5-1)+6)+SUMIFS('2026年06月'!$M$8:$M$37,'2026年06月'!$A$8:$A$37,"&gt;="&amp;$AI$18+7*(5-1),'2026年06月'!$A$8:$A$37,"&lt;="&amp;$AI$18+7*(5-1)+6)),""))</f>
        <v/>
      </c>
      <c r="AG24" s="31" t="str">
        <f>IF($AB24="","",IFERROR((SUMIFS($P$8:$P$38,$A$8:$A$38,"&gt;="&amp;$AI$18+7*(5-1),$A$8:$A$38,"&lt;="&amp;$AI$18+7*(5-1)+6)+SUMIFS('2026年06月'!$P$8:$P$37,'2026年06月'!$A$8:$A$37,"&gt;="&amp;$AI$18+7*(5-1),'2026年06月'!$A$8:$A$37,"&lt;="&amp;$AI$18+7*(5-1)+6))/(SUMIFS($O$8:$O$38,$A$8:$A$38,"&gt;="&amp;$AI$18+7*(5-1),$A$8:$A$38,"&lt;="&amp;$AI$18+7*(5-1)+6)+SUMIFS('2026年06月'!$O$8:$O$37,'2026年06月'!$A$8:$A$37,"&gt;="&amp;$AI$18+7*(5-1),'2026年06月'!$A$8:$A$37,"&lt;="&amp;$AI$18+7*(5-1)+6)),""))</f>
        <v/>
      </c>
    </row>
    <row r="25" ht="15.75" customHeight="1">
      <c r="A25" s="32">
        <v>46160.0</v>
      </c>
      <c r="B25" s="23" t="str">
        <f t="shared" si="2"/>
        <v>月</v>
      </c>
      <c r="C25" s="16">
        <v>500000.0</v>
      </c>
      <c r="D25" s="25">
        <f t="shared" si="3"/>
        <v>12900000</v>
      </c>
      <c r="E25" s="16">
        <v>91877.0</v>
      </c>
      <c r="F25" s="16">
        <v>341130.0</v>
      </c>
      <c r="G25" s="25">
        <f t="shared" si="4"/>
        <v>433007</v>
      </c>
      <c r="H25" s="25">
        <f t="shared" si="5"/>
        <v>7261882</v>
      </c>
      <c r="I25" s="27">
        <f t="shared" ref="I25:J25" si="32">IF(G25="","",IFERROR(G25/C25,""))</f>
        <v>0.866014</v>
      </c>
      <c r="J25" s="27">
        <f t="shared" si="32"/>
        <v>0.5629365891</v>
      </c>
      <c r="K25" s="25">
        <f t="shared" si="7"/>
        <v>-5638118</v>
      </c>
      <c r="L25" s="33" t="str">
        <f t="shared" si="8"/>
        <v>▲ 遅れ</v>
      </c>
      <c r="M25" s="21">
        <v>18.0</v>
      </c>
      <c r="N25" s="21">
        <v>21.0</v>
      </c>
      <c r="O25" s="21">
        <v>61.0</v>
      </c>
      <c r="P25" s="21">
        <v>21.0</v>
      </c>
      <c r="Q25" s="21">
        <v>47.0</v>
      </c>
      <c r="R25" s="27">
        <f t="shared" si="9"/>
        <v>0.2950819672</v>
      </c>
      <c r="S25" s="25">
        <f t="shared" si="10"/>
        <v>24055.94444</v>
      </c>
      <c r="T25" s="34">
        <f t="shared" si="11"/>
        <v>1.166666667</v>
      </c>
      <c r="U25" s="27">
        <f t="shared" si="12"/>
        <v>0.3442622951</v>
      </c>
      <c r="V25" s="21"/>
      <c r="W25" s="21">
        <v>43999.0</v>
      </c>
      <c r="X25" s="16">
        <v>0.0</v>
      </c>
      <c r="Y25" s="24"/>
      <c r="AA25" s="30">
        <v>6.0</v>
      </c>
      <c r="AB25" s="42" t="str">
        <f>IF($AI$18+7*(6-1)&gt;$A$38,"",TEXT($AI$18+7*(6-1),"m/d")&amp;"-"&amp;TEXT($AI$18+7*(6-1)+6,"m/d"))</f>
        <v/>
      </c>
      <c r="AC25" s="28" t="str">
        <f>IF($AB25="","",(SUMIFS($G$8:$G$38,$A$8:$A$38,"&gt;="&amp;$AI$18+7*(6-1),$A$8:$A$38,"&lt;="&amp;$AI$18+7*(6-1)+6)+SUMIFS('2026年06月'!$G$8:$G$37,'2026年06月'!$A$8:$A$37,"&gt;="&amp;$AI$18+7*(6-1),'2026年06月'!$A$8:$A$37,"&lt;="&amp;$AI$18+7*(6-1)+6)))</f>
        <v/>
      </c>
      <c r="AD25" s="31" t="str">
        <f>IF($AB25="","",IFERROR((SUMIFS($M$8:$M$38,$A$8:$A$38,"&gt;="&amp;$AI$18+7*(6-1),$A$8:$A$38,"&lt;="&amp;$AI$18+7*(6-1)+6)+SUMIFS('2026年06月'!$M$8:$M$37,'2026年06月'!$A$8:$A$37,"&gt;="&amp;$AI$18+7*(6-1),'2026年06月'!$A$8:$A$37,"&lt;="&amp;$AI$18+7*(6-1)+6))/(SUMIFS($O$8:$O$38,$A$8:$A$38,"&gt;="&amp;$AI$18+7*(6-1),$A$8:$A$38,"&lt;="&amp;$AI$18+7*(6-1)+6)+SUMIFS('2026年06月'!$O$8:$O$37,'2026年06月'!$A$8:$A$37,"&gt;="&amp;$AI$18+7*(6-1),'2026年06月'!$A$8:$A$37,"&lt;="&amp;$AI$18+7*(6-1)+6)),""))</f>
        <v/>
      </c>
      <c r="AE25" s="28" t="str">
        <f>IF($AB25="","",IFERROR((SUMIFS($G$8:$G$38,$A$8:$A$38,"&gt;="&amp;$AI$18+7*(6-1),$A$8:$A$38,"&lt;="&amp;$AI$18+7*(6-1)+6)+SUMIFS('2026年06月'!$G$8:$G$37,'2026年06月'!$A$8:$A$37,"&gt;="&amp;$AI$18+7*(6-1),'2026年06月'!$A$8:$A$37,"&lt;="&amp;$AI$18+7*(6-1)+6))/(SUMIFS($M$8:$M$38,$A$8:$A$38,"&gt;="&amp;$AI$18+7*(6-1),$A$8:$A$38,"&lt;="&amp;$AI$18+7*(6-1)+6)+SUMIFS('2026年06月'!$M$8:$M$37,'2026年06月'!$A$8:$A$37,"&gt;="&amp;$AI$18+7*(6-1),'2026年06月'!$A$8:$A$37,"&lt;="&amp;$AI$18+7*(6-1)+6)),""))</f>
        <v/>
      </c>
      <c r="AF25" s="43" t="str">
        <f>IF($AB25="","",IFERROR((SUMIFS($N$8:$N$38,$A$8:$A$38,"&gt;="&amp;$AI$18+7*(6-1),$A$8:$A$38,"&lt;="&amp;$AI$18+7*(6-1)+6)+SUMIFS('2026年06月'!$N$8:$N$37,'2026年06月'!$A$8:$A$37,"&gt;="&amp;$AI$18+7*(6-1),'2026年06月'!$A$8:$A$37,"&lt;="&amp;$AI$18+7*(6-1)+6))/(SUMIFS($M$8:$M$38,$A$8:$A$38,"&gt;="&amp;$AI$18+7*(6-1),$A$8:$A$38,"&lt;="&amp;$AI$18+7*(6-1)+6)+SUMIFS('2026年06月'!$M$8:$M$37,'2026年06月'!$A$8:$A$37,"&gt;="&amp;$AI$18+7*(6-1),'2026年06月'!$A$8:$A$37,"&lt;="&amp;$AI$18+7*(6-1)+6)),""))</f>
        <v/>
      </c>
      <c r="AG25" s="31" t="str">
        <f>IF($AB25="","",IFERROR((SUMIFS($P$8:$P$38,$A$8:$A$38,"&gt;="&amp;$AI$18+7*(6-1),$A$8:$A$38,"&lt;="&amp;$AI$18+7*(6-1)+6)+SUMIFS('2026年06月'!$P$8:$P$37,'2026年06月'!$A$8:$A$37,"&gt;="&amp;$AI$18+7*(6-1),'2026年06月'!$A$8:$A$37,"&lt;="&amp;$AI$18+7*(6-1)+6))/(SUMIFS($O$8:$O$38,$A$8:$A$38,"&gt;="&amp;$AI$18+7*(6-1),$A$8:$A$38,"&lt;="&amp;$AI$18+7*(6-1)+6)+SUMIFS('2026年06月'!$O$8:$O$37,'2026年06月'!$A$8:$A$37,"&gt;="&amp;$AI$18+7*(6-1),'2026年06月'!$A$8:$A$37,"&lt;="&amp;$AI$18+7*(6-1)+6)),""))</f>
        <v/>
      </c>
    </row>
    <row r="26" ht="15.75" customHeight="1">
      <c r="A26" s="14">
        <v>46161.0</v>
      </c>
      <c r="B26" s="15" t="str">
        <f t="shared" si="2"/>
        <v>火</v>
      </c>
      <c r="C26" s="16">
        <v>500000.0</v>
      </c>
      <c r="D26" s="17">
        <f t="shared" si="3"/>
        <v>13400000</v>
      </c>
      <c r="E26" s="16">
        <v>61930.0</v>
      </c>
      <c r="F26" s="16">
        <v>280870.0</v>
      </c>
      <c r="G26" s="17">
        <f t="shared" si="4"/>
        <v>342800</v>
      </c>
      <c r="H26" s="17">
        <f t="shared" si="5"/>
        <v>7604682</v>
      </c>
      <c r="I26" s="18">
        <f t="shared" ref="I26:J26" si="33">IF(G26="","",IFERROR(G26/C26,""))</f>
        <v>0.6856</v>
      </c>
      <c r="J26" s="18">
        <f t="shared" si="33"/>
        <v>0.5675135821</v>
      </c>
      <c r="K26" s="17">
        <f t="shared" si="7"/>
        <v>-5795318</v>
      </c>
      <c r="L26" s="19" t="str">
        <f t="shared" si="8"/>
        <v>▲ 遅れ</v>
      </c>
      <c r="M26" s="21">
        <v>13.0</v>
      </c>
      <c r="N26" s="21">
        <v>15.0</v>
      </c>
      <c r="O26" s="21">
        <v>63.0</v>
      </c>
      <c r="P26" s="21">
        <v>34.0</v>
      </c>
      <c r="Q26" s="21">
        <v>51.0</v>
      </c>
      <c r="R26" s="18">
        <f t="shared" si="9"/>
        <v>0.2063492063</v>
      </c>
      <c r="S26" s="17">
        <f t="shared" si="10"/>
        <v>26369.23077</v>
      </c>
      <c r="T26" s="22">
        <f t="shared" si="11"/>
        <v>1.153846154</v>
      </c>
      <c r="U26" s="18">
        <f t="shared" si="12"/>
        <v>0.5396825397</v>
      </c>
      <c r="V26" s="21"/>
      <c r="W26" s="21">
        <v>44012.0</v>
      </c>
      <c r="X26" s="16">
        <v>0.0</v>
      </c>
      <c r="Y26" s="24"/>
      <c r="AA26" s="39" t="s">
        <v>90</v>
      </c>
    </row>
    <row r="27" ht="15.75" customHeight="1">
      <c r="A27" s="32">
        <v>46162.0</v>
      </c>
      <c r="B27" s="23" t="str">
        <f t="shared" si="2"/>
        <v>水</v>
      </c>
      <c r="C27" s="16">
        <v>500000.0</v>
      </c>
      <c r="D27" s="25">
        <f t="shared" si="3"/>
        <v>13900000</v>
      </c>
      <c r="E27" s="16">
        <v>117850.0</v>
      </c>
      <c r="F27" s="16">
        <v>224610.0</v>
      </c>
      <c r="G27" s="25">
        <f t="shared" si="4"/>
        <v>342460</v>
      </c>
      <c r="H27" s="25">
        <f t="shared" si="5"/>
        <v>7947142</v>
      </c>
      <c r="I27" s="27">
        <f t="shared" ref="I27:J27" si="34">IF(G27="","",IFERROR(G27/C27,""))</f>
        <v>0.68492</v>
      </c>
      <c r="J27" s="27">
        <f t="shared" si="34"/>
        <v>0.5717368345</v>
      </c>
      <c r="K27" s="25">
        <f t="shared" si="7"/>
        <v>-5952858</v>
      </c>
      <c r="L27" s="33" t="str">
        <f t="shared" si="8"/>
        <v>▲ 遅れ</v>
      </c>
      <c r="M27" s="21">
        <v>14.0</v>
      </c>
      <c r="N27" s="21">
        <v>17.0</v>
      </c>
      <c r="O27" s="21">
        <v>39.0</v>
      </c>
      <c r="P27" s="21">
        <v>18.0</v>
      </c>
      <c r="Q27" s="21">
        <v>28.0</v>
      </c>
      <c r="R27" s="27">
        <f t="shared" si="9"/>
        <v>0.358974359</v>
      </c>
      <c r="S27" s="25">
        <f t="shared" si="10"/>
        <v>24461.42857</v>
      </c>
      <c r="T27" s="34">
        <f t="shared" si="11"/>
        <v>1.214285714</v>
      </c>
      <c r="U27" s="27">
        <f t="shared" si="12"/>
        <v>0.4615384615</v>
      </c>
      <c r="V27" s="21"/>
      <c r="W27" s="21">
        <v>44038.0</v>
      </c>
      <c r="X27" s="16">
        <v>0.0</v>
      </c>
      <c r="Y27" s="24"/>
      <c r="AA27" s="39" t="s">
        <v>92</v>
      </c>
    </row>
    <row r="28" ht="15.75" customHeight="1">
      <c r="A28" s="14">
        <v>46163.0</v>
      </c>
      <c r="B28" s="15" t="str">
        <f t="shared" si="2"/>
        <v>木</v>
      </c>
      <c r="C28" s="16">
        <v>500000.0</v>
      </c>
      <c r="D28" s="17">
        <f t="shared" si="3"/>
        <v>14400000</v>
      </c>
      <c r="E28" s="16">
        <v>47510.0</v>
      </c>
      <c r="F28" s="16">
        <v>195570.0</v>
      </c>
      <c r="G28" s="17">
        <f t="shared" si="4"/>
        <v>243080</v>
      </c>
      <c r="H28" s="17">
        <f t="shared" si="5"/>
        <v>8190222</v>
      </c>
      <c r="I28" s="18">
        <f t="shared" ref="I28:J28" si="35">IF(G28="","",IFERROR(G28/C28,""))</f>
        <v>0.48616</v>
      </c>
      <c r="J28" s="18">
        <f t="shared" si="35"/>
        <v>0.5687654167</v>
      </c>
      <c r="K28" s="17">
        <f t="shared" si="7"/>
        <v>-6209778</v>
      </c>
      <c r="L28" s="19" t="str">
        <f t="shared" si="8"/>
        <v>▲ 遅れ</v>
      </c>
      <c r="M28" s="21">
        <v>9.0</v>
      </c>
      <c r="N28" s="21">
        <v>12.0</v>
      </c>
      <c r="O28" s="21">
        <v>28.0</v>
      </c>
      <c r="P28" s="21">
        <v>17.0</v>
      </c>
      <c r="Q28" s="21">
        <v>38.0</v>
      </c>
      <c r="R28" s="18">
        <f t="shared" si="9"/>
        <v>0.3214285714</v>
      </c>
      <c r="S28" s="17">
        <f t="shared" si="10"/>
        <v>27008.88889</v>
      </c>
      <c r="T28" s="22">
        <f t="shared" si="11"/>
        <v>1.333333333</v>
      </c>
      <c r="U28" s="18">
        <f t="shared" si="12"/>
        <v>0.6071428571</v>
      </c>
      <c r="V28" s="21"/>
      <c r="W28" s="21"/>
      <c r="X28" s="16">
        <v>0.0</v>
      </c>
      <c r="Y28" s="24"/>
      <c r="AA28" s="39" t="s">
        <v>94</v>
      </c>
    </row>
    <row r="29" ht="15.75" customHeight="1">
      <c r="A29" s="32">
        <v>46164.0</v>
      </c>
      <c r="B29" s="23" t="str">
        <f t="shared" si="2"/>
        <v>金</v>
      </c>
      <c r="C29" s="16">
        <v>500000.0</v>
      </c>
      <c r="D29" s="25">
        <f t="shared" si="3"/>
        <v>14900000</v>
      </c>
      <c r="E29" s="16">
        <v>95240.0</v>
      </c>
      <c r="F29" s="16">
        <v>101530.0</v>
      </c>
      <c r="G29" s="25">
        <f t="shared" si="4"/>
        <v>196770</v>
      </c>
      <c r="H29" s="25">
        <f t="shared" si="5"/>
        <v>8386992</v>
      </c>
      <c r="I29" s="27">
        <f t="shared" ref="I29:J29" si="36">IF(G29="","",IFERROR(G29/C29,""))</f>
        <v>0.39354</v>
      </c>
      <c r="J29" s="27">
        <f t="shared" si="36"/>
        <v>0.5628853691</v>
      </c>
      <c r="K29" s="25">
        <f t="shared" si="7"/>
        <v>-6513008</v>
      </c>
      <c r="L29" s="33" t="str">
        <f t="shared" si="8"/>
        <v>▲ 遅れ</v>
      </c>
      <c r="M29" s="21">
        <v>9.0</v>
      </c>
      <c r="N29" s="21">
        <v>10.0</v>
      </c>
      <c r="O29" s="21">
        <v>50.0</v>
      </c>
      <c r="P29" s="21">
        <v>19.0</v>
      </c>
      <c r="Q29" s="21">
        <v>25.0</v>
      </c>
      <c r="R29" s="27">
        <f t="shared" si="9"/>
        <v>0.18</v>
      </c>
      <c r="S29" s="25">
        <f t="shared" si="10"/>
        <v>21863.33333</v>
      </c>
      <c r="T29" s="34">
        <f t="shared" si="11"/>
        <v>1.111111111</v>
      </c>
      <c r="U29" s="27">
        <f t="shared" si="12"/>
        <v>0.38</v>
      </c>
      <c r="V29" s="21"/>
      <c r="W29" s="21">
        <v>44064.0</v>
      </c>
      <c r="X29" s="16">
        <v>0.0</v>
      </c>
      <c r="Y29" s="24"/>
    </row>
    <row r="30" ht="15.75" customHeight="1">
      <c r="A30" s="14">
        <v>46165.0</v>
      </c>
      <c r="B30" s="15" t="str">
        <f t="shared" si="2"/>
        <v>土</v>
      </c>
      <c r="C30" s="16">
        <v>700000.0</v>
      </c>
      <c r="D30" s="17">
        <f t="shared" si="3"/>
        <v>15600000</v>
      </c>
      <c r="E30" s="16">
        <v>74890.0</v>
      </c>
      <c r="F30" s="16">
        <v>547079.0</v>
      </c>
      <c r="G30" s="17">
        <f t="shared" si="4"/>
        <v>621969</v>
      </c>
      <c r="H30" s="17">
        <f t="shared" si="5"/>
        <v>9008961</v>
      </c>
      <c r="I30" s="18">
        <f t="shared" ref="I30:J30" si="37">IF(G30="","",IFERROR(G30/C30,""))</f>
        <v>0.8885271429</v>
      </c>
      <c r="J30" s="18">
        <f t="shared" si="37"/>
        <v>0.5774975</v>
      </c>
      <c r="K30" s="17">
        <f t="shared" si="7"/>
        <v>-6591039</v>
      </c>
      <c r="L30" s="19" t="str">
        <f t="shared" si="8"/>
        <v>▲ 遅れ</v>
      </c>
      <c r="M30" s="21">
        <v>27.0</v>
      </c>
      <c r="N30" s="21">
        <v>27.0</v>
      </c>
      <c r="O30" s="21">
        <v>49.0</v>
      </c>
      <c r="P30" s="21">
        <v>42.0</v>
      </c>
      <c r="Q30" s="21">
        <v>66.0</v>
      </c>
      <c r="R30" s="18">
        <f t="shared" si="9"/>
        <v>0.5510204082</v>
      </c>
      <c r="S30" s="17">
        <f t="shared" si="10"/>
        <v>23035.88889</v>
      </c>
      <c r="T30" s="22">
        <f t="shared" si="11"/>
        <v>1</v>
      </c>
      <c r="U30" s="18">
        <f t="shared" si="12"/>
        <v>0.8571428571</v>
      </c>
      <c r="V30" s="21"/>
      <c r="W30" s="21">
        <v>44088.0</v>
      </c>
      <c r="X30" s="16">
        <v>0.0</v>
      </c>
      <c r="Y30" s="24"/>
    </row>
    <row r="31" ht="15.75" customHeight="1">
      <c r="A31" s="32">
        <v>46166.0</v>
      </c>
      <c r="B31" s="23" t="str">
        <f t="shared" si="2"/>
        <v>日</v>
      </c>
      <c r="C31" s="16">
        <v>700000.0</v>
      </c>
      <c r="D31" s="25">
        <f t="shared" si="3"/>
        <v>16300000</v>
      </c>
      <c r="E31" s="16">
        <v>114650.0</v>
      </c>
      <c r="F31" s="16">
        <v>427560.0</v>
      </c>
      <c r="G31" s="25">
        <f t="shared" si="4"/>
        <v>542210</v>
      </c>
      <c r="H31" s="25">
        <f t="shared" si="5"/>
        <v>9551171</v>
      </c>
      <c r="I31" s="27">
        <f t="shared" ref="I31:J31" si="38">IF(G31="","",IFERROR(G31/C31,""))</f>
        <v>0.7745857143</v>
      </c>
      <c r="J31" s="27">
        <f t="shared" si="38"/>
        <v>0.585961411</v>
      </c>
      <c r="K31" s="25">
        <f t="shared" si="7"/>
        <v>-6748829</v>
      </c>
      <c r="L31" s="33" t="str">
        <f t="shared" si="8"/>
        <v>▲ 遅れ</v>
      </c>
      <c r="M31" s="21">
        <v>24.0</v>
      </c>
      <c r="N31" s="21">
        <v>24.0</v>
      </c>
      <c r="O31" s="21">
        <v>59.0</v>
      </c>
      <c r="P31" s="21">
        <v>42.0</v>
      </c>
      <c r="Q31" s="21">
        <v>71.0</v>
      </c>
      <c r="R31" s="27">
        <f t="shared" si="9"/>
        <v>0.406779661</v>
      </c>
      <c r="S31" s="25">
        <f t="shared" si="10"/>
        <v>22592.08333</v>
      </c>
      <c r="T31" s="34">
        <f t="shared" si="11"/>
        <v>1</v>
      </c>
      <c r="U31" s="27">
        <f t="shared" si="12"/>
        <v>0.7118644068</v>
      </c>
      <c r="V31" s="21"/>
      <c r="W31" s="21">
        <v>44130.0</v>
      </c>
      <c r="X31" s="16">
        <v>0.0</v>
      </c>
      <c r="Y31" s="24"/>
    </row>
    <row r="32" ht="15.75" customHeight="1">
      <c r="A32" s="14">
        <v>46167.0</v>
      </c>
      <c r="B32" s="15" t="str">
        <f t="shared" si="2"/>
        <v>月</v>
      </c>
      <c r="C32" s="16">
        <v>500000.0</v>
      </c>
      <c r="D32" s="17">
        <f t="shared" si="3"/>
        <v>16800000</v>
      </c>
      <c r="E32" s="16">
        <v>78530.0</v>
      </c>
      <c r="F32" s="16">
        <v>438570.0</v>
      </c>
      <c r="G32" s="17">
        <f t="shared" si="4"/>
        <v>517100</v>
      </c>
      <c r="H32" s="17">
        <f t="shared" si="5"/>
        <v>10068271</v>
      </c>
      <c r="I32" s="18">
        <f t="shared" ref="I32:J32" si="39">IF(G32="","",IFERROR(G32/C32,""))</f>
        <v>1.0342</v>
      </c>
      <c r="J32" s="18">
        <f t="shared" si="39"/>
        <v>0.5993018452</v>
      </c>
      <c r="K32" s="17">
        <f t="shared" si="7"/>
        <v>-6731729</v>
      </c>
      <c r="L32" s="19" t="str">
        <f t="shared" si="8"/>
        <v>▲ 遅れ</v>
      </c>
      <c r="M32" s="21">
        <v>23.0</v>
      </c>
      <c r="N32" s="21">
        <v>24.0</v>
      </c>
      <c r="O32" s="21">
        <v>57.0</v>
      </c>
      <c r="P32" s="21">
        <v>38.0</v>
      </c>
      <c r="Q32" s="21">
        <v>65.0</v>
      </c>
      <c r="R32" s="18">
        <f t="shared" si="9"/>
        <v>0.4035087719</v>
      </c>
      <c r="S32" s="17">
        <f t="shared" si="10"/>
        <v>22482.6087</v>
      </c>
      <c r="T32" s="22">
        <f t="shared" si="11"/>
        <v>1.043478261</v>
      </c>
      <c r="U32" s="18">
        <f t="shared" si="12"/>
        <v>0.6666666667</v>
      </c>
      <c r="V32" s="21"/>
      <c r="W32" s="21">
        <v>44139.0</v>
      </c>
      <c r="X32" s="16">
        <v>0.0</v>
      </c>
      <c r="Y32" s="24"/>
    </row>
    <row r="33" ht="15.75" customHeight="1">
      <c r="A33" s="32">
        <v>46168.0</v>
      </c>
      <c r="B33" s="23" t="str">
        <f t="shared" si="2"/>
        <v>火</v>
      </c>
      <c r="C33" s="16">
        <v>500000.0</v>
      </c>
      <c r="D33" s="25">
        <f t="shared" si="3"/>
        <v>17300000</v>
      </c>
      <c r="E33" s="16">
        <v>71430.0</v>
      </c>
      <c r="F33" s="16">
        <v>201170.0</v>
      </c>
      <c r="G33" s="25">
        <f t="shared" si="4"/>
        <v>272600</v>
      </c>
      <c r="H33" s="25">
        <f t="shared" si="5"/>
        <v>10340871</v>
      </c>
      <c r="I33" s="27">
        <f t="shared" ref="I33:J33" si="40">IF(G33="","",IFERROR(G33/C33,""))</f>
        <v>0.5452</v>
      </c>
      <c r="J33" s="27">
        <f t="shared" si="40"/>
        <v>0.5977382081</v>
      </c>
      <c r="K33" s="25">
        <f t="shared" si="7"/>
        <v>-6959129</v>
      </c>
      <c r="L33" s="33" t="str">
        <f t="shared" si="8"/>
        <v>▲ 遅れ</v>
      </c>
      <c r="M33" s="21">
        <v>12.0</v>
      </c>
      <c r="N33" s="21">
        <v>12.0</v>
      </c>
      <c r="O33" s="21">
        <v>37.0</v>
      </c>
      <c r="P33" s="21">
        <v>17.0</v>
      </c>
      <c r="Q33" s="21">
        <v>30.0</v>
      </c>
      <c r="R33" s="27">
        <f t="shared" si="9"/>
        <v>0.3243243243</v>
      </c>
      <c r="S33" s="25">
        <f t="shared" si="10"/>
        <v>22716.66667</v>
      </c>
      <c r="T33" s="34">
        <f t="shared" si="11"/>
        <v>1</v>
      </c>
      <c r="U33" s="27">
        <f t="shared" si="12"/>
        <v>0.4594594595</v>
      </c>
      <c r="V33" s="21"/>
      <c r="W33" s="21">
        <v>44144.0</v>
      </c>
      <c r="X33" s="16">
        <v>0.0</v>
      </c>
      <c r="Y33" s="24"/>
    </row>
    <row r="34" ht="15.75" customHeight="1">
      <c r="A34" s="14">
        <v>46169.0</v>
      </c>
      <c r="B34" s="15" t="str">
        <f t="shared" si="2"/>
        <v>水</v>
      </c>
      <c r="C34" s="16">
        <v>500000.0</v>
      </c>
      <c r="D34" s="17">
        <f t="shared" si="3"/>
        <v>17800000</v>
      </c>
      <c r="E34" s="16">
        <v>45530.0</v>
      </c>
      <c r="F34" s="16">
        <v>433860.0</v>
      </c>
      <c r="G34" s="17">
        <f t="shared" si="4"/>
        <v>479390</v>
      </c>
      <c r="H34" s="17">
        <f t="shared" si="5"/>
        <v>10820261</v>
      </c>
      <c r="I34" s="18">
        <f t="shared" ref="I34:J34" si="41">IF(G34="","",IFERROR(G34/C34,""))</f>
        <v>0.95878</v>
      </c>
      <c r="J34" s="18">
        <f t="shared" si="41"/>
        <v>0.6078798315</v>
      </c>
      <c r="K34" s="17">
        <f t="shared" si="7"/>
        <v>-6979739</v>
      </c>
      <c r="L34" s="19" t="str">
        <f t="shared" si="8"/>
        <v>▲ 遅れ</v>
      </c>
      <c r="M34" s="21">
        <v>19.0</v>
      </c>
      <c r="N34" s="21">
        <v>25.0</v>
      </c>
      <c r="O34" s="21">
        <v>37.0</v>
      </c>
      <c r="P34" s="21">
        <v>28.0</v>
      </c>
      <c r="Q34" s="21">
        <v>44.0</v>
      </c>
      <c r="R34" s="18">
        <f t="shared" si="9"/>
        <v>0.5135135135</v>
      </c>
      <c r="S34" s="17">
        <f t="shared" si="10"/>
        <v>25231.05263</v>
      </c>
      <c r="T34" s="22">
        <f t="shared" si="11"/>
        <v>1.315789474</v>
      </c>
      <c r="U34" s="18">
        <f t="shared" si="12"/>
        <v>0.7567567568</v>
      </c>
      <c r="V34" s="21"/>
      <c r="W34" s="21">
        <v>44155.0</v>
      </c>
      <c r="X34" s="16">
        <v>0.0</v>
      </c>
      <c r="Y34" s="24"/>
    </row>
    <row r="35" ht="15.75" customHeight="1">
      <c r="A35" s="32">
        <v>46170.0</v>
      </c>
      <c r="B35" s="23" t="str">
        <f t="shared" si="2"/>
        <v>木</v>
      </c>
      <c r="C35" s="16">
        <v>500000.0</v>
      </c>
      <c r="D35" s="25">
        <f t="shared" si="3"/>
        <v>18300000</v>
      </c>
      <c r="E35" s="16">
        <v>67920.0</v>
      </c>
      <c r="F35" s="16">
        <v>291474.0</v>
      </c>
      <c r="G35" s="25">
        <f t="shared" si="4"/>
        <v>359394</v>
      </c>
      <c r="H35" s="25">
        <f t="shared" si="5"/>
        <v>11179655</v>
      </c>
      <c r="I35" s="27">
        <f t="shared" ref="I35:J35" si="42">IF(G35="","",IFERROR(G35/C35,""))</f>
        <v>0.718788</v>
      </c>
      <c r="J35" s="27">
        <f t="shared" si="42"/>
        <v>0.6109101093</v>
      </c>
      <c r="K35" s="25">
        <f t="shared" si="7"/>
        <v>-7120345</v>
      </c>
      <c r="L35" s="33" t="str">
        <f t="shared" si="8"/>
        <v>▲ 遅れ</v>
      </c>
      <c r="M35" s="21">
        <v>17.0</v>
      </c>
      <c r="N35" s="21">
        <v>17.0</v>
      </c>
      <c r="O35" s="21">
        <v>36.0</v>
      </c>
      <c r="P35" s="21">
        <v>20.0</v>
      </c>
      <c r="Q35" s="21">
        <v>29.0</v>
      </c>
      <c r="R35" s="27">
        <f t="shared" si="9"/>
        <v>0.4722222222</v>
      </c>
      <c r="S35" s="25">
        <f t="shared" si="10"/>
        <v>21140.82353</v>
      </c>
      <c r="T35" s="34">
        <f t="shared" si="11"/>
        <v>1</v>
      </c>
      <c r="U35" s="27">
        <f t="shared" si="12"/>
        <v>0.5555555556</v>
      </c>
      <c r="V35" s="21"/>
      <c r="W35" s="21">
        <v>44172.0</v>
      </c>
      <c r="X35" s="16">
        <v>0.0</v>
      </c>
      <c r="Y35" s="24"/>
    </row>
    <row r="36" ht="15.75" customHeight="1">
      <c r="A36" s="14">
        <v>46171.0</v>
      </c>
      <c r="B36" s="15" t="str">
        <f t="shared" si="2"/>
        <v>金</v>
      </c>
      <c r="C36" s="16">
        <v>500000.0</v>
      </c>
      <c r="D36" s="17">
        <f t="shared" si="3"/>
        <v>18800000</v>
      </c>
      <c r="E36" s="16">
        <v>50320.0</v>
      </c>
      <c r="F36" s="16">
        <v>133930.0</v>
      </c>
      <c r="G36" s="17">
        <f t="shared" si="4"/>
        <v>184250</v>
      </c>
      <c r="H36" s="17">
        <f t="shared" si="5"/>
        <v>11363905</v>
      </c>
      <c r="I36" s="18">
        <f t="shared" ref="I36:J36" si="43">IF(G36="","",IFERROR(G36/C36,""))</f>
        <v>0.3685</v>
      </c>
      <c r="J36" s="18">
        <f t="shared" si="43"/>
        <v>0.6044630319</v>
      </c>
      <c r="K36" s="17">
        <f t="shared" si="7"/>
        <v>-7436095</v>
      </c>
      <c r="L36" s="19" t="str">
        <f t="shared" si="8"/>
        <v>▲ 遅れ</v>
      </c>
      <c r="M36" s="21">
        <v>8.0</v>
      </c>
      <c r="N36" s="21">
        <v>8.0</v>
      </c>
      <c r="O36" s="21">
        <v>24.0</v>
      </c>
      <c r="P36" s="21">
        <v>18.0</v>
      </c>
      <c r="Q36" s="21">
        <v>40.0</v>
      </c>
      <c r="R36" s="18">
        <f t="shared" si="9"/>
        <v>0.3333333333</v>
      </c>
      <c r="S36" s="17">
        <f t="shared" si="10"/>
        <v>23031.25</v>
      </c>
      <c r="T36" s="22">
        <f t="shared" si="11"/>
        <v>1</v>
      </c>
      <c r="U36" s="18">
        <f t="shared" si="12"/>
        <v>0.75</v>
      </c>
      <c r="V36" s="21"/>
      <c r="W36" s="21">
        <v>44168.0</v>
      </c>
      <c r="X36" s="16">
        <v>0.0</v>
      </c>
      <c r="Y36" s="44" t="s">
        <v>96</v>
      </c>
    </row>
    <row r="37" ht="15.75" customHeight="1">
      <c r="A37" s="32">
        <v>46172.0</v>
      </c>
      <c r="B37" s="23" t="str">
        <f t="shared" si="2"/>
        <v>土</v>
      </c>
      <c r="C37" s="16">
        <v>700000.0</v>
      </c>
      <c r="D37" s="25">
        <f t="shared" si="3"/>
        <v>19500000</v>
      </c>
      <c r="E37" s="16">
        <v>133350.0</v>
      </c>
      <c r="F37" s="16">
        <v>519970.0</v>
      </c>
      <c r="G37" s="25">
        <f t="shared" si="4"/>
        <v>653320</v>
      </c>
      <c r="H37" s="25">
        <f t="shared" si="5"/>
        <v>12017225</v>
      </c>
      <c r="I37" s="27">
        <f t="shared" ref="I37:J37" si="44">IF(G37="","",IFERROR(G37/C37,""))</f>
        <v>0.9333142857</v>
      </c>
      <c r="J37" s="27">
        <f t="shared" si="44"/>
        <v>0.6162679487</v>
      </c>
      <c r="K37" s="25">
        <f t="shared" si="7"/>
        <v>-7482775</v>
      </c>
      <c r="L37" s="33" t="str">
        <f t="shared" si="8"/>
        <v>▲ 遅れ</v>
      </c>
      <c r="M37" s="21">
        <v>28.0</v>
      </c>
      <c r="N37" s="21">
        <v>30.0</v>
      </c>
      <c r="O37" s="21">
        <v>53.0</v>
      </c>
      <c r="P37" s="21">
        <v>39.0</v>
      </c>
      <c r="Q37" s="21">
        <v>66.0</v>
      </c>
      <c r="R37" s="27">
        <f t="shared" si="9"/>
        <v>0.5283018868</v>
      </c>
      <c r="S37" s="25">
        <f t="shared" si="10"/>
        <v>23332.85714</v>
      </c>
      <c r="T37" s="34">
        <f t="shared" si="11"/>
        <v>1.071428571</v>
      </c>
      <c r="U37" s="27">
        <f t="shared" si="12"/>
        <v>0.7358490566</v>
      </c>
      <c r="V37" s="21"/>
      <c r="W37" s="21">
        <v>44159.0</v>
      </c>
      <c r="X37" s="16">
        <v>0.0</v>
      </c>
      <c r="Y37" s="24"/>
    </row>
    <row r="38" ht="15.75" customHeight="1">
      <c r="A38" s="14">
        <v>46173.0</v>
      </c>
      <c r="B38" s="15" t="str">
        <f t="shared" si="2"/>
        <v>日</v>
      </c>
      <c r="C38" s="16">
        <v>700000.0</v>
      </c>
      <c r="D38" s="17">
        <f t="shared" si="3"/>
        <v>20200000</v>
      </c>
      <c r="E38" s="16">
        <v>19910.0</v>
      </c>
      <c r="F38" s="16">
        <v>343917.0</v>
      </c>
      <c r="G38" s="17">
        <f t="shared" si="4"/>
        <v>363827</v>
      </c>
      <c r="H38" s="17">
        <f t="shared" si="5"/>
        <v>12381052</v>
      </c>
      <c r="I38" s="18">
        <f t="shared" ref="I38:J38" si="45">IF(G38="","",IFERROR(G38/C38,""))</f>
        <v>0.5197528571</v>
      </c>
      <c r="J38" s="18">
        <f t="shared" si="45"/>
        <v>0.6129233663</v>
      </c>
      <c r="K38" s="17">
        <f t="shared" si="7"/>
        <v>-7818948</v>
      </c>
      <c r="L38" s="19" t="str">
        <f t="shared" si="8"/>
        <v>▲ 遅れ</v>
      </c>
      <c r="M38" s="21">
        <v>15.0</v>
      </c>
      <c r="N38" s="21">
        <v>17.0</v>
      </c>
      <c r="O38" s="21">
        <v>56.0</v>
      </c>
      <c r="P38" s="21">
        <v>29.0</v>
      </c>
      <c r="Q38" s="21">
        <v>46.0</v>
      </c>
      <c r="R38" s="18">
        <f t="shared" si="9"/>
        <v>0.2678571429</v>
      </c>
      <c r="S38" s="17">
        <f t="shared" si="10"/>
        <v>24255.13333</v>
      </c>
      <c r="T38" s="22">
        <f t="shared" si="11"/>
        <v>1.133333333</v>
      </c>
      <c r="U38" s="18">
        <f t="shared" si="12"/>
        <v>0.5178571429</v>
      </c>
      <c r="V38" s="21"/>
      <c r="W38" s="21">
        <v>44164.0</v>
      </c>
      <c r="X38" s="16">
        <v>0.0</v>
      </c>
      <c r="Y38" s="24"/>
    </row>
    <row r="39" ht="15.75" customHeight="1">
      <c r="A39" s="45" t="s">
        <v>97</v>
      </c>
      <c r="B39" s="35"/>
      <c r="C39" s="36">
        <f>SUM(C8:C38)</f>
        <v>20200000</v>
      </c>
      <c r="D39" s="36">
        <f>C39</f>
        <v>20200000</v>
      </c>
      <c r="E39" s="36">
        <f t="shared" ref="E39:G39" si="46">SUM(E8:E38)</f>
        <v>2346367</v>
      </c>
      <c r="F39" s="36">
        <f t="shared" si="46"/>
        <v>10034685</v>
      </c>
      <c r="G39" s="36">
        <f t="shared" si="46"/>
        <v>12381052</v>
      </c>
      <c r="H39" s="36">
        <f>G39</f>
        <v>12381052</v>
      </c>
      <c r="I39" s="37">
        <f>IFERROR(G39/C39,"")</f>
        <v>0.6129233663</v>
      </c>
      <c r="J39" s="37">
        <f>IFERROR(G39/C39,"")</f>
        <v>0.6129233663</v>
      </c>
      <c r="K39" s="36">
        <f>G39-C39</f>
        <v>-7818948</v>
      </c>
      <c r="L39" s="46"/>
      <c r="M39" s="38">
        <f t="shared" ref="M39:Q39" si="47">SUM(M8:M38)</f>
        <v>537</v>
      </c>
      <c r="N39" s="38">
        <f t="shared" si="47"/>
        <v>594</v>
      </c>
      <c r="O39" s="38">
        <f t="shared" si="47"/>
        <v>1516</v>
      </c>
      <c r="P39" s="38">
        <f t="shared" si="47"/>
        <v>926</v>
      </c>
      <c r="Q39" s="38">
        <f t="shared" si="47"/>
        <v>1630</v>
      </c>
      <c r="R39" s="37">
        <f t="shared" si="9"/>
        <v>0.3542216359</v>
      </c>
      <c r="S39" s="36">
        <f t="shared" si="10"/>
        <v>23055.96276</v>
      </c>
      <c r="T39" s="47">
        <f t="shared" si="11"/>
        <v>1.106145251</v>
      </c>
      <c r="U39" s="37">
        <f t="shared" si="12"/>
        <v>0.610817942</v>
      </c>
      <c r="V39" s="38">
        <f>SUM(V8:V38)</f>
        <v>0</v>
      </c>
      <c r="W39" s="38">
        <f>IFERROR(LOOKUP(9.99E+307,W8:W38),"")</f>
        <v>44164</v>
      </c>
      <c r="X39" s="36">
        <f>SUM(X8:X38)</f>
        <v>0</v>
      </c>
      <c r="Y39" s="48" t="s">
        <v>107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4" width="13.57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26</v>
      </c>
      <c r="H3" s="6"/>
      <c r="I3" s="5" t="s">
        <v>8</v>
      </c>
      <c r="J3" s="6"/>
      <c r="K3" s="5" t="s">
        <v>9</v>
      </c>
      <c r="L3" s="6"/>
    </row>
    <row r="4">
      <c r="A4" s="7">
        <f>IF('設定'!$B$10="",SUM(C8:C37),'設定'!$B$10)</f>
        <v>17000000</v>
      </c>
      <c r="B4" s="6"/>
      <c r="C4" s="8">
        <f>SUM(G8:G37)</f>
        <v>10446643</v>
      </c>
      <c r="D4" s="6"/>
      <c r="E4" s="9">
        <f>IFERROR(C4/A4,0)</f>
        <v>0.6145084118</v>
      </c>
      <c r="F4" s="6"/>
      <c r="G4" s="10">
        <f>COUNTIF(G8:G37,"&gt;0")</f>
        <v>30</v>
      </c>
      <c r="H4" s="6"/>
      <c r="I4" s="8">
        <f>A4-C4</f>
        <v>6553357</v>
      </c>
      <c r="J4" s="6"/>
      <c r="K4" s="8">
        <f>IF((30-G4)&gt;0,(A4-C4)/(30-G4),0)</f>
        <v>0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SUM(C8:C37)</f>
        <v>18500000</v>
      </c>
      <c r="B6" s="6"/>
      <c r="C6" s="8">
        <f>IFERROR(C4/G4*30,0)</f>
        <v>10446643</v>
      </c>
      <c r="D6" s="6"/>
      <c r="E6" s="9">
        <f>IFERROR(M38/O38,0)</f>
        <v>0.3507404521</v>
      </c>
      <c r="F6" s="6"/>
      <c r="G6" s="8">
        <f>IFERROR(G38/M38,0)</f>
        <v>23214.76222</v>
      </c>
      <c r="H6" s="6"/>
      <c r="I6" s="11">
        <f>IFERROR(N38/M38,0)</f>
        <v>1.1</v>
      </c>
      <c r="J6" s="6"/>
      <c r="K6" s="9">
        <f>IFERROR(P38/O38,0)</f>
        <v>0.6087295401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46174.0</v>
      </c>
      <c r="B8" s="15" t="str">
        <f t="shared" ref="B8:B37" si="2">MID("日月火水木金土",WEEKDAY(A8),1)</f>
        <v>月</v>
      </c>
      <c r="C8" s="16">
        <v>600000.0</v>
      </c>
      <c r="D8" s="17">
        <f t="shared" ref="D8:D37" si="3">SUM($C$8:C8)</f>
        <v>600000</v>
      </c>
      <c r="E8" s="16">
        <v>2140.0</v>
      </c>
      <c r="F8" s="16">
        <v>313310.0</v>
      </c>
      <c r="G8" s="17">
        <f t="shared" ref="G8:G37" si="4">IF(COUNT(E8:F8)=0,"",SUM(E8:F8))</f>
        <v>315450</v>
      </c>
      <c r="H8" s="17">
        <f t="shared" ref="H8:H37" si="5">IF(G8="","",SUM($G$8:G8))</f>
        <v>315450</v>
      </c>
      <c r="I8" s="18">
        <f t="shared" ref="I8:J8" si="1">IF(G8="","",IFERROR(G8/C8,""))</f>
        <v>0.52575</v>
      </c>
      <c r="J8" s="18">
        <f t="shared" si="1"/>
        <v>0.52575</v>
      </c>
      <c r="K8" s="17">
        <f t="shared" ref="K8:K37" si="7">IF(H8="","",IF(D8=0,"",H8-D8))</f>
        <v>-284550</v>
      </c>
      <c r="L8" s="19" t="str">
        <f t="shared" ref="L8:L37" si="8">IF(G8="","—",IF(D8=0,"予算未入力",IF(H8&gt;=D8,"◎ ペース内","▲ 遅れ")))</f>
        <v>▲ 遅れ</v>
      </c>
      <c r="M8" s="21">
        <v>11.0</v>
      </c>
      <c r="N8" s="21">
        <v>18.0</v>
      </c>
      <c r="O8" s="21">
        <v>32.0</v>
      </c>
      <c r="P8" s="21">
        <v>23.0</v>
      </c>
      <c r="Q8" s="21">
        <v>25.0</v>
      </c>
      <c r="R8" s="18">
        <f t="shared" ref="R8:R38" si="9">IFERROR(M8/O8,"")</f>
        <v>0.34375</v>
      </c>
      <c r="S8" s="17">
        <f t="shared" ref="S8:S38" si="10">IFERROR(G8/M8,"")</f>
        <v>28677.27273</v>
      </c>
      <c r="T8" s="22">
        <f t="shared" ref="T8:T38" si="11">IFERROR(N8/M8,"")</f>
        <v>1.636363636</v>
      </c>
      <c r="U8" s="18">
        <f t="shared" ref="U8:U38" si="12">IFERROR(P8/O8,"")</f>
        <v>0.71875</v>
      </c>
      <c r="V8" s="21"/>
      <c r="W8" s="21">
        <v>44180.0</v>
      </c>
      <c r="X8" s="16">
        <v>0.0</v>
      </c>
      <c r="Y8" s="24"/>
      <c r="AA8" s="26" t="s">
        <v>48</v>
      </c>
      <c r="AB8" s="28">
        <f t="shared" ref="AB8:AB14" si="13">IFERROR(AVERAGEIFS($G$8:$G$37,$B$8:$B$37,AA8,$G$8:$G$37,"&gt;0"),0)</f>
        <v>351890.4</v>
      </c>
      <c r="AC8" s="30">
        <f t="shared" ref="AC8:AC14" si="14">COUNTIFS($B$8:$B$37,AA8,$G$8:$G$37,"&gt;0")</f>
        <v>5</v>
      </c>
      <c r="AD8" s="31">
        <f t="shared" ref="AD8:AD14" si="15">IFERROR(SUMIF($B$8:$B$37,AA8,$M$8:$M$37)/SUMIF($B$8:$B$37,AA8,$O$8:$O$37),0)</f>
        <v>0.34375</v>
      </c>
      <c r="AE8" s="28">
        <f t="shared" ref="AE8:AE14" si="16">IFERROR(SUMIF($B$8:$B$37,AA8,$G$8:$G$37)/SUMIF($B$8:$B$37,AA8,$M$8:$M$37),0)</f>
        <v>22850.02597</v>
      </c>
    </row>
    <row r="9">
      <c r="A9" s="32">
        <v>46175.0</v>
      </c>
      <c r="B9" s="23" t="str">
        <f t="shared" si="2"/>
        <v>火</v>
      </c>
      <c r="C9" s="16">
        <v>600000.0</v>
      </c>
      <c r="D9" s="25">
        <f t="shared" si="3"/>
        <v>1200000</v>
      </c>
      <c r="E9" s="16">
        <v>57800.0</v>
      </c>
      <c r="F9" s="16">
        <v>293885.0</v>
      </c>
      <c r="G9" s="25">
        <f t="shared" si="4"/>
        <v>351685</v>
      </c>
      <c r="H9" s="25">
        <f t="shared" si="5"/>
        <v>667135</v>
      </c>
      <c r="I9" s="27">
        <f t="shared" ref="I9:J9" si="6">IF(G9="","",IFERROR(G9/C9,""))</f>
        <v>0.5861416667</v>
      </c>
      <c r="J9" s="27">
        <f t="shared" si="6"/>
        <v>0.5559458333</v>
      </c>
      <c r="K9" s="25">
        <f t="shared" si="7"/>
        <v>-532865</v>
      </c>
      <c r="L9" s="33" t="str">
        <f t="shared" si="8"/>
        <v>▲ 遅れ</v>
      </c>
      <c r="M9" s="21">
        <v>16.0</v>
      </c>
      <c r="N9" s="21">
        <v>17.0</v>
      </c>
      <c r="O9" s="21">
        <v>32.0</v>
      </c>
      <c r="P9" s="21">
        <v>23.0</v>
      </c>
      <c r="Q9" s="21">
        <v>30.0</v>
      </c>
      <c r="R9" s="27">
        <f t="shared" si="9"/>
        <v>0.5</v>
      </c>
      <c r="S9" s="25">
        <f t="shared" si="10"/>
        <v>21980.3125</v>
      </c>
      <c r="T9" s="34">
        <f t="shared" si="11"/>
        <v>1.0625</v>
      </c>
      <c r="U9" s="27">
        <f t="shared" si="12"/>
        <v>0.71875</v>
      </c>
      <c r="V9" s="21"/>
      <c r="W9" s="21">
        <v>44179.0</v>
      </c>
      <c r="X9" s="16">
        <v>0.0</v>
      </c>
      <c r="Y9" s="24"/>
      <c r="AA9" s="26" t="s">
        <v>58</v>
      </c>
      <c r="AB9" s="28">
        <f t="shared" si="13"/>
        <v>334181</v>
      </c>
      <c r="AC9" s="30">
        <f t="shared" si="14"/>
        <v>5</v>
      </c>
      <c r="AD9" s="31">
        <f t="shared" si="15"/>
        <v>0.354679803</v>
      </c>
      <c r="AE9" s="28">
        <f t="shared" si="16"/>
        <v>23207.01389</v>
      </c>
    </row>
    <row r="10">
      <c r="A10" s="14">
        <v>46176.0</v>
      </c>
      <c r="B10" s="15" t="str">
        <f t="shared" si="2"/>
        <v>水</v>
      </c>
      <c r="C10" s="16">
        <v>600000.0</v>
      </c>
      <c r="D10" s="17">
        <f t="shared" si="3"/>
        <v>1800000</v>
      </c>
      <c r="E10" s="16">
        <v>17710.0</v>
      </c>
      <c r="F10" s="16">
        <v>94430.0</v>
      </c>
      <c r="G10" s="17">
        <f t="shared" si="4"/>
        <v>112140</v>
      </c>
      <c r="H10" s="17">
        <f t="shared" si="5"/>
        <v>779275</v>
      </c>
      <c r="I10" s="18">
        <f t="shared" ref="I10:J10" si="17">IF(G10="","",IFERROR(G10/C10,""))</f>
        <v>0.1869</v>
      </c>
      <c r="J10" s="18">
        <f t="shared" si="17"/>
        <v>0.4329305556</v>
      </c>
      <c r="K10" s="17">
        <f t="shared" si="7"/>
        <v>-1020725</v>
      </c>
      <c r="L10" s="19" t="str">
        <f t="shared" si="8"/>
        <v>▲ 遅れ</v>
      </c>
      <c r="M10" s="21">
        <v>4.0</v>
      </c>
      <c r="N10" s="21">
        <v>5.0</v>
      </c>
      <c r="O10" s="21">
        <v>16.0</v>
      </c>
      <c r="P10" s="21">
        <v>8.0</v>
      </c>
      <c r="Q10" s="21">
        <v>14.0</v>
      </c>
      <c r="R10" s="18">
        <f t="shared" si="9"/>
        <v>0.25</v>
      </c>
      <c r="S10" s="17">
        <f t="shared" si="10"/>
        <v>28035</v>
      </c>
      <c r="T10" s="22">
        <f t="shared" si="11"/>
        <v>1.25</v>
      </c>
      <c r="U10" s="18">
        <f t="shared" si="12"/>
        <v>0.5</v>
      </c>
      <c r="V10" s="21"/>
      <c r="W10" s="21">
        <v>44183.0</v>
      </c>
      <c r="X10" s="16">
        <v>0.0</v>
      </c>
      <c r="Y10" s="24"/>
      <c r="AA10" s="26" t="s">
        <v>61</v>
      </c>
      <c r="AB10" s="28">
        <f t="shared" si="13"/>
        <v>243846.25</v>
      </c>
      <c r="AC10" s="30">
        <f t="shared" si="14"/>
        <v>4</v>
      </c>
      <c r="AD10" s="31">
        <f t="shared" si="15"/>
        <v>0.3037037037</v>
      </c>
      <c r="AE10" s="28">
        <f t="shared" si="16"/>
        <v>23789.87805</v>
      </c>
    </row>
    <row r="11">
      <c r="A11" s="32">
        <v>46177.0</v>
      </c>
      <c r="B11" s="23" t="str">
        <f t="shared" si="2"/>
        <v>木</v>
      </c>
      <c r="C11" s="16">
        <v>600000.0</v>
      </c>
      <c r="D11" s="25">
        <f t="shared" si="3"/>
        <v>2400000</v>
      </c>
      <c r="E11" s="16">
        <v>24310.0</v>
      </c>
      <c r="F11" s="16">
        <v>288052.0</v>
      </c>
      <c r="G11" s="25">
        <f t="shared" si="4"/>
        <v>312362</v>
      </c>
      <c r="H11" s="25">
        <f t="shared" si="5"/>
        <v>1091637</v>
      </c>
      <c r="I11" s="27">
        <f t="shared" ref="I11:J11" si="18">IF(G11="","",IFERROR(G11/C11,""))</f>
        <v>0.5206033333</v>
      </c>
      <c r="J11" s="27">
        <f t="shared" si="18"/>
        <v>0.45484875</v>
      </c>
      <c r="K11" s="25">
        <f t="shared" si="7"/>
        <v>-1308363</v>
      </c>
      <c r="L11" s="33" t="str">
        <f t="shared" si="8"/>
        <v>▲ 遅れ</v>
      </c>
      <c r="M11" s="21">
        <v>16.0</v>
      </c>
      <c r="N11" s="21">
        <v>15.0</v>
      </c>
      <c r="O11" s="21">
        <v>24.0</v>
      </c>
      <c r="P11" s="21">
        <v>19.0</v>
      </c>
      <c r="Q11" s="21">
        <v>22.0</v>
      </c>
      <c r="R11" s="27">
        <f t="shared" si="9"/>
        <v>0.6666666667</v>
      </c>
      <c r="S11" s="25">
        <f t="shared" si="10"/>
        <v>19522.625</v>
      </c>
      <c r="T11" s="34">
        <f t="shared" si="11"/>
        <v>0.9375</v>
      </c>
      <c r="U11" s="27">
        <f t="shared" si="12"/>
        <v>0.7916666667</v>
      </c>
      <c r="V11" s="21"/>
      <c r="W11" s="21">
        <v>44187.0</v>
      </c>
      <c r="X11" s="16">
        <v>0.0</v>
      </c>
      <c r="Y11" s="24"/>
      <c r="AA11" s="26" t="s">
        <v>64</v>
      </c>
      <c r="AB11" s="28">
        <f t="shared" si="13"/>
        <v>301174.75</v>
      </c>
      <c r="AC11" s="30">
        <f t="shared" si="14"/>
        <v>4</v>
      </c>
      <c r="AD11" s="31">
        <f t="shared" si="15"/>
        <v>0.298245614</v>
      </c>
      <c r="AE11" s="28">
        <f t="shared" si="16"/>
        <v>23621.54902</v>
      </c>
    </row>
    <row r="12">
      <c r="A12" s="14">
        <v>46178.0</v>
      </c>
      <c r="B12" s="15" t="str">
        <f t="shared" si="2"/>
        <v>金</v>
      </c>
      <c r="C12" s="16">
        <v>600000.0</v>
      </c>
      <c r="D12" s="17">
        <f t="shared" si="3"/>
        <v>3000000</v>
      </c>
      <c r="E12" s="16">
        <v>100200.0</v>
      </c>
      <c r="F12" s="16">
        <v>198050.0</v>
      </c>
      <c r="G12" s="17">
        <f t="shared" si="4"/>
        <v>298250</v>
      </c>
      <c r="H12" s="17">
        <f t="shared" si="5"/>
        <v>1389887</v>
      </c>
      <c r="I12" s="18">
        <f t="shared" ref="I12:J12" si="19">IF(G12="","",IFERROR(G12/C12,""))</f>
        <v>0.4970833333</v>
      </c>
      <c r="J12" s="18">
        <f t="shared" si="19"/>
        <v>0.4632956667</v>
      </c>
      <c r="K12" s="17">
        <f t="shared" si="7"/>
        <v>-1610113</v>
      </c>
      <c r="L12" s="19" t="str">
        <f t="shared" si="8"/>
        <v>▲ 遅れ</v>
      </c>
      <c r="M12" s="21">
        <v>13.0</v>
      </c>
      <c r="N12" s="21">
        <v>16.0</v>
      </c>
      <c r="O12" s="21">
        <v>38.0</v>
      </c>
      <c r="P12" s="21">
        <v>14.0</v>
      </c>
      <c r="Q12" s="21">
        <v>22.0</v>
      </c>
      <c r="R12" s="18">
        <f t="shared" si="9"/>
        <v>0.3421052632</v>
      </c>
      <c r="S12" s="17">
        <f t="shared" si="10"/>
        <v>22942.30769</v>
      </c>
      <c r="T12" s="22">
        <f t="shared" si="11"/>
        <v>1.230769231</v>
      </c>
      <c r="U12" s="18">
        <f t="shared" si="12"/>
        <v>0.3684210526</v>
      </c>
      <c r="V12" s="21"/>
      <c r="W12" s="21">
        <v>44186.0</v>
      </c>
      <c r="X12" s="16">
        <v>0.0</v>
      </c>
      <c r="Y12" s="24"/>
      <c r="AA12" s="26" t="s">
        <v>67</v>
      </c>
      <c r="AB12" s="28">
        <f t="shared" si="13"/>
        <v>290082.5</v>
      </c>
      <c r="AC12" s="30">
        <f t="shared" si="14"/>
        <v>4</v>
      </c>
      <c r="AD12" s="31">
        <f t="shared" si="15"/>
        <v>0.3834586466</v>
      </c>
      <c r="AE12" s="28">
        <f t="shared" si="16"/>
        <v>22751.56863</v>
      </c>
    </row>
    <row r="13">
      <c r="A13" s="32">
        <v>46179.0</v>
      </c>
      <c r="B13" s="23" t="str">
        <f t="shared" si="2"/>
        <v>土</v>
      </c>
      <c r="C13" s="16">
        <v>900000.0</v>
      </c>
      <c r="D13" s="25">
        <f t="shared" si="3"/>
        <v>3900000</v>
      </c>
      <c r="E13" s="16">
        <v>143050.0</v>
      </c>
      <c r="F13" s="16">
        <v>404400.0</v>
      </c>
      <c r="G13" s="25">
        <f t="shared" si="4"/>
        <v>547450</v>
      </c>
      <c r="H13" s="25">
        <f t="shared" si="5"/>
        <v>1937337</v>
      </c>
      <c r="I13" s="27">
        <f t="shared" ref="I13:J13" si="20">IF(G13="","",IFERROR(G13/C13,""))</f>
        <v>0.6082777778</v>
      </c>
      <c r="J13" s="27">
        <f t="shared" si="20"/>
        <v>0.4967530769</v>
      </c>
      <c r="K13" s="25">
        <f t="shared" si="7"/>
        <v>-1962663</v>
      </c>
      <c r="L13" s="33" t="str">
        <f t="shared" si="8"/>
        <v>▲ 遅れ</v>
      </c>
      <c r="M13" s="21">
        <v>23.0</v>
      </c>
      <c r="N13" s="21">
        <v>24.0</v>
      </c>
      <c r="O13" s="21">
        <v>45.0</v>
      </c>
      <c r="P13" s="21">
        <v>35.0</v>
      </c>
      <c r="Q13" s="21">
        <v>59.0</v>
      </c>
      <c r="R13" s="27">
        <f t="shared" si="9"/>
        <v>0.5111111111</v>
      </c>
      <c r="S13" s="25">
        <f t="shared" si="10"/>
        <v>23802.17391</v>
      </c>
      <c r="T13" s="34">
        <f t="shared" si="11"/>
        <v>1.043478261</v>
      </c>
      <c r="U13" s="27">
        <f t="shared" si="12"/>
        <v>0.7777777778</v>
      </c>
      <c r="V13" s="21"/>
      <c r="W13" s="21">
        <v>44182.0</v>
      </c>
      <c r="X13" s="16">
        <v>0.0</v>
      </c>
      <c r="Y13" s="24"/>
      <c r="AA13" s="26" t="s">
        <v>69</v>
      </c>
      <c r="AB13" s="28">
        <f t="shared" si="13"/>
        <v>384109.5</v>
      </c>
      <c r="AC13" s="30">
        <f t="shared" si="14"/>
        <v>4</v>
      </c>
      <c r="AD13" s="31">
        <f t="shared" si="15"/>
        <v>0.3764044944</v>
      </c>
      <c r="AE13" s="28">
        <f t="shared" si="16"/>
        <v>22931.91045</v>
      </c>
    </row>
    <row r="14">
      <c r="A14" s="14">
        <v>46180.0</v>
      </c>
      <c r="B14" s="15" t="str">
        <f t="shared" si="2"/>
        <v>日</v>
      </c>
      <c r="C14" s="16">
        <v>800000.0</v>
      </c>
      <c r="D14" s="17">
        <f t="shared" si="3"/>
        <v>4700000</v>
      </c>
      <c r="E14" s="16">
        <v>113157.0</v>
      </c>
      <c r="F14" s="16">
        <v>253510.0</v>
      </c>
      <c r="G14" s="17">
        <f t="shared" si="4"/>
        <v>366667</v>
      </c>
      <c r="H14" s="17">
        <f t="shared" si="5"/>
        <v>2304004</v>
      </c>
      <c r="I14" s="18">
        <f t="shared" ref="I14:J14" si="21">IF(G14="","",IFERROR(G14/C14,""))</f>
        <v>0.45833375</v>
      </c>
      <c r="J14" s="18">
        <f t="shared" si="21"/>
        <v>0.490213617</v>
      </c>
      <c r="K14" s="17">
        <f t="shared" si="7"/>
        <v>-2395996</v>
      </c>
      <c r="L14" s="19" t="str">
        <f t="shared" si="8"/>
        <v>▲ 遅れ</v>
      </c>
      <c r="M14" s="21">
        <v>16.0</v>
      </c>
      <c r="N14" s="21">
        <v>16.0</v>
      </c>
      <c r="O14" s="21">
        <v>57.0</v>
      </c>
      <c r="P14" s="21">
        <v>40.0</v>
      </c>
      <c r="Q14" s="21">
        <v>47.0</v>
      </c>
      <c r="R14" s="18">
        <f t="shared" si="9"/>
        <v>0.2807017544</v>
      </c>
      <c r="S14" s="17">
        <f t="shared" si="10"/>
        <v>22916.6875</v>
      </c>
      <c r="T14" s="22">
        <f t="shared" si="11"/>
        <v>1</v>
      </c>
      <c r="U14" s="18">
        <f t="shared" si="12"/>
        <v>0.701754386</v>
      </c>
      <c r="V14" s="21"/>
      <c r="W14" s="21">
        <v>44173.0</v>
      </c>
      <c r="X14" s="16">
        <v>0.0</v>
      </c>
      <c r="Y14" s="24"/>
      <c r="AA14" s="26" t="s">
        <v>71</v>
      </c>
      <c r="AB14" s="28">
        <f t="shared" si="13"/>
        <v>534858.5</v>
      </c>
      <c r="AC14" s="30">
        <f t="shared" si="14"/>
        <v>4</v>
      </c>
      <c r="AD14" s="31">
        <f t="shared" si="15"/>
        <v>0.3807531381</v>
      </c>
      <c r="AE14" s="28">
        <f t="shared" si="16"/>
        <v>23510.26374</v>
      </c>
    </row>
    <row r="15">
      <c r="A15" s="32">
        <v>46181.0</v>
      </c>
      <c r="B15" s="23" t="str">
        <f t="shared" si="2"/>
        <v>月</v>
      </c>
      <c r="C15" s="16">
        <v>500000.0</v>
      </c>
      <c r="D15" s="25">
        <f t="shared" si="3"/>
        <v>5200000</v>
      </c>
      <c r="E15" s="16">
        <v>59977.0</v>
      </c>
      <c r="F15" s="16">
        <v>258865.0</v>
      </c>
      <c r="G15" s="25">
        <f t="shared" si="4"/>
        <v>318842</v>
      </c>
      <c r="H15" s="25">
        <f t="shared" si="5"/>
        <v>2622846</v>
      </c>
      <c r="I15" s="27">
        <f t="shared" ref="I15:J15" si="22">IF(G15="","",IFERROR(G15/C15,""))</f>
        <v>0.637684</v>
      </c>
      <c r="J15" s="27">
        <f t="shared" si="22"/>
        <v>0.5043934615</v>
      </c>
      <c r="K15" s="25">
        <f t="shared" si="7"/>
        <v>-2577154</v>
      </c>
      <c r="L15" s="33" t="str">
        <f t="shared" si="8"/>
        <v>▲ 遅れ</v>
      </c>
      <c r="M15" s="21">
        <v>14.0</v>
      </c>
      <c r="N15" s="21">
        <v>16.0</v>
      </c>
      <c r="O15" s="21">
        <v>54.0</v>
      </c>
      <c r="P15" s="21">
        <v>45.0</v>
      </c>
      <c r="Q15" s="21">
        <v>49.0</v>
      </c>
      <c r="R15" s="27">
        <f t="shared" si="9"/>
        <v>0.2592592593</v>
      </c>
      <c r="S15" s="25">
        <f t="shared" si="10"/>
        <v>22774.42857</v>
      </c>
      <c r="T15" s="34">
        <f t="shared" si="11"/>
        <v>1.142857143</v>
      </c>
      <c r="U15" s="27">
        <f t="shared" si="12"/>
        <v>0.8333333333</v>
      </c>
      <c r="V15" s="21"/>
      <c r="W15" s="21">
        <v>44186.0</v>
      </c>
      <c r="X15" s="16">
        <v>0.0</v>
      </c>
      <c r="Y15" s="24"/>
    </row>
    <row r="16">
      <c r="A16" s="14">
        <v>46182.0</v>
      </c>
      <c r="B16" s="15" t="str">
        <f t="shared" si="2"/>
        <v>火</v>
      </c>
      <c r="C16" s="16">
        <v>500000.0</v>
      </c>
      <c r="D16" s="17">
        <f t="shared" si="3"/>
        <v>5700000</v>
      </c>
      <c r="E16" s="16">
        <v>87330.0</v>
      </c>
      <c r="F16" s="16">
        <v>209920.0</v>
      </c>
      <c r="G16" s="17">
        <f t="shared" si="4"/>
        <v>297250</v>
      </c>
      <c r="H16" s="17">
        <f t="shared" si="5"/>
        <v>2920096</v>
      </c>
      <c r="I16" s="18">
        <f t="shared" ref="I16:J16" si="23">IF(G16="","",IFERROR(G16/C16,""))</f>
        <v>0.5945</v>
      </c>
      <c r="J16" s="18">
        <f t="shared" si="23"/>
        <v>0.5122975439</v>
      </c>
      <c r="K16" s="17">
        <f t="shared" si="7"/>
        <v>-2779904</v>
      </c>
      <c r="L16" s="19" t="str">
        <f t="shared" si="8"/>
        <v>▲ 遅れ</v>
      </c>
      <c r="M16" s="21">
        <v>14.0</v>
      </c>
      <c r="N16" s="21">
        <v>15.0</v>
      </c>
      <c r="O16" s="21">
        <v>41.0</v>
      </c>
      <c r="P16" s="21">
        <v>19.0</v>
      </c>
      <c r="Q16" s="21"/>
      <c r="R16" s="18">
        <f t="shared" si="9"/>
        <v>0.3414634146</v>
      </c>
      <c r="S16" s="17">
        <f t="shared" si="10"/>
        <v>21232.14286</v>
      </c>
      <c r="T16" s="22">
        <f t="shared" si="11"/>
        <v>1.071428571</v>
      </c>
      <c r="U16" s="18">
        <f t="shared" si="12"/>
        <v>0.4634146341</v>
      </c>
      <c r="V16" s="21"/>
      <c r="W16" s="21">
        <v>44176.0</v>
      </c>
      <c r="X16" s="16">
        <v>0.0</v>
      </c>
      <c r="Y16" s="24"/>
      <c r="AA16" s="39" t="s">
        <v>75</v>
      </c>
    </row>
    <row r="17">
      <c r="A17" s="32">
        <v>46183.0</v>
      </c>
      <c r="B17" s="23" t="str">
        <f t="shared" si="2"/>
        <v>水</v>
      </c>
      <c r="C17" s="16">
        <v>500000.0</v>
      </c>
      <c r="D17" s="25">
        <f t="shared" si="3"/>
        <v>6200000</v>
      </c>
      <c r="E17" s="16">
        <v>65545.0</v>
      </c>
      <c r="F17" s="16">
        <v>208870.0</v>
      </c>
      <c r="G17" s="25">
        <f t="shared" si="4"/>
        <v>274415</v>
      </c>
      <c r="H17" s="25">
        <f t="shared" si="5"/>
        <v>3194511</v>
      </c>
      <c r="I17" s="27">
        <f t="shared" ref="I17:J17" si="24">IF(G17="","",IFERROR(G17/C17,""))</f>
        <v>0.54883</v>
      </c>
      <c r="J17" s="27">
        <f t="shared" si="24"/>
        <v>0.5152437097</v>
      </c>
      <c r="K17" s="25">
        <f t="shared" si="7"/>
        <v>-3005489</v>
      </c>
      <c r="L17" s="33" t="str">
        <f t="shared" si="8"/>
        <v>▲ 遅れ</v>
      </c>
      <c r="M17" s="21">
        <v>13.0</v>
      </c>
      <c r="N17" s="21">
        <v>14.0</v>
      </c>
      <c r="O17" s="21">
        <v>54.0</v>
      </c>
      <c r="P17" s="21">
        <v>29.0</v>
      </c>
      <c r="Q17" s="21">
        <v>38.0</v>
      </c>
      <c r="R17" s="27">
        <f t="shared" si="9"/>
        <v>0.2407407407</v>
      </c>
      <c r="S17" s="25">
        <f t="shared" si="10"/>
        <v>21108.84615</v>
      </c>
      <c r="T17" s="34">
        <f t="shared" si="11"/>
        <v>1.076923077</v>
      </c>
      <c r="U17" s="27">
        <f t="shared" si="12"/>
        <v>0.537037037</v>
      </c>
      <c r="V17" s="21"/>
      <c r="W17" s="21">
        <v>44170.0</v>
      </c>
      <c r="X17" s="16">
        <v>0.0</v>
      </c>
      <c r="Y17" s="24"/>
    </row>
    <row r="18">
      <c r="A18" s="14">
        <v>46184.0</v>
      </c>
      <c r="B18" s="15" t="str">
        <f t="shared" si="2"/>
        <v>木</v>
      </c>
      <c r="C18" s="16">
        <v>500000.0</v>
      </c>
      <c r="D18" s="17">
        <f t="shared" si="3"/>
        <v>6700000</v>
      </c>
      <c r="E18" s="16">
        <v>50480.0</v>
      </c>
      <c r="F18" s="16">
        <v>219540.0</v>
      </c>
      <c r="G18" s="17">
        <f t="shared" si="4"/>
        <v>270020</v>
      </c>
      <c r="H18" s="17">
        <f t="shared" si="5"/>
        <v>3464531</v>
      </c>
      <c r="I18" s="18">
        <f t="shared" ref="I18:J18" si="25">IF(G18="","",IFERROR(G18/C18,""))</f>
        <v>0.54004</v>
      </c>
      <c r="J18" s="18">
        <f t="shared" si="25"/>
        <v>0.5170941791</v>
      </c>
      <c r="K18" s="17">
        <f t="shared" si="7"/>
        <v>-3235469</v>
      </c>
      <c r="L18" s="19" t="str">
        <f t="shared" si="8"/>
        <v>▲ 遅れ</v>
      </c>
      <c r="M18" s="21">
        <v>8.0</v>
      </c>
      <c r="N18" s="21">
        <v>17.0</v>
      </c>
      <c r="O18" s="21">
        <v>51.0</v>
      </c>
      <c r="P18" s="21">
        <v>21.0</v>
      </c>
      <c r="Q18" s="21">
        <v>28.0</v>
      </c>
      <c r="R18" s="18">
        <f t="shared" si="9"/>
        <v>0.1568627451</v>
      </c>
      <c r="S18" s="17">
        <f t="shared" si="10"/>
        <v>33752.5</v>
      </c>
      <c r="T18" s="22">
        <f t="shared" si="11"/>
        <v>2.125</v>
      </c>
      <c r="U18" s="18">
        <f t="shared" si="12"/>
        <v>0.4117647059</v>
      </c>
      <c r="V18" s="21"/>
      <c r="W18" s="21">
        <v>44179.0</v>
      </c>
      <c r="X18" s="16">
        <v>0.0</v>
      </c>
      <c r="Y18" s="24"/>
      <c r="AA18" s="40" t="s">
        <v>76</v>
      </c>
      <c r="AH18" s="39" t="s">
        <v>81</v>
      </c>
      <c r="AI18" s="41">
        <f>$A$8+MOD(2-WEEKDAY($A$8,2)+7,7)</f>
        <v>46175</v>
      </c>
    </row>
    <row r="19">
      <c r="A19" s="32">
        <v>46185.0</v>
      </c>
      <c r="B19" s="23" t="str">
        <f t="shared" si="2"/>
        <v>金</v>
      </c>
      <c r="C19" s="16">
        <v>500000.0</v>
      </c>
      <c r="D19" s="25">
        <f t="shared" si="3"/>
        <v>7200000</v>
      </c>
      <c r="E19" s="16">
        <v>171750.0</v>
      </c>
      <c r="F19" s="16">
        <v>310100.0</v>
      </c>
      <c r="G19" s="25">
        <f t="shared" si="4"/>
        <v>481850</v>
      </c>
      <c r="H19" s="25">
        <f t="shared" si="5"/>
        <v>3946381</v>
      </c>
      <c r="I19" s="27">
        <f t="shared" ref="I19:J19" si="26">IF(G19="","",IFERROR(G19/C19,""))</f>
        <v>0.9637</v>
      </c>
      <c r="J19" s="27">
        <f t="shared" si="26"/>
        <v>0.5481084722</v>
      </c>
      <c r="K19" s="25">
        <f t="shared" si="7"/>
        <v>-3253619</v>
      </c>
      <c r="L19" s="33" t="str">
        <f t="shared" si="8"/>
        <v>▲ 遅れ</v>
      </c>
      <c r="M19" s="21">
        <v>21.0</v>
      </c>
      <c r="N19" s="21">
        <v>22.0</v>
      </c>
      <c r="O19" s="21">
        <v>31.0</v>
      </c>
      <c r="P19" s="21">
        <v>29.0</v>
      </c>
      <c r="Q19" s="21">
        <v>54.0</v>
      </c>
      <c r="R19" s="27">
        <f t="shared" si="9"/>
        <v>0.6774193548</v>
      </c>
      <c r="S19" s="25">
        <f t="shared" si="10"/>
        <v>22945.2381</v>
      </c>
      <c r="T19" s="34">
        <f t="shared" si="11"/>
        <v>1.047619048</v>
      </c>
      <c r="U19" s="27">
        <f t="shared" si="12"/>
        <v>0.935483871</v>
      </c>
      <c r="V19" s="21"/>
      <c r="W19" s="21">
        <v>44177.0</v>
      </c>
      <c r="X19" s="16">
        <v>0.0</v>
      </c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46186.0</v>
      </c>
      <c r="B20" s="15" t="str">
        <f t="shared" si="2"/>
        <v>土</v>
      </c>
      <c r="C20" s="16">
        <v>800000.0</v>
      </c>
      <c r="D20" s="17">
        <f t="shared" si="3"/>
        <v>8000000</v>
      </c>
      <c r="E20" s="16">
        <v>75500.0</v>
      </c>
      <c r="F20" s="16">
        <v>363380.0</v>
      </c>
      <c r="G20" s="17">
        <f t="shared" si="4"/>
        <v>438880</v>
      </c>
      <c r="H20" s="17">
        <f t="shared" si="5"/>
        <v>4385261</v>
      </c>
      <c r="I20" s="18">
        <f t="shared" ref="I20:J20" si="27">IF(G20="","",IFERROR(G20/C20,""))</f>
        <v>0.5486</v>
      </c>
      <c r="J20" s="18">
        <f t="shared" si="27"/>
        <v>0.548157625</v>
      </c>
      <c r="K20" s="17">
        <f t="shared" si="7"/>
        <v>-3614739</v>
      </c>
      <c r="L20" s="19" t="str">
        <f t="shared" si="8"/>
        <v>▲ 遅れ</v>
      </c>
      <c r="M20" s="21">
        <v>20.0</v>
      </c>
      <c r="N20" s="21">
        <v>21.0</v>
      </c>
      <c r="O20" s="21">
        <v>70.0</v>
      </c>
      <c r="P20" s="21">
        <v>51.0</v>
      </c>
      <c r="Q20" s="21">
        <v>90.0</v>
      </c>
      <c r="R20" s="18">
        <f t="shared" si="9"/>
        <v>0.2857142857</v>
      </c>
      <c r="S20" s="17">
        <f t="shared" si="10"/>
        <v>21944</v>
      </c>
      <c r="T20" s="22">
        <f t="shared" si="11"/>
        <v>1.05</v>
      </c>
      <c r="U20" s="18">
        <f t="shared" si="12"/>
        <v>0.7285714286</v>
      </c>
      <c r="V20" s="21"/>
      <c r="W20" s="21">
        <v>44164.0</v>
      </c>
      <c r="X20" s="16">
        <v>0.0</v>
      </c>
      <c r="Y20" s="24"/>
      <c r="AA20" s="30">
        <v>1.0</v>
      </c>
      <c r="AB20" s="42" t="str">
        <f>IF($AI$18+7*(1-1)&gt;$A$37,"",TEXT($AI$18+7*(1-1),"m/d")&amp;"-"&amp;TEXT($AI$18+7*(1-1)+6,"m/d"))</f>
        <v>6/2-6/8</v>
      </c>
      <c r="AC20" s="28">
        <f>IF($AB20="","",(SUMIFS($G$8:$G$37,$A$8:$A$37,"&gt;="&amp;$AI$18+7*(1-1),$A$8:$A$37,"&lt;="&amp;$AI$18+7*(1-1)+6)+SUMIFS('2026年07月'!$G$8:$G$38,'2026年07月'!$A$8:$A$38,"&gt;="&amp;$AI$18+7*(1-1),'2026年07月'!$A$8:$A$38,"&lt;="&amp;$AI$18+7*(1-1)+6)))</f>
        <v>2307396</v>
      </c>
      <c r="AD20" s="31">
        <f>IF($AB20="","",IFERROR((SUMIFS($M$8:$M$37,$A$8:$A$37,"&gt;="&amp;$AI$18+7*(1-1),$A$8:$A$37,"&lt;="&amp;$AI$18+7*(1-1)+6)+SUMIFS('2026年07月'!$M$8:$M$38,'2026年07月'!$A$8:$A$38,"&gt;="&amp;$AI$18+7*(1-1),'2026年07月'!$A$8:$A$38,"&lt;="&amp;$AI$18+7*(1-1)+6))/(SUMIFS($O$8:$O$37,$A$8:$A$37,"&gt;="&amp;$AI$18+7*(1-1),$A$8:$A$37,"&lt;="&amp;$AI$18+7*(1-1)+6)+SUMIFS('2026年07月'!$O$8:$O$38,'2026年07月'!$A$8:$A$38,"&gt;="&amp;$AI$18+7*(1-1),'2026年07月'!$A$8:$A$38,"&lt;="&amp;$AI$18+7*(1-1)+6)),""))</f>
        <v>0.3834586466</v>
      </c>
      <c r="AE20" s="28">
        <f>IF($AB20="","",IFERROR((SUMIFS($G$8:$G$37,$A$8:$A$37,"&gt;="&amp;$AI$18+7*(1-1),$A$8:$A$37,"&lt;="&amp;$AI$18+7*(1-1)+6)+SUMIFS('2026年07月'!$G$8:$G$38,'2026年07月'!$A$8:$A$38,"&gt;="&amp;$AI$18+7*(1-1),'2026年07月'!$A$8:$A$38,"&lt;="&amp;$AI$18+7*(1-1)+6))/(SUMIFS($M$8:$M$37,$A$8:$A$37,"&gt;="&amp;$AI$18+7*(1-1),$A$8:$A$37,"&lt;="&amp;$AI$18+7*(1-1)+6)+SUMIFS('2026年07月'!$M$8:$M$38,'2026年07月'!$A$8:$A$38,"&gt;="&amp;$AI$18+7*(1-1),'2026年07月'!$A$8:$A$38,"&lt;="&amp;$AI$18+7*(1-1)+6)),""))</f>
        <v>22621.52941</v>
      </c>
      <c r="AF20" s="43">
        <f>IF($AB20="","",IFERROR((SUMIFS($N$8:$N$37,$A$8:$A$37,"&gt;="&amp;$AI$18+7*(1-1),$A$8:$A$37,"&lt;="&amp;$AI$18+7*(1-1)+6)+SUMIFS('2026年07月'!$N$8:$N$38,'2026年07月'!$A$8:$A$38,"&gt;="&amp;$AI$18+7*(1-1),'2026年07月'!$A$8:$A$38,"&lt;="&amp;$AI$18+7*(1-1)+6))/(SUMIFS($M$8:$M$37,$A$8:$A$37,"&gt;="&amp;$AI$18+7*(1-1),$A$8:$A$37,"&lt;="&amp;$AI$18+7*(1-1)+6)+SUMIFS('2026年07月'!$M$8:$M$38,'2026年07月'!$A$8:$A$38,"&gt;="&amp;$AI$18+7*(1-1),'2026年07月'!$A$8:$A$38,"&lt;="&amp;$AI$18+7*(1-1)+6)),""))</f>
        <v>1.068627451</v>
      </c>
      <c r="AG20" s="31">
        <f>IF($AB20="","",IFERROR((SUMIFS($P$8:$P$37,$A$8:$A$37,"&gt;="&amp;$AI$18+7*(1-1),$A$8:$A$37,"&lt;="&amp;$AI$18+7*(1-1)+6)+SUMIFS('2026年07月'!$P$8:$P$38,'2026年07月'!$A$8:$A$38,"&gt;="&amp;$AI$18+7*(1-1),'2026年07月'!$A$8:$A$38,"&lt;="&amp;$AI$18+7*(1-1)+6))/(SUMIFS($O$8:$O$37,$A$8:$A$37,"&gt;="&amp;$AI$18+7*(1-1),$A$8:$A$37,"&lt;="&amp;$AI$18+7*(1-1)+6)+SUMIFS('2026年07月'!$O$8:$O$38,'2026年07月'!$A$8:$A$38,"&gt;="&amp;$AI$18+7*(1-1),'2026年07月'!$A$8:$A$38,"&lt;="&amp;$AI$18+7*(1-1)+6)),""))</f>
        <v>0.6917293233</v>
      </c>
    </row>
    <row r="21" ht="15.75" customHeight="1">
      <c r="A21" s="32">
        <v>46187.0</v>
      </c>
      <c r="B21" s="23" t="str">
        <f t="shared" si="2"/>
        <v>日</v>
      </c>
      <c r="C21" s="16">
        <v>800000.0</v>
      </c>
      <c r="D21" s="25">
        <f t="shared" si="3"/>
        <v>8800000</v>
      </c>
      <c r="E21" s="16">
        <v>23810.0</v>
      </c>
      <c r="F21" s="16">
        <v>474370.0</v>
      </c>
      <c r="G21" s="25">
        <f t="shared" si="4"/>
        <v>498180</v>
      </c>
      <c r="H21" s="25">
        <f t="shared" si="5"/>
        <v>4883441</v>
      </c>
      <c r="I21" s="27">
        <f t="shared" ref="I21:J21" si="28">IF(G21="","",IFERROR(G21/C21,""))</f>
        <v>0.622725</v>
      </c>
      <c r="J21" s="27">
        <f t="shared" si="28"/>
        <v>0.5549364773</v>
      </c>
      <c r="K21" s="25">
        <f t="shared" si="7"/>
        <v>-3916559</v>
      </c>
      <c r="L21" s="33" t="str">
        <f t="shared" si="8"/>
        <v>▲ 遅れ</v>
      </c>
      <c r="M21" s="21">
        <v>21.0</v>
      </c>
      <c r="N21" s="21">
        <v>23.0</v>
      </c>
      <c r="O21" s="21">
        <v>70.0</v>
      </c>
      <c r="P21" s="21">
        <v>43.0</v>
      </c>
      <c r="Q21" s="21">
        <v>55.0</v>
      </c>
      <c r="R21" s="27">
        <f t="shared" si="9"/>
        <v>0.3</v>
      </c>
      <c r="S21" s="25">
        <f t="shared" si="10"/>
        <v>23722.85714</v>
      </c>
      <c r="T21" s="34">
        <f t="shared" si="11"/>
        <v>1.095238095</v>
      </c>
      <c r="U21" s="27">
        <f t="shared" si="12"/>
        <v>0.6142857143</v>
      </c>
      <c r="V21" s="21"/>
      <c r="W21" s="21">
        <v>44144.0</v>
      </c>
      <c r="X21" s="16">
        <v>0.0</v>
      </c>
      <c r="Y21" s="24"/>
      <c r="AA21" s="30">
        <v>2.0</v>
      </c>
      <c r="AB21" s="42" t="str">
        <f>IF($AI$18+7*(2-1)&gt;$A$37,"",TEXT($AI$18+7*(2-1),"m/d")&amp;"-"&amp;TEXT($AI$18+7*(2-1)+6,"m/d"))</f>
        <v>6/9-6/15</v>
      </c>
      <c r="AC21" s="28">
        <f>IF($AB21="","",(SUMIFS($G$8:$G$37,$A$8:$A$37,"&gt;="&amp;$AI$18+7*(2-1),$A$8:$A$37,"&lt;="&amp;$AI$18+7*(2-1)+6)+SUMIFS('2026年07月'!$G$8:$G$38,'2026年07月'!$A$8:$A$38,"&gt;="&amp;$AI$18+7*(2-1),'2026年07月'!$A$8:$A$38,"&lt;="&amp;$AI$18+7*(2-1)+6)))</f>
        <v>2687475</v>
      </c>
      <c r="AD21" s="31">
        <f>IF($AB21="","",IFERROR((SUMIFS($M$8:$M$37,$A$8:$A$37,"&gt;="&amp;$AI$18+7*(2-1),$A$8:$A$37,"&lt;="&amp;$AI$18+7*(2-1)+6)+SUMIFS('2026年07月'!$M$8:$M$38,'2026年07月'!$A$8:$A$38,"&gt;="&amp;$AI$18+7*(2-1),'2026年07月'!$A$8:$A$38,"&lt;="&amp;$AI$18+7*(2-1)+6))/(SUMIFS($O$8:$O$37,$A$8:$A$37,"&gt;="&amp;$AI$18+7*(2-1),$A$8:$A$37,"&lt;="&amp;$AI$18+7*(2-1)+6)+SUMIFS('2026年07月'!$O$8:$O$38,'2026年07月'!$A$8:$A$38,"&gt;="&amp;$AI$18+7*(2-1),'2026年07月'!$A$8:$A$38,"&lt;="&amp;$AI$18+7*(2-1)+6)),""))</f>
        <v>0.3240223464</v>
      </c>
      <c r="AE21" s="28">
        <f>IF($AB21="","",IFERROR((SUMIFS($G$8:$G$37,$A$8:$A$37,"&gt;="&amp;$AI$18+7*(2-1),$A$8:$A$37,"&lt;="&amp;$AI$18+7*(2-1)+6)+SUMIFS('2026年07月'!$G$8:$G$38,'2026年07月'!$A$8:$A$38,"&gt;="&amp;$AI$18+7*(2-1),'2026年07月'!$A$8:$A$38,"&lt;="&amp;$AI$18+7*(2-1)+6))/(SUMIFS($M$8:$M$37,$A$8:$A$37,"&gt;="&amp;$AI$18+7*(2-1),$A$8:$A$37,"&lt;="&amp;$AI$18+7*(2-1)+6)+SUMIFS('2026年07月'!$M$8:$M$38,'2026年07月'!$A$8:$A$38,"&gt;="&amp;$AI$18+7*(2-1),'2026年07月'!$A$8:$A$38,"&lt;="&amp;$AI$18+7*(2-1)+6)),""))</f>
        <v>23167.88793</v>
      </c>
      <c r="AF21" s="43">
        <f>IF($AB21="","",IFERROR((SUMIFS($N$8:$N$37,$A$8:$A$37,"&gt;="&amp;$AI$18+7*(2-1),$A$8:$A$37,"&lt;="&amp;$AI$18+7*(2-1)+6)+SUMIFS('2026年07月'!$N$8:$N$38,'2026年07月'!$A$8:$A$38,"&gt;="&amp;$AI$18+7*(2-1),'2026年07月'!$A$8:$A$38,"&lt;="&amp;$AI$18+7*(2-1)+6))/(SUMIFS($M$8:$M$37,$A$8:$A$37,"&gt;="&amp;$AI$18+7*(2-1),$A$8:$A$37,"&lt;="&amp;$AI$18+7*(2-1)+6)+SUMIFS('2026年07月'!$M$8:$M$38,'2026年07月'!$A$8:$A$38,"&gt;="&amp;$AI$18+7*(2-1),'2026年07月'!$A$8:$A$38,"&lt;="&amp;$AI$18+7*(2-1)+6)),""))</f>
        <v>1.146551724</v>
      </c>
      <c r="AG21" s="31">
        <f>IF($AB21="","",IFERROR((SUMIFS($P$8:$P$37,$A$8:$A$37,"&gt;="&amp;$AI$18+7*(2-1),$A$8:$A$37,"&lt;="&amp;$AI$18+7*(2-1)+6)+SUMIFS('2026年07月'!$P$8:$P$38,'2026年07月'!$A$8:$A$38,"&gt;="&amp;$AI$18+7*(2-1),'2026年07月'!$A$8:$A$38,"&lt;="&amp;$AI$18+7*(2-1)+6))/(SUMIFS($O$8:$O$37,$A$8:$A$37,"&gt;="&amp;$AI$18+7*(2-1),$A$8:$A$37,"&lt;="&amp;$AI$18+7*(2-1)+6)+SUMIFS('2026年07月'!$O$8:$O$38,'2026年07月'!$A$8:$A$38,"&gt;="&amp;$AI$18+7*(2-1),'2026年07月'!$A$8:$A$38,"&lt;="&amp;$AI$18+7*(2-1)+6)),""))</f>
        <v>0.6201117318</v>
      </c>
    </row>
    <row r="22" ht="15.75" customHeight="1">
      <c r="A22" s="14">
        <v>46188.0</v>
      </c>
      <c r="B22" s="15" t="str">
        <f t="shared" si="2"/>
        <v>月</v>
      </c>
      <c r="C22" s="16">
        <v>500000.0</v>
      </c>
      <c r="D22" s="17">
        <f t="shared" si="3"/>
        <v>9300000</v>
      </c>
      <c r="E22" s="16">
        <v>84530.0</v>
      </c>
      <c r="F22" s="16">
        <v>342350.0</v>
      </c>
      <c r="G22" s="17">
        <f t="shared" si="4"/>
        <v>426880</v>
      </c>
      <c r="H22" s="17">
        <f t="shared" si="5"/>
        <v>5310321</v>
      </c>
      <c r="I22" s="18">
        <f t="shared" ref="I22:J22" si="29">IF(G22="","",IFERROR(G22/C22,""))</f>
        <v>0.85376</v>
      </c>
      <c r="J22" s="18">
        <f t="shared" si="29"/>
        <v>0.5710022581</v>
      </c>
      <c r="K22" s="17">
        <f t="shared" si="7"/>
        <v>-3989679</v>
      </c>
      <c r="L22" s="19" t="str">
        <f t="shared" si="8"/>
        <v>▲ 遅れ</v>
      </c>
      <c r="M22" s="21">
        <v>19.0</v>
      </c>
      <c r="N22" s="21">
        <v>21.0</v>
      </c>
      <c r="O22" s="21">
        <v>41.0</v>
      </c>
      <c r="P22" s="21">
        <v>30.0</v>
      </c>
      <c r="Q22" s="21">
        <v>53.0</v>
      </c>
      <c r="R22" s="18">
        <f t="shared" si="9"/>
        <v>0.4634146341</v>
      </c>
      <c r="S22" s="17">
        <f t="shared" si="10"/>
        <v>22467.36842</v>
      </c>
      <c r="T22" s="22">
        <f t="shared" si="11"/>
        <v>1.105263158</v>
      </c>
      <c r="U22" s="18">
        <f t="shared" si="12"/>
        <v>0.7317073171</v>
      </c>
      <c r="V22" s="21"/>
      <c r="W22" s="21">
        <v>44142.0</v>
      </c>
      <c r="X22" s="16">
        <v>0.0</v>
      </c>
      <c r="Y22" s="24"/>
      <c r="AA22" s="30">
        <v>3.0</v>
      </c>
      <c r="AB22" s="42" t="str">
        <f>IF($AI$18+7*(3-1)&gt;$A$37,"",TEXT($AI$18+7*(3-1),"m/d")&amp;"-"&amp;TEXT($AI$18+7*(3-1)+6,"m/d"))</f>
        <v>6/16-6/22</v>
      </c>
      <c r="AC22" s="28">
        <f>IF($AB22="","",(SUMIFS($G$8:$G$37,$A$8:$A$37,"&gt;="&amp;$AI$18+7*(3-1),$A$8:$A$37,"&lt;="&amp;$AI$18+7*(3-1)+6)+SUMIFS('2026年07月'!$G$8:$G$38,'2026年07月'!$A$8:$A$38,"&gt;="&amp;$AI$18+7*(3-1),'2026年07月'!$A$8:$A$38,"&lt;="&amp;$AI$18+7*(3-1)+6)))</f>
        <v>2275415</v>
      </c>
      <c r="AD22" s="31">
        <f>IF($AB22="","",IFERROR((SUMIFS($M$8:$M$37,$A$8:$A$37,"&gt;="&amp;$AI$18+7*(3-1),$A$8:$A$37,"&lt;="&amp;$AI$18+7*(3-1)+6)+SUMIFS('2026年07月'!$M$8:$M$38,'2026年07月'!$A$8:$A$38,"&gt;="&amp;$AI$18+7*(3-1),'2026年07月'!$A$8:$A$38,"&lt;="&amp;$AI$18+7*(3-1)+6))/(SUMIFS($O$8:$O$37,$A$8:$A$37,"&gt;="&amp;$AI$18+7*(3-1),$A$8:$A$37,"&lt;="&amp;$AI$18+7*(3-1)+6)+SUMIFS('2026年07月'!$O$8:$O$38,'2026年07月'!$A$8:$A$38,"&gt;="&amp;$AI$18+7*(3-1),'2026年07月'!$A$8:$A$38,"&lt;="&amp;$AI$18+7*(3-1)+6)),""))</f>
        <v>0.3576642336</v>
      </c>
      <c r="AE22" s="28">
        <f>IF($AB22="","",IFERROR((SUMIFS($G$8:$G$37,$A$8:$A$37,"&gt;="&amp;$AI$18+7*(3-1),$A$8:$A$37,"&lt;="&amp;$AI$18+7*(3-1)+6)+SUMIFS('2026年07月'!$G$8:$G$38,'2026年07月'!$A$8:$A$38,"&gt;="&amp;$AI$18+7*(3-1),'2026年07月'!$A$8:$A$38,"&lt;="&amp;$AI$18+7*(3-1)+6))/(SUMIFS($M$8:$M$37,$A$8:$A$37,"&gt;="&amp;$AI$18+7*(3-1),$A$8:$A$37,"&lt;="&amp;$AI$18+7*(3-1)+6)+SUMIFS('2026年07月'!$M$8:$M$38,'2026年07月'!$A$8:$A$38,"&gt;="&amp;$AI$18+7*(3-1),'2026年07月'!$A$8:$A$38,"&lt;="&amp;$AI$18+7*(3-1)+6)),""))</f>
        <v>23218.52041</v>
      </c>
      <c r="AF22" s="43">
        <f>IF($AB22="","",IFERROR((SUMIFS($N$8:$N$37,$A$8:$A$37,"&gt;="&amp;$AI$18+7*(3-1),$A$8:$A$37,"&lt;="&amp;$AI$18+7*(3-1)+6)+SUMIFS('2026年07月'!$N$8:$N$38,'2026年07月'!$A$8:$A$38,"&gt;="&amp;$AI$18+7*(3-1),'2026年07月'!$A$8:$A$38,"&lt;="&amp;$AI$18+7*(3-1)+6))/(SUMIFS($M$8:$M$37,$A$8:$A$37,"&gt;="&amp;$AI$18+7*(3-1),$A$8:$A$37,"&lt;="&amp;$AI$18+7*(3-1)+6)+SUMIFS('2026年07月'!$M$8:$M$38,'2026年07月'!$A$8:$A$38,"&gt;="&amp;$AI$18+7*(3-1),'2026年07月'!$A$8:$A$38,"&lt;="&amp;$AI$18+7*(3-1)+6)),""))</f>
        <v>1.051020408</v>
      </c>
      <c r="AG22" s="31">
        <f>IF($AB22="","",IFERROR((SUMIFS($P$8:$P$37,$A$8:$A$37,"&gt;="&amp;$AI$18+7*(3-1),$A$8:$A$37,"&lt;="&amp;$AI$18+7*(3-1)+6)+SUMIFS('2026年07月'!$P$8:$P$38,'2026年07月'!$A$8:$A$38,"&gt;="&amp;$AI$18+7*(3-1),'2026年07月'!$A$8:$A$38,"&lt;="&amp;$AI$18+7*(3-1)+6))/(SUMIFS($O$8:$O$37,$A$8:$A$37,"&gt;="&amp;$AI$18+7*(3-1),$A$8:$A$37,"&lt;="&amp;$AI$18+7*(3-1)+6)+SUMIFS('2026年07月'!$O$8:$O$38,'2026年07月'!$A$8:$A$38,"&gt;="&amp;$AI$18+7*(3-1),'2026年07月'!$A$8:$A$38,"&lt;="&amp;$AI$18+7*(3-1)+6)),""))</f>
        <v>0.5656934307</v>
      </c>
    </row>
    <row r="23" ht="15.75" customHeight="1">
      <c r="A23" s="32">
        <v>46189.0</v>
      </c>
      <c r="B23" s="23" t="str">
        <f t="shared" si="2"/>
        <v>火</v>
      </c>
      <c r="C23" s="16">
        <v>500000.0</v>
      </c>
      <c r="D23" s="25">
        <f t="shared" si="3"/>
        <v>9800000</v>
      </c>
      <c r="E23" s="16">
        <v>130550.0</v>
      </c>
      <c r="F23" s="16">
        <v>121640.0</v>
      </c>
      <c r="G23" s="25">
        <f t="shared" si="4"/>
        <v>252190</v>
      </c>
      <c r="H23" s="25">
        <f t="shared" si="5"/>
        <v>5562511</v>
      </c>
      <c r="I23" s="27">
        <f t="shared" ref="I23:J23" si="30">IF(G23="","",IFERROR(G23/C23,""))</f>
        <v>0.50438</v>
      </c>
      <c r="J23" s="27">
        <f t="shared" si="30"/>
        <v>0.5676031633</v>
      </c>
      <c r="K23" s="25">
        <f t="shared" si="7"/>
        <v>-4237489</v>
      </c>
      <c r="L23" s="33" t="str">
        <f t="shared" si="8"/>
        <v>▲ 遅れ</v>
      </c>
      <c r="M23" s="21">
        <v>11.0</v>
      </c>
      <c r="N23" s="21">
        <v>11.0</v>
      </c>
      <c r="O23" s="21">
        <v>37.0</v>
      </c>
      <c r="P23" s="21">
        <v>20.0</v>
      </c>
      <c r="Q23" s="21">
        <v>33.0</v>
      </c>
      <c r="R23" s="27">
        <f t="shared" si="9"/>
        <v>0.2972972973</v>
      </c>
      <c r="S23" s="25">
        <f t="shared" si="10"/>
        <v>22926.36364</v>
      </c>
      <c r="T23" s="34">
        <f t="shared" si="11"/>
        <v>1</v>
      </c>
      <c r="U23" s="27">
        <f t="shared" si="12"/>
        <v>0.5405405405</v>
      </c>
      <c r="V23" s="21"/>
      <c r="W23" s="21">
        <v>44113.0</v>
      </c>
      <c r="X23" s="16">
        <v>0.0</v>
      </c>
      <c r="Y23" s="24"/>
      <c r="AA23" s="30">
        <v>4.0</v>
      </c>
      <c r="AB23" s="42" t="str">
        <f>IF($AI$18+7*(4-1)&gt;$A$37,"",TEXT($AI$18+7*(4-1),"m/d")&amp;"-"&amp;TEXT($AI$18+7*(4-1)+6,"m/d"))</f>
        <v>6/23-6/29</v>
      </c>
      <c r="AC23" s="28">
        <f>IF($AB23="","",(SUMIFS($G$8:$G$37,$A$8:$A$37,"&gt;="&amp;$AI$18+7*(4-1),$A$8:$A$37,"&lt;="&amp;$AI$18+7*(4-1)+6)+SUMIFS('2026年07月'!$G$8:$G$38,'2026年07月'!$A$8:$A$38,"&gt;="&amp;$AI$18+7*(4-1),'2026年07月'!$A$8:$A$38,"&lt;="&amp;$AI$18+7*(4-1)+6)))</f>
        <v>2380667</v>
      </c>
      <c r="AD23" s="31">
        <f>IF($AB23="","",IFERROR((SUMIFS($M$8:$M$37,$A$8:$A$37,"&gt;="&amp;$AI$18+7*(4-1),$A$8:$A$37,"&lt;="&amp;$AI$18+7*(4-1)+6)+SUMIFS('2026年07月'!$M$8:$M$38,'2026年07月'!$A$8:$A$38,"&gt;="&amp;$AI$18+7*(4-1),'2026年07月'!$A$8:$A$38,"&lt;="&amp;$AI$18+7*(4-1)+6))/(SUMIFS($O$8:$O$37,$A$8:$A$37,"&gt;="&amp;$AI$18+7*(4-1),$A$8:$A$37,"&lt;="&amp;$AI$18+7*(4-1)+6)+SUMIFS('2026年07月'!$O$8:$O$38,'2026年07月'!$A$8:$A$38,"&gt;="&amp;$AI$18+7*(4-1),'2026年07月'!$A$8:$A$38,"&lt;="&amp;$AI$18+7*(4-1)+6)),""))</f>
        <v>0.3491525424</v>
      </c>
      <c r="AE23" s="28">
        <f>IF($AB23="","",IFERROR((SUMIFS($G$8:$G$37,$A$8:$A$37,"&gt;="&amp;$AI$18+7*(4-1),$A$8:$A$37,"&lt;="&amp;$AI$18+7*(4-1)+6)+SUMIFS('2026年07月'!$G$8:$G$38,'2026年07月'!$A$8:$A$38,"&gt;="&amp;$AI$18+7*(4-1),'2026年07月'!$A$8:$A$38,"&lt;="&amp;$AI$18+7*(4-1)+6))/(SUMIFS($M$8:$M$37,$A$8:$A$37,"&gt;="&amp;$AI$18+7*(4-1),$A$8:$A$37,"&lt;="&amp;$AI$18+7*(4-1)+6)+SUMIFS('2026年07月'!$M$8:$M$38,'2026年07月'!$A$8:$A$38,"&gt;="&amp;$AI$18+7*(4-1),'2026年07月'!$A$8:$A$38,"&lt;="&amp;$AI$18+7*(4-1)+6)),""))</f>
        <v>23113.27184</v>
      </c>
      <c r="AF23" s="43">
        <f>IF($AB23="","",IFERROR((SUMIFS($N$8:$N$37,$A$8:$A$37,"&gt;="&amp;$AI$18+7*(4-1),$A$8:$A$37,"&lt;="&amp;$AI$18+7*(4-1)+6)+SUMIFS('2026年07月'!$N$8:$N$38,'2026年07月'!$A$8:$A$38,"&gt;="&amp;$AI$18+7*(4-1),'2026年07月'!$A$8:$A$38,"&lt;="&amp;$AI$18+7*(4-1)+6))/(SUMIFS($M$8:$M$37,$A$8:$A$37,"&gt;="&amp;$AI$18+7*(4-1),$A$8:$A$37,"&lt;="&amp;$AI$18+7*(4-1)+6)+SUMIFS('2026年07月'!$M$8:$M$38,'2026年07月'!$A$8:$A$38,"&gt;="&amp;$AI$18+7*(4-1),'2026年07月'!$A$8:$A$38,"&lt;="&amp;$AI$18+7*(4-1)+6)),""))</f>
        <v>1.058252427</v>
      </c>
      <c r="AG23" s="31">
        <f>IF($AB23="","",IFERROR((SUMIFS($P$8:$P$37,$A$8:$A$37,"&gt;="&amp;$AI$18+7*(4-1),$A$8:$A$37,"&lt;="&amp;$AI$18+7*(4-1)+6)+SUMIFS('2026年07月'!$P$8:$P$38,'2026年07月'!$A$8:$A$38,"&gt;="&amp;$AI$18+7*(4-1),'2026年07月'!$A$8:$A$38,"&lt;="&amp;$AI$18+7*(4-1)+6))/(SUMIFS($O$8:$O$37,$A$8:$A$37,"&gt;="&amp;$AI$18+7*(4-1),$A$8:$A$37,"&lt;="&amp;$AI$18+7*(4-1)+6)+SUMIFS('2026年07月'!$O$8:$O$38,'2026年07月'!$A$8:$A$38,"&gt;="&amp;$AI$18+7*(4-1),'2026年07月'!$A$8:$A$38,"&lt;="&amp;$AI$18+7*(4-1)+6)),""))</f>
        <v>0.5694915254</v>
      </c>
    </row>
    <row r="24" ht="15.75" customHeight="1">
      <c r="A24" s="14">
        <v>46190.0</v>
      </c>
      <c r="B24" s="15" t="str">
        <f t="shared" si="2"/>
        <v>水</v>
      </c>
      <c r="C24" s="16">
        <v>500000.0</v>
      </c>
      <c r="D24" s="17">
        <f t="shared" si="3"/>
        <v>10300000</v>
      </c>
      <c r="E24" s="16">
        <v>70230.0</v>
      </c>
      <c r="F24" s="16">
        <v>130560.0</v>
      </c>
      <c r="G24" s="17">
        <f t="shared" si="4"/>
        <v>200790</v>
      </c>
      <c r="H24" s="17">
        <f t="shared" si="5"/>
        <v>5763301</v>
      </c>
      <c r="I24" s="18">
        <f t="shared" ref="I24:J24" si="31">IF(G24="","",IFERROR(G24/C24,""))</f>
        <v>0.40158</v>
      </c>
      <c r="J24" s="18">
        <f t="shared" si="31"/>
        <v>0.5595437864</v>
      </c>
      <c r="K24" s="17">
        <f t="shared" si="7"/>
        <v>-4536699</v>
      </c>
      <c r="L24" s="19" t="str">
        <f t="shared" si="8"/>
        <v>▲ 遅れ</v>
      </c>
      <c r="M24" s="21">
        <v>9.0</v>
      </c>
      <c r="N24" s="21">
        <v>9.0</v>
      </c>
      <c r="O24" s="21">
        <v>32.0</v>
      </c>
      <c r="P24" s="21">
        <v>11.0</v>
      </c>
      <c r="Q24" s="21">
        <v>18.0</v>
      </c>
      <c r="R24" s="18">
        <f t="shared" si="9"/>
        <v>0.28125</v>
      </c>
      <c r="S24" s="17">
        <f t="shared" si="10"/>
        <v>22310</v>
      </c>
      <c r="T24" s="22">
        <f t="shared" si="11"/>
        <v>1</v>
      </c>
      <c r="U24" s="18">
        <f t="shared" si="12"/>
        <v>0.34375</v>
      </c>
      <c r="V24" s="21"/>
      <c r="W24" s="21">
        <v>44115.0</v>
      </c>
      <c r="X24" s="16">
        <v>0.0</v>
      </c>
      <c r="Y24" s="44" t="s">
        <v>88</v>
      </c>
      <c r="AA24" s="30">
        <v>5.0</v>
      </c>
      <c r="AB24" s="42" t="str">
        <f>IF($AI$18+7*(5-1)&gt;$A$37,"",TEXT($AI$18+7*(5-1),"m/d")&amp;"-"&amp;TEXT($AI$18+7*(5-1)+6,"m/d"))</f>
        <v>6/30-7/6</v>
      </c>
      <c r="AC24" s="28">
        <f>IF($AB24="","",(SUMIFS($G$8:$G$37,$A$8:$A$37,"&gt;="&amp;$AI$18+7*(5-1),$A$8:$A$37,"&lt;="&amp;$AI$18+7*(5-1)+6)+SUMIFS('2026年07月'!$G$8:$G$38,'2026年07月'!$A$8:$A$38,"&gt;="&amp;$AI$18+7*(5-1),'2026年07月'!$A$8:$A$38,"&lt;="&amp;$AI$18+7*(5-1)+6)))</f>
        <v>3182068</v>
      </c>
      <c r="AD24" s="31">
        <f>IF($AB24="","",IFERROR((SUMIFS($M$8:$M$37,$A$8:$A$37,"&gt;="&amp;$AI$18+7*(5-1),$A$8:$A$37,"&lt;="&amp;$AI$18+7*(5-1)+6)+SUMIFS('2026年07月'!$M$8:$M$38,'2026年07月'!$A$8:$A$38,"&gt;="&amp;$AI$18+7*(5-1),'2026年07月'!$A$8:$A$38,"&lt;="&amp;$AI$18+7*(5-1)+6))/(SUMIFS($O$8:$O$37,$A$8:$A$37,"&gt;="&amp;$AI$18+7*(5-1),$A$8:$A$37,"&lt;="&amp;$AI$18+7*(5-1)+6)+SUMIFS('2026年07月'!$O$8:$O$38,'2026年07月'!$A$8:$A$38,"&gt;="&amp;$AI$18+7*(5-1),'2026年07月'!$A$8:$A$38,"&lt;="&amp;$AI$18+7*(5-1)+6)),""))</f>
        <v>0.375</v>
      </c>
      <c r="AE24" s="28">
        <f>IF($AB24="","",IFERROR((SUMIFS($G$8:$G$37,$A$8:$A$37,"&gt;="&amp;$AI$18+7*(5-1),$A$8:$A$37,"&lt;="&amp;$AI$18+7*(5-1)+6)+SUMIFS('2026年07月'!$G$8:$G$38,'2026年07月'!$A$8:$A$38,"&gt;="&amp;$AI$18+7*(5-1),'2026年07月'!$A$8:$A$38,"&lt;="&amp;$AI$18+7*(5-1)+6))/(SUMIFS($M$8:$M$37,$A$8:$A$37,"&gt;="&amp;$AI$18+7*(5-1),$A$8:$A$37,"&lt;="&amp;$AI$18+7*(5-1)+6)+SUMIFS('2026年07月'!$M$8:$M$38,'2026年07月'!$A$8:$A$38,"&gt;="&amp;$AI$18+7*(5-1),'2026年07月'!$A$8:$A$38,"&lt;="&amp;$AI$18+7*(5-1)+6)),""))</f>
        <v>23058.46377</v>
      </c>
      <c r="AF24" s="43">
        <f>IF($AB24="","",IFERROR((SUMIFS($N$8:$N$37,$A$8:$A$37,"&gt;="&amp;$AI$18+7*(5-1),$A$8:$A$37,"&lt;="&amp;$AI$18+7*(5-1)+6)+SUMIFS('2026年07月'!$N$8:$N$38,'2026年07月'!$A$8:$A$38,"&gt;="&amp;$AI$18+7*(5-1),'2026年07月'!$A$8:$A$38,"&lt;="&amp;$AI$18+7*(5-1)+6))/(SUMIFS($M$8:$M$37,$A$8:$A$37,"&gt;="&amp;$AI$18+7*(5-1),$A$8:$A$37,"&lt;="&amp;$AI$18+7*(5-1)+6)+SUMIFS('2026年07月'!$M$8:$M$38,'2026年07月'!$A$8:$A$38,"&gt;="&amp;$AI$18+7*(5-1),'2026年07月'!$A$8:$A$38,"&lt;="&amp;$AI$18+7*(5-1)+6)),""))</f>
        <v>1.094202899</v>
      </c>
      <c r="AG24" s="31">
        <f>IF($AB24="","",IFERROR((SUMIFS($P$8:$P$37,$A$8:$A$37,"&gt;="&amp;$AI$18+7*(5-1),$A$8:$A$37,"&lt;="&amp;$AI$18+7*(5-1)+6)+SUMIFS('2026年07月'!$P$8:$P$38,'2026年07月'!$A$8:$A$38,"&gt;="&amp;$AI$18+7*(5-1),'2026年07月'!$A$8:$A$38,"&lt;="&amp;$AI$18+7*(5-1)+6))/(SUMIFS($O$8:$O$37,$A$8:$A$37,"&gt;="&amp;$AI$18+7*(5-1),$A$8:$A$37,"&lt;="&amp;$AI$18+7*(5-1)+6)+SUMIFS('2026年07月'!$O$8:$O$38,'2026年07月'!$A$8:$A$38,"&gt;="&amp;$AI$18+7*(5-1),'2026年07月'!$A$8:$A$38,"&lt;="&amp;$AI$18+7*(5-1)+6)),""))</f>
        <v>0.5625</v>
      </c>
    </row>
    <row r="25" ht="15.75" customHeight="1">
      <c r="A25" s="32">
        <v>46191.0</v>
      </c>
      <c r="B25" s="23" t="str">
        <f t="shared" si="2"/>
        <v>木</v>
      </c>
      <c r="C25" s="16">
        <v>500000.0</v>
      </c>
      <c r="D25" s="25">
        <f t="shared" si="3"/>
        <v>10800000</v>
      </c>
      <c r="E25" s="16">
        <v>86840.0</v>
      </c>
      <c r="F25" s="16">
        <v>245340.0</v>
      </c>
      <c r="G25" s="25">
        <f t="shared" si="4"/>
        <v>332180</v>
      </c>
      <c r="H25" s="25">
        <f t="shared" si="5"/>
        <v>6095481</v>
      </c>
      <c r="I25" s="27">
        <f t="shared" ref="I25:J25" si="32">IF(G25="","",IFERROR(G25/C25,""))</f>
        <v>0.66436</v>
      </c>
      <c r="J25" s="27">
        <f t="shared" si="32"/>
        <v>0.5643963889</v>
      </c>
      <c r="K25" s="25">
        <f t="shared" si="7"/>
        <v>-4704519</v>
      </c>
      <c r="L25" s="33" t="str">
        <f t="shared" si="8"/>
        <v>▲ 遅れ</v>
      </c>
      <c r="M25" s="21">
        <v>15.0</v>
      </c>
      <c r="N25" s="21">
        <v>15.0</v>
      </c>
      <c r="O25" s="21">
        <v>51.0</v>
      </c>
      <c r="P25" s="21">
        <v>24.0</v>
      </c>
      <c r="Q25" s="21">
        <v>31.0</v>
      </c>
      <c r="R25" s="27">
        <f t="shared" si="9"/>
        <v>0.2941176471</v>
      </c>
      <c r="S25" s="25">
        <f t="shared" si="10"/>
        <v>22145.33333</v>
      </c>
      <c r="T25" s="34">
        <f t="shared" si="11"/>
        <v>1</v>
      </c>
      <c r="U25" s="27">
        <f t="shared" si="12"/>
        <v>0.4705882353</v>
      </c>
      <c r="V25" s="21"/>
      <c r="W25" s="21">
        <v>44103.0</v>
      </c>
      <c r="X25" s="16">
        <v>0.0</v>
      </c>
      <c r="Y25" s="24"/>
      <c r="AA25" s="30">
        <v>6.0</v>
      </c>
      <c r="AB25" s="42" t="str">
        <f>IF($AI$18+7*(6-1)&gt;$A$37,"",TEXT($AI$18+7*(6-1),"m/d")&amp;"-"&amp;TEXT($AI$18+7*(6-1)+6,"m/d"))</f>
        <v/>
      </c>
      <c r="AC25" s="28" t="str">
        <f>IF($AB25="","",(SUMIFS($G$8:$G$37,$A$8:$A$37,"&gt;="&amp;$AI$18+7*(6-1),$A$8:$A$37,"&lt;="&amp;$AI$18+7*(6-1)+6)+SUMIFS('2026年07月'!$G$8:$G$38,'2026年07月'!$A$8:$A$38,"&gt;="&amp;$AI$18+7*(6-1),'2026年07月'!$A$8:$A$38,"&lt;="&amp;$AI$18+7*(6-1)+6)))</f>
        <v/>
      </c>
      <c r="AD25" s="31" t="str">
        <f>IF($AB25="","",IFERROR((SUMIFS($M$8:$M$37,$A$8:$A$37,"&gt;="&amp;$AI$18+7*(6-1),$A$8:$A$37,"&lt;="&amp;$AI$18+7*(6-1)+6)+SUMIFS('2026年07月'!$M$8:$M$38,'2026年07月'!$A$8:$A$38,"&gt;="&amp;$AI$18+7*(6-1),'2026年07月'!$A$8:$A$38,"&lt;="&amp;$AI$18+7*(6-1)+6))/(SUMIFS($O$8:$O$37,$A$8:$A$37,"&gt;="&amp;$AI$18+7*(6-1),$A$8:$A$37,"&lt;="&amp;$AI$18+7*(6-1)+6)+SUMIFS('2026年07月'!$O$8:$O$38,'2026年07月'!$A$8:$A$38,"&gt;="&amp;$AI$18+7*(6-1),'2026年07月'!$A$8:$A$38,"&lt;="&amp;$AI$18+7*(6-1)+6)),""))</f>
        <v/>
      </c>
      <c r="AE25" s="28" t="str">
        <f>IF($AB25="","",IFERROR((SUMIFS($G$8:$G$37,$A$8:$A$37,"&gt;="&amp;$AI$18+7*(6-1),$A$8:$A$37,"&lt;="&amp;$AI$18+7*(6-1)+6)+SUMIFS('2026年07月'!$G$8:$G$38,'2026年07月'!$A$8:$A$38,"&gt;="&amp;$AI$18+7*(6-1),'2026年07月'!$A$8:$A$38,"&lt;="&amp;$AI$18+7*(6-1)+6))/(SUMIFS($M$8:$M$37,$A$8:$A$37,"&gt;="&amp;$AI$18+7*(6-1),$A$8:$A$37,"&lt;="&amp;$AI$18+7*(6-1)+6)+SUMIFS('2026年07月'!$M$8:$M$38,'2026年07月'!$A$8:$A$38,"&gt;="&amp;$AI$18+7*(6-1),'2026年07月'!$A$8:$A$38,"&lt;="&amp;$AI$18+7*(6-1)+6)),""))</f>
        <v/>
      </c>
      <c r="AF25" s="43" t="str">
        <f>IF($AB25="","",IFERROR((SUMIFS($N$8:$N$37,$A$8:$A$37,"&gt;="&amp;$AI$18+7*(6-1),$A$8:$A$37,"&lt;="&amp;$AI$18+7*(6-1)+6)+SUMIFS('2026年07月'!$N$8:$N$38,'2026年07月'!$A$8:$A$38,"&gt;="&amp;$AI$18+7*(6-1),'2026年07月'!$A$8:$A$38,"&lt;="&amp;$AI$18+7*(6-1)+6))/(SUMIFS($M$8:$M$37,$A$8:$A$37,"&gt;="&amp;$AI$18+7*(6-1),$A$8:$A$37,"&lt;="&amp;$AI$18+7*(6-1)+6)+SUMIFS('2026年07月'!$M$8:$M$38,'2026年07月'!$A$8:$A$38,"&gt;="&amp;$AI$18+7*(6-1),'2026年07月'!$A$8:$A$38,"&lt;="&amp;$AI$18+7*(6-1)+6)),""))</f>
        <v/>
      </c>
      <c r="AG25" s="31" t="str">
        <f>IF($AB25="","",IFERROR((SUMIFS($P$8:$P$37,$A$8:$A$37,"&gt;="&amp;$AI$18+7*(6-1),$A$8:$A$37,"&lt;="&amp;$AI$18+7*(6-1)+6)+SUMIFS('2026年07月'!$P$8:$P$38,'2026年07月'!$A$8:$A$38,"&gt;="&amp;$AI$18+7*(6-1),'2026年07月'!$A$8:$A$38,"&lt;="&amp;$AI$18+7*(6-1)+6))/(SUMIFS($O$8:$O$37,$A$8:$A$37,"&gt;="&amp;$AI$18+7*(6-1),$A$8:$A$37,"&lt;="&amp;$AI$18+7*(6-1)+6)+SUMIFS('2026年07月'!$O$8:$O$38,'2026年07月'!$A$8:$A$38,"&gt;="&amp;$AI$18+7*(6-1),'2026年07月'!$A$8:$A$38,"&lt;="&amp;$AI$18+7*(6-1)+6)),""))</f>
        <v/>
      </c>
    </row>
    <row r="26" ht="15.75" customHeight="1">
      <c r="A26" s="14">
        <v>46192.0</v>
      </c>
      <c r="B26" s="15" t="str">
        <f t="shared" si="2"/>
        <v>金</v>
      </c>
      <c r="C26" s="16">
        <v>500000.0</v>
      </c>
      <c r="D26" s="17">
        <f t="shared" si="3"/>
        <v>11300000</v>
      </c>
      <c r="E26" s="16">
        <v>96240.0</v>
      </c>
      <c r="F26" s="16">
        <v>126540.0</v>
      </c>
      <c r="G26" s="17">
        <f t="shared" si="4"/>
        <v>222780</v>
      </c>
      <c r="H26" s="17">
        <f t="shared" si="5"/>
        <v>6318261</v>
      </c>
      <c r="I26" s="18">
        <f t="shared" ref="I26:J26" si="33">IF(G26="","",IFERROR(G26/C26,""))</f>
        <v>0.44556</v>
      </c>
      <c r="J26" s="18">
        <f t="shared" si="33"/>
        <v>0.5591381416</v>
      </c>
      <c r="K26" s="17">
        <f t="shared" si="7"/>
        <v>-4981739</v>
      </c>
      <c r="L26" s="19" t="str">
        <f t="shared" si="8"/>
        <v>▲ 遅れ</v>
      </c>
      <c r="M26" s="21">
        <v>10.0</v>
      </c>
      <c r="N26" s="21">
        <v>10.0</v>
      </c>
      <c r="O26" s="21">
        <v>27.0</v>
      </c>
      <c r="P26" s="21">
        <v>14.0</v>
      </c>
      <c r="Q26" s="21">
        <v>21.0</v>
      </c>
      <c r="R26" s="18">
        <f t="shared" si="9"/>
        <v>0.3703703704</v>
      </c>
      <c r="S26" s="17">
        <f t="shared" si="10"/>
        <v>22278</v>
      </c>
      <c r="T26" s="22">
        <f t="shared" si="11"/>
        <v>1</v>
      </c>
      <c r="U26" s="18">
        <f t="shared" si="12"/>
        <v>0.5185185185</v>
      </c>
      <c r="V26" s="21"/>
      <c r="W26" s="21">
        <v>44081.0</v>
      </c>
      <c r="X26" s="16">
        <v>0.0</v>
      </c>
      <c r="Y26" s="24"/>
      <c r="AA26" s="39" t="s">
        <v>89</v>
      </c>
    </row>
    <row r="27" ht="15.75" customHeight="1">
      <c r="A27" s="32">
        <v>46193.0</v>
      </c>
      <c r="B27" s="23" t="str">
        <f t="shared" si="2"/>
        <v>土</v>
      </c>
      <c r="C27" s="16">
        <v>800000.0</v>
      </c>
      <c r="D27" s="25">
        <f t="shared" si="3"/>
        <v>12100000</v>
      </c>
      <c r="E27" s="16">
        <v>23810.0</v>
      </c>
      <c r="F27" s="16">
        <v>316008.0</v>
      </c>
      <c r="G27" s="25">
        <f t="shared" si="4"/>
        <v>339818</v>
      </c>
      <c r="H27" s="25">
        <f t="shared" si="5"/>
        <v>6658079</v>
      </c>
      <c r="I27" s="27">
        <f t="shared" ref="I27:J27" si="34">IF(G27="","",IFERROR(G27/C27,""))</f>
        <v>0.4247725</v>
      </c>
      <c r="J27" s="27">
        <f t="shared" si="34"/>
        <v>0.5502544628</v>
      </c>
      <c r="K27" s="25">
        <f t="shared" si="7"/>
        <v>-5441921</v>
      </c>
      <c r="L27" s="33" t="str">
        <f t="shared" si="8"/>
        <v>▲ 遅れ</v>
      </c>
      <c r="M27" s="21">
        <v>15.0</v>
      </c>
      <c r="N27" s="21">
        <v>16.0</v>
      </c>
      <c r="O27" s="21">
        <v>42.0</v>
      </c>
      <c r="P27" s="21">
        <v>29.0</v>
      </c>
      <c r="Q27" s="21">
        <v>34.0</v>
      </c>
      <c r="R27" s="27">
        <f t="shared" si="9"/>
        <v>0.3571428571</v>
      </c>
      <c r="S27" s="25">
        <f t="shared" si="10"/>
        <v>22654.53333</v>
      </c>
      <c r="T27" s="34">
        <f t="shared" si="11"/>
        <v>1.066666667</v>
      </c>
      <c r="U27" s="27">
        <f t="shared" si="12"/>
        <v>0.6904761905</v>
      </c>
      <c r="V27" s="21"/>
      <c r="W27" s="21">
        <v>44075.0</v>
      </c>
      <c r="X27" s="16">
        <v>0.0</v>
      </c>
      <c r="Y27" s="24"/>
      <c r="AA27" s="39" t="s">
        <v>91</v>
      </c>
    </row>
    <row r="28" ht="15.75" customHeight="1">
      <c r="A28" s="14">
        <v>46194.0</v>
      </c>
      <c r="B28" s="15" t="str">
        <f t="shared" si="2"/>
        <v>日</v>
      </c>
      <c r="C28" s="16">
        <v>800000.0</v>
      </c>
      <c r="D28" s="17">
        <f t="shared" si="3"/>
        <v>12900000</v>
      </c>
      <c r="E28" s="16">
        <v>119550.0</v>
      </c>
      <c r="F28" s="16">
        <v>619747.0</v>
      </c>
      <c r="G28" s="17">
        <f t="shared" si="4"/>
        <v>739297</v>
      </c>
      <c r="H28" s="17">
        <f t="shared" si="5"/>
        <v>7397376</v>
      </c>
      <c r="I28" s="18">
        <f t="shared" ref="I28:J28" si="35">IF(G28="","",IFERROR(G28/C28,""))</f>
        <v>0.92412125</v>
      </c>
      <c r="J28" s="18">
        <f t="shared" si="35"/>
        <v>0.57344</v>
      </c>
      <c r="K28" s="17">
        <f t="shared" si="7"/>
        <v>-5502624</v>
      </c>
      <c r="L28" s="19" t="str">
        <f t="shared" si="8"/>
        <v>▲ 遅れ</v>
      </c>
      <c r="M28" s="21">
        <v>29.0</v>
      </c>
      <c r="N28" s="21">
        <v>33.0</v>
      </c>
      <c r="O28" s="21">
        <v>56.0</v>
      </c>
      <c r="P28" s="21">
        <v>38.0</v>
      </c>
      <c r="Q28" s="21">
        <v>68.0</v>
      </c>
      <c r="R28" s="18">
        <f t="shared" si="9"/>
        <v>0.5178571429</v>
      </c>
      <c r="S28" s="17">
        <f t="shared" si="10"/>
        <v>25493</v>
      </c>
      <c r="T28" s="22">
        <f t="shared" si="11"/>
        <v>1.137931034</v>
      </c>
      <c r="U28" s="18">
        <f t="shared" si="12"/>
        <v>0.6785714286</v>
      </c>
      <c r="V28" s="21"/>
      <c r="W28" s="21">
        <v>44064.0</v>
      </c>
      <c r="X28" s="16">
        <v>0.0</v>
      </c>
      <c r="Y28" s="24"/>
      <c r="AA28" s="39" t="s">
        <v>93</v>
      </c>
    </row>
    <row r="29" ht="15.75" customHeight="1">
      <c r="A29" s="32">
        <v>46195.0</v>
      </c>
      <c r="B29" s="23" t="str">
        <f t="shared" si="2"/>
        <v>月</v>
      </c>
      <c r="C29" s="16">
        <v>500000.0</v>
      </c>
      <c r="D29" s="25">
        <f t="shared" si="3"/>
        <v>13400000</v>
      </c>
      <c r="E29" s="16">
        <v>0.0</v>
      </c>
      <c r="F29" s="16">
        <v>188360.0</v>
      </c>
      <c r="G29" s="25">
        <f t="shared" si="4"/>
        <v>188360</v>
      </c>
      <c r="H29" s="25">
        <f t="shared" si="5"/>
        <v>7585736</v>
      </c>
      <c r="I29" s="27">
        <f t="shared" ref="I29:J29" si="36">IF(G29="","",IFERROR(G29/C29,""))</f>
        <v>0.37672</v>
      </c>
      <c r="J29" s="27">
        <f t="shared" si="36"/>
        <v>0.5660997015</v>
      </c>
      <c r="K29" s="25">
        <f t="shared" si="7"/>
        <v>-5814264</v>
      </c>
      <c r="L29" s="33" t="str">
        <f t="shared" si="8"/>
        <v>▲ 遅れ</v>
      </c>
      <c r="M29" s="21">
        <v>9.0</v>
      </c>
      <c r="N29" s="21">
        <v>9.0</v>
      </c>
      <c r="O29" s="21">
        <v>29.0</v>
      </c>
      <c r="P29" s="21">
        <v>19.0</v>
      </c>
      <c r="Q29" s="21">
        <v>37.0</v>
      </c>
      <c r="R29" s="27">
        <f t="shared" si="9"/>
        <v>0.3103448276</v>
      </c>
      <c r="S29" s="25">
        <f t="shared" si="10"/>
        <v>20928.88889</v>
      </c>
      <c r="T29" s="34">
        <f t="shared" si="11"/>
        <v>1</v>
      </c>
      <c r="U29" s="27">
        <f t="shared" si="12"/>
        <v>0.6551724138</v>
      </c>
      <c r="V29" s="21"/>
      <c r="W29" s="21">
        <v>44059.0</v>
      </c>
      <c r="X29" s="16">
        <v>0.0</v>
      </c>
      <c r="Y29" s="24"/>
    </row>
    <row r="30" ht="15.75" customHeight="1">
      <c r="A30" s="14">
        <v>46196.0</v>
      </c>
      <c r="B30" s="15" t="str">
        <f t="shared" si="2"/>
        <v>火</v>
      </c>
      <c r="C30" s="16">
        <v>500000.0</v>
      </c>
      <c r="D30" s="17">
        <f t="shared" si="3"/>
        <v>13900000</v>
      </c>
      <c r="E30" s="16">
        <v>106630.0</v>
      </c>
      <c r="F30" s="16">
        <v>182910.0</v>
      </c>
      <c r="G30" s="17">
        <f t="shared" si="4"/>
        <v>289540</v>
      </c>
      <c r="H30" s="17">
        <f t="shared" si="5"/>
        <v>7875276</v>
      </c>
      <c r="I30" s="18">
        <f t="shared" ref="I30:J30" si="37">IF(G30="","",IFERROR(G30/C30,""))</f>
        <v>0.57908</v>
      </c>
      <c r="J30" s="18">
        <f t="shared" si="37"/>
        <v>0.5665666187</v>
      </c>
      <c r="K30" s="17">
        <f t="shared" si="7"/>
        <v>-6024724</v>
      </c>
      <c r="L30" s="19" t="str">
        <f t="shared" si="8"/>
        <v>▲ 遅れ</v>
      </c>
      <c r="M30" s="21">
        <v>11.0</v>
      </c>
      <c r="N30" s="21">
        <v>11.0</v>
      </c>
      <c r="O30" s="21">
        <v>35.0</v>
      </c>
      <c r="P30" s="21">
        <v>17.0</v>
      </c>
      <c r="Q30" s="21">
        <v>42.0</v>
      </c>
      <c r="R30" s="18">
        <f t="shared" si="9"/>
        <v>0.3142857143</v>
      </c>
      <c r="S30" s="17">
        <f t="shared" si="10"/>
        <v>26321.81818</v>
      </c>
      <c r="T30" s="22">
        <f t="shared" si="11"/>
        <v>1</v>
      </c>
      <c r="U30" s="18">
        <f t="shared" si="12"/>
        <v>0.4857142857</v>
      </c>
      <c r="V30" s="21"/>
      <c r="W30" s="21">
        <v>44051.0</v>
      </c>
      <c r="X30" s="16">
        <v>0.0</v>
      </c>
      <c r="Y30" s="44" t="s">
        <v>95</v>
      </c>
    </row>
    <row r="31" ht="15.75" customHeight="1">
      <c r="A31" s="32">
        <v>46197.0</v>
      </c>
      <c r="B31" s="23" t="str">
        <f t="shared" si="2"/>
        <v>水</v>
      </c>
      <c r="C31" s="16">
        <v>500000.0</v>
      </c>
      <c r="D31" s="25">
        <f t="shared" si="3"/>
        <v>14400000</v>
      </c>
      <c r="E31" s="16">
        <v>23700.0</v>
      </c>
      <c r="F31" s="16">
        <v>364340.0</v>
      </c>
      <c r="G31" s="25">
        <f t="shared" si="4"/>
        <v>388040</v>
      </c>
      <c r="H31" s="25">
        <f t="shared" si="5"/>
        <v>8263316</v>
      </c>
      <c r="I31" s="27">
        <f t="shared" ref="I31:J31" si="38">IF(G31="","",IFERROR(G31/C31,""))</f>
        <v>0.77608</v>
      </c>
      <c r="J31" s="27">
        <f t="shared" si="38"/>
        <v>0.5738413889</v>
      </c>
      <c r="K31" s="25">
        <f t="shared" si="7"/>
        <v>-6136684</v>
      </c>
      <c r="L31" s="33" t="str">
        <f t="shared" si="8"/>
        <v>▲ 遅れ</v>
      </c>
      <c r="M31" s="21">
        <v>15.0</v>
      </c>
      <c r="N31" s="21">
        <v>16.0</v>
      </c>
      <c r="O31" s="21">
        <v>33.0</v>
      </c>
      <c r="P31" s="21">
        <v>27.0</v>
      </c>
      <c r="Q31" s="21">
        <v>39.0</v>
      </c>
      <c r="R31" s="27">
        <f t="shared" si="9"/>
        <v>0.4545454545</v>
      </c>
      <c r="S31" s="25">
        <f t="shared" si="10"/>
        <v>25869.33333</v>
      </c>
      <c r="T31" s="34">
        <f t="shared" si="11"/>
        <v>1.066666667</v>
      </c>
      <c r="U31" s="27">
        <f t="shared" si="12"/>
        <v>0.8181818182</v>
      </c>
      <c r="V31" s="21"/>
      <c r="W31" s="21"/>
      <c r="X31" s="16">
        <v>0.0</v>
      </c>
      <c r="Y31" s="24"/>
    </row>
    <row r="32" ht="15.75" customHeight="1">
      <c r="A32" s="14">
        <v>46198.0</v>
      </c>
      <c r="B32" s="15" t="str">
        <f t="shared" si="2"/>
        <v>木</v>
      </c>
      <c r="C32" s="16">
        <v>500000.0</v>
      </c>
      <c r="D32" s="17">
        <f t="shared" si="3"/>
        <v>14900000</v>
      </c>
      <c r="E32" s="16">
        <v>100530.0</v>
      </c>
      <c r="F32" s="16">
        <v>189607.0</v>
      </c>
      <c r="G32" s="17">
        <f t="shared" si="4"/>
        <v>290137</v>
      </c>
      <c r="H32" s="17">
        <f t="shared" si="5"/>
        <v>8553453</v>
      </c>
      <c r="I32" s="18">
        <f t="shared" ref="I32:J32" si="39">IF(G32="","",IFERROR(G32/C32,""))</f>
        <v>0.580274</v>
      </c>
      <c r="J32" s="18">
        <f t="shared" si="39"/>
        <v>0.5740572483</v>
      </c>
      <c r="K32" s="17">
        <f t="shared" si="7"/>
        <v>-6346547</v>
      </c>
      <c r="L32" s="19" t="str">
        <f t="shared" si="8"/>
        <v>▲ 遅れ</v>
      </c>
      <c r="M32" s="21">
        <v>12.0</v>
      </c>
      <c r="N32" s="21">
        <v>14.0</v>
      </c>
      <c r="O32" s="21">
        <v>45.0</v>
      </c>
      <c r="P32" s="21">
        <v>24.0</v>
      </c>
      <c r="Q32" s="21">
        <v>32.0</v>
      </c>
      <c r="R32" s="18">
        <f t="shared" si="9"/>
        <v>0.2666666667</v>
      </c>
      <c r="S32" s="17">
        <f t="shared" si="10"/>
        <v>24178.08333</v>
      </c>
      <c r="T32" s="22">
        <f t="shared" si="11"/>
        <v>1.166666667</v>
      </c>
      <c r="U32" s="18">
        <f t="shared" si="12"/>
        <v>0.5333333333</v>
      </c>
      <c r="V32" s="21"/>
      <c r="W32" s="21">
        <v>44040.0</v>
      </c>
      <c r="X32" s="16">
        <v>0.0</v>
      </c>
      <c r="Y32" s="24"/>
    </row>
    <row r="33" ht="15.75" customHeight="1">
      <c r="A33" s="32">
        <v>46199.0</v>
      </c>
      <c r="B33" s="23" t="str">
        <f t="shared" si="2"/>
        <v>金</v>
      </c>
      <c r="C33" s="16">
        <v>600000.0</v>
      </c>
      <c r="D33" s="25">
        <f t="shared" si="3"/>
        <v>15500000</v>
      </c>
      <c r="E33" s="16">
        <v>73230.0</v>
      </c>
      <c r="F33" s="16">
        <v>84220.0</v>
      </c>
      <c r="G33" s="25">
        <f t="shared" si="4"/>
        <v>157450</v>
      </c>
      <c r="H33" s="25">
        <f t="shared" si="5"/>
        <v>8710903</v>
      </c>
      <c r="I33" s="27">
        <f t="shared" ref="I33:J33" si="40">IF(G33="","",IFERROR(G33/C33,""))</f>
        <v>0.2624166667</v>
      </c>
      <c r="J33" s="27">
        <f t="shared" si="40"/>
        <v>0.5619937419</v>
      </c>
      <c r="K33" s="25">
        <f t="shared" si="7"/>
        <v>-6789097</v>
      </c>
      <c r="L33" s="33" t="str">
        <f t="shared" si="8"/>
        <v>▲ 遅れ</v>
      </c>
      <c r="M33" s="21">
        <v>7.0</v>
      </c>
      <c r="N33" s="21">
        <v>7.0</v>
      </c>
      <c r="O33" s="21">
        <v>37.0</v>
      </c>
      <c r="P33" s="21">
        <v>11.0</v>
      </c>
      <c r="Q33" s="21">
        <v>15.0</v>
      </c>
      <c r="R33" s="27">
        <f t="shared" si="9"/>
        <v>0.1891891892</v>
      </c>
      <c r="S33" s="25">
        <f t="shared" si="10"/>
        <v>22492.85714</v>
      </c>
      <c r="T33" s="34">
        <f t="shared" si="11"/>
        <v>1</v>
      </c>
      <c r="U33" s="27">
        <f t="shared" si="12"/>
        <v>0.2972972973</v>
      </c>
      <c r="V33" s="21"/>
      <c r="W33" s="21">
        <v>44052.0</v>
      </c>
      <c r="X33" s="16">
        <v>0.0</v>
      </c>
      <c r="Y33" s="24"/>
    </row>
    <row r="34" ht="15.75" customHeight="1">
      <c r="A34" s="14">
        <v>46200.0</v>
      </c>
      <c r="B34" s="15" t="str">
        <f t="shared" si="2"/>
        <v>土</v>
      </c>
      <c r="C34" s="16">
        <v>900000.0</v>
      </c>
      <c r="D34" s="17">
        <f t="shared" si="3"/>
        <v>16400000</v>
      </c>
      <c r="E34" s="16">
        <v>105850.0</v>
      </c>
      <c r="F34" s="16">
        <v>104440.0</v>
      </c>
      <c r="G34" s="17">
        <f t="shared" si="4"/>
        <v>210290</v>
      </c>
      <c r="H34" s="17">
        <f t="shared" si="5"/>
        <v>8921193</v>
      </c>
      <c r="I34" s="18">
        <f t="shared" ref="I34:J34" si="41">IF(G34="","",IFERROR(G34/C34,""))</f>
        <v>0.2336555556</v>
      </c>
      <c r="J34" s="18">
        <f t="shared" si="41"/>
        <v>0.5439751829</v>
      </c>
      <c r="K34" s="17">
        <f t="shared" si="7"/>
        <v>-7478807</v>
      </c>
      <c r="L34" s="19" t="str">
        <f t="shared" si="8"/>
        <v>▲ 遅れ</v>
      </c>
      <c r="M34" s="21">
        <v>9.0</v>
      </c>
      <c r="N34" s="21">
        <v>10.0</v>
      </c>
      <c r="O34" s="21">
        <v>21.0</v>
      </c>
      <c r="P34" s="21">
        <v>15.0</v>
      </c>
      <c r="Q34" s="21">
        <v>22.0</v>
      </c>
      <c r="R34" s="18">
        <f t="shared" si="9"/>
        <v>0.4285714286</v>
      </c>
      <c r="S34" s="17">
        <f t="shared" si="10"/>
        <v>23365.55556</v>
      </c>
      <c r="T34" s="22">
        <f t="shared" si="11"/>
        <v>1.111111111</v>
      </c>
      <c r="U34" s="18">
        <f t="shared" si="12"/>
        <v>0.7142857143</v>
      </c>
      <c r="V34" s="21"/>
      <c r="W34" s="21">
        <v>44057.0</v>
      </c>
      <c r="X34" s="16">
        <v>0.0</v>
      </c>
      <c r="Y34" s="24"/>
    </row>
    <row r="35" ht="15.75" customHeight="1">
      <c r="A35" s="32">
        <v>46201.0</v>
      </c>
      <c r="B35" s="23" t="str">
        <f t="shared" si="2"/>
        <v>日</v>
      </c>
      <c r="C35" s="16">
        <v>900000.0</v>
      </c>
      <c r="D35" s="25">
        <f t="shared" si="3"/>
        <v>17300000</v>
      </c>
      <c r="E35" s="16">
        <v>180260.0</v>
      </c>
      <c r="F35" s="16">
        <v>355030.0</v>
      </c>
      <c r="G35" s="25">
        <f t="shared" si="4"/>
        <v>535290</v>
      </c>
      <c r="H35" s="25">
        <f t="shared" si="5"/>
        <v>9456483</v>
      </c>
      <c r="I35" s="27">
        <f t="shared" ref="I35:J35" si="42">IF(G35="","",IFERROR(G35/C35,""))</f>
        <v>0.5947666667</v>
      </c>
      <c r="J35" s="27">
        <f t="shared" si="42"/>
        <v>0.5466175145</v>
      </c>
      <c r="K35" s="25">
        <f t="shared" si="7"/>
        <v>-7843517</v>
      </c>
      <c r="L35" s="33" t="str">
        <f t="shared" si="8"/>
        <v>▲ 遅れ</v>
      </c>
      <c r="M35" s="21">
        <v>25.0</v>
      </c>
      <c r="N35" s="21">
        <v>27.0</v>
      </c>
      <c r="O35" s="21">
        <v>56.0</v>
      </c>
      <c r="P35" s="21">
        <v>39.0</v>
      </c>
      <c r="Q35" s="21">
        <v>51.0</v>
      </c>
      <c r="R35" s="27">
        <f t="shared" si="9"/>
        <v>0.4464285714</v>
      </c>
      <c r="S35" s="25">
        <f t="shared" si="10"/>
        <v>21411.6</v>
      </c>
      <c r="T35" s="34">
        <f t="shared" si="11"/>
        <v>1.08</v>
      </c>
      <c r="U35" s="27">
        <f t="shared" si="12"/>
        <v>0.6964285714</v>
      </c>
      <c r="V35" s="21"/>
      <c r="W35" s="21">
        <v>44072.0</v>
      </c>
      <c r="X35" s="16">
        <v>0.0</v>
      </c>
      <c r="Y35" s="24"/>
    </row>
    <row r="36" ht="15.75" customHeight="1">
      <c r="A36" s="14">
        <v>46202.0</v>
      </c>
      <c r="B36" s="15" t="str">
        <f t="shared" si="2"/>
        <v>月</v>
      </c>
      <c r="C36" s="16">
        <v>600000.0</v>
      </c>
      <c r="D36" s="17">
        <f t="shared" si="3"/>
        <v>17900000</v>
      </c>
      <c r="E36" s="16">
        <v>101900.0</v>
      </c>
      <c r="F36" s="16">
        <v>408020.0</v>
      </c>
      <c r="G36" s="17">
        <f t="shared" si="4"/>
        <v>509920</v>
      </c>
      <c r="H36" s="17">
        <f t="shared" si="5"/>
        <v>9966403</v>
      </c>
      <c r="I36" s="18">
        <f t="shared" ref="I36:J36" si="43">IF(G36="","",IFERROR(G36/C36,""))</f>
        <v>0.8498666667</v>
      </c>
      <c r="J36" s="18">
        <f t="shared" si="43"/>
        <v>0.5567822905</v>
      </c>
      <c r="K36" s="17">
        <f t="shared" si="7"/>
        <v>-7933597</v>
      </c>
      <c r="L36" s="19" t="str">
        <f t="shared" si="8"/>
        <v>▲ 遅れ</v>
      </c>
      <c r="M36" s="21">
        <v>24.0</v>
      </c>
      <c r="N36" s="21">
        <v>24.0</v>
      </c>
      <c r="O36" s="21">
        <v>68.0</v>
      </c>
      <c r="P36" s="21">
        <v>35.0</v>
      </c>
      <c r="Q36" s="21">
        <v>48.0</v>
      </c>
      <c r="R36" s="18">
        <f t="shared" si="9"/>
        <v>0.3529411765</v>
      </c>
      <c r="S36" s="17">
        <f t="shared" si="10"/>
        <v>21246.66667</v>
      </c>
      <c r="T36" s="22">
        <f t="shared" si="11"/>
        <v>1</v>
      </c>
      <c r="U36" s="18">
        <f t="shared" si="12"/>
        <v>0.5147058824</v>
      </c>
      <c r="V36" s="21"/>
      <c r="W36" s="21">
        <v>44082.0</v>
      </c>
      <c r="X36" s="16">
        <v>0.0</v>
      </c>
      <c r="Y36" s="24"/>
    </row>
    <row r="37" ht="15.75" customHeight="1">
      <c r="A37" s="32">
        <v>46203.0</v>
      </c>
      <c r="B37" s="23" t="str">
        <f t="shared" si="2"/>
        <v>火</v>
      </c>
      <c r="C37" s="16">
        <v>600000.0</v>
      </c>
      <c r="D37" s="25">
        <f t="shared" si="3"/>
        <v>18500000</v>
      </c>
      <c r="E37" s="16">
        <v>100640.0</v>
      </c>
      <c r="F37" s="16">
        <v>379600.0</v>
      </c>
      <c r="G37" s="25">
        <f t="shared" si="4"/>
        <v>480240</v>
      </c>
      <c r="H37" s="25">
        <f t="shared" si="5"/>
        <v>10446643</v>
      </c>
      <c r="I37" s="27">
        <f t="shared" ref="I37:J37" si="44">IF(G37="","",IFERROR(G37/C37,""))</f>
        <v>0.8004</v>
      </c>
      <c r="J37" s="27">
        <f t="shared" si="44"/>
        <v>0.5646834054</v>
      </c>
      <c r="K37" s="25">
        <f t="shared" si="7"/>
        <v>-8053357</v>
      </c>
      <c r="L37" s="33" t="str">
        <f t="shared" si="8"/>
        <v>▲ 遅れ</v>
      </c>
      <c r="M37" s="21">
        <v>20.0</v>
      </c>
      <c r="N37" s="21">
        <v>23.0</v>
      </c>
      <c r="O37" s="21">
        <v>58.0</v>
      </c>
      <c r="P37" s="21">
        <v>29.0</v>
      </c>
      <c r="Q37" s="21">
        <v>53.0</v>
      </c>
      <c r="R37" s="27">
        <f t="shared" si="9"/>
        <v>0.3448275862</v>
      </c>
      <c r="S37" s="25">
        <f t="shared" si="10"/>
        <v>24012</v>
      </c>
      <c r="T37" s="34">
        <f t="shared" si="11"/>
        <v>1.15</v>
      </c>
      <c r="U37" s="27">
        <f t="shared" si="12"/>
        <v>0.5</v>
      </c>
      <c r="V37" s="21"/>
      <c r="W37" s="21">
        <v>44070.0</v>
      </c>
      <c r="X37" s="16">
        <v>0.0</v>
      </c>
      <c r="Y37" s="24"/>
    </row>
    <row r="38" ht="15.75" customHeight="1">
      <c r="A38" s="45" t="s">
        <v>97</v>
      </c>
      <c r="B38" s="35"/>
      <c r="C38" s="36">
        <f>SUM(C8:C37)</f>
        <v>18500000</v>
      </c>
      <c r="D38" s="36">
        <f>C38</f>
        <v>18500000</v>
      </c>
      <c r="E38" s="36">
        <f t="shared" ref="E38:G38" si="45">SUM(E8:E37)</f>
        <v>2397249</v>
      </c>
      <c r="F38" s="36">
        <f t="shared" si="45"/>
        <v>8049394</v>
      </c>
      <c r="G38" s="36">
        <f t="shared" si="45"/>
        <v>10446643</v>
      </c>
      <c r="H38" s="36">
        <f>G38</f>
        <v>10446643</v>
      </c>
      <c r="I38" s="37">
        <f>IFERROR(G38/C38,"")</f>
        <v>0.5646834054</v>
      </c>
      <c r="J38" s="37">
        <f>IFERROR(G38/C38,"")</f>
        <v>0.5646834054</v>
      </c>
      <c r="K38" s="36">
        <f>G38-C38</f>
        <v>-8053357</v>
      </c>
      <c r="L38" s="46"/>
      <c r="M38" s="38">
        <f t="shared" ref="M38:Q38" si="46">SUM(M8:M37)</f>
        <v>450</v>
      </c>
      <c r="N38" s="38">
        <f t="shared" si="46"/>
        <v>495</v>
      </c>
      <c r="O38" s="38">
        <f t="shared" si="46"/>
        <v>1283</v>
      </c>
      <c r="P38" s="38">
        <f t="shared" si="46"/>
        <v>781</v>
      </c>
      <c r="Q38" s="38">
        <f t="shared" si="46"/>
        <v>1130</v>
      </c>
      <c r="R38" s="37">
        <f t="shared" si="9"/>
        <v>0.3507404521</v>
      </c>
      <c r="S38" s="36">
        <f t="shared" si="10"/>
        <v>23214.76222</v>
      </c>
      <c r="T38" s="47">
        <f t="shared" si="11"/>
        <v>1.1</v>
      </c>
      <c r="U38" s="37">
        <f t="shared" si="12"/>
        <v>0.6087295401</v>
      </c>
      <c r="V38" s="38">
        <f>SUM(V8:V37)</f>
        <v>0</v>
      </c>
      <c r="W38" s="38">
        <f>IFERROR(LOOKUP(9.99E+307,W8:W37),"")</f>
        <v>44070</v>
      </c>
      <c r="X38" s="36">
        <f>SUM(X8:X37)</f>
        <v>0</v>
      </c>
      <c r="Y38" s="48" t="s">
        <v>107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7">
    <cfRule type="expression" dxfId="0" priority="1">
      <formula>AND($G8&lt;&gt;"",$K8&gt;=0)</formula>
    </cfRule>
  </conditionalFormatting>
  <conditionalFormatting sqref="K8:K37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2.86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86</v>
      </c>
      <c r="H3" s="6"/>
      <c r="I3" s="5" t="s">
        <v>8</v>
      </c>
      <c r="J3" s="6"/>
      <c r="K3" s="5" t="s">
        <v>9</v>
      </c>
      <c r="L3" s="6"/>
    </row>
    <row r="4">
      <c r="A4" s="7">
        <f>IF('設定'!$B$11="",SUM(C8:C38),'設定'!$B$11)</f>
        <v>20000000</v>
      </c>
      <c r="B4" s="6"/>
      <c r="C4" s="8">
        <f>SUM(G8:G38)</f>
        <v>9690000</v>
      </c>
      <c r="D4" s="6"/>
      <c r="E4" s="9">
        <f>IFERROR(C4/A4,0)</f>
        <v>0.4845</v>
      </c>
      <c r="F4" s="6"/>
      <c r="G4" s="10">
        <f>COUNTIF(G8:G38,"&gt;0")</f>
        <v>30</v>
      </c>
      <c r="H4" s="6"/>
      <c r="I4" s="8">
        <f>A4-C4</f>
        <v>10310000</v>
      </c>
      <c r="J4" s="6"/>
      <c r="K4" s="8">
        <f>IF((31-G4)&gt;0,(A4-C4)/(31-G4),0)</f>
        <v>10310000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SUM(C8:C38)</f>
        <v>20000000</v>
      </c>
      <c r="B6" s="6"/>
      <c r="C6" s="8">
        <f>IFERROR(C4/G4*31,0)</f>
        <v>10013000</v>
      </c>
      <c r="D6" s="6"/>
      <c r="E6" s="9">
        <f>IFERROR(M39/O39,0)</f>
        <v>0.3656652361</v>
      </c>
      <c r="F6" s="6"/>
      <c r="G6" s="8">
        <f>IFERROR(G39/M39,0)</f>
        <v>22746.47887</v>
      </c>
      <c r="H6" s="6"/>
      <c r="I6" s="11">
        <f>IFERROR(N39/M39,0)</f>
        <v>1.051643192</v>
      </c>
      <c r="J6" s="6"/>
      <c r="K6" s="9">
        <f>IFERROR(P39/O39,0)</f>
        <v>0.5433476395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46204.0</v>
      </c>
      <c r="B8" s="15" t="str">
        <f t="shared" ref="B8:B38" si="2">MID("日月火水木金土",WEEKDAY(A8),1)</f>
        <v>水</v>
      </c>
      <c r="C8" s="16">
        <v>550000.0</v>
      </c>
      <c r="D8" s="17">
        <f t="shared" ref="D8:D38" si="3">SUM($C$8:C8)</f>
        <v>550000</v>
      </c>
      <c r="E8" s="16">
        <v>97070.0</v>
      </c>
      <c r="F8" s="16">
        <v>292640.0</v>
      </c>
      <c r="G8" s="17">
        <f t="shared" ref="G8:G38" si="4">IF(COUNT(E8:F8)=0,"",SUM(E8:F8))</f>
        <v>389710</v>
      </c>
      <c r="H8" s="17">
        <f t="shared" ref="H8:H38" si="5">IF(G8="","",SUM($G$8:G8))</f>
        <v>389710</v>
      </c>
      <c r="I8" s="18">
        <f t="shared" ref="I8:J8" si="1">IF(G8="","",IFERROR(G8/C8,""))</f>
        <v>0.7085636364</v>
      </c>
      <c r="J8" s="18">
        <f t="shared" si="1"/>
        <v>0.7085636364</v>
      </c>
      <c r="K8" s="17">
        <f t="shared" ref="K8:K38" si="7">IF(H8="","",IF(D8=0,"",H8-D8))</f>
        <v>-160290</v>
      </c>
      <c r="L8" s="19" t="str">
        <f t="shared" ref="L8:L38" si="8">IF(G8="","—",IF(D8=0,"予算未入力",IF(H8&gt;=D8,"◎ ペース内","▲ 遅れ")))</f>
        <v>▲ 遅れ</v>
      </c>
      <c r="M8" s="21">
        <v>16.0</v>
      </c>
      <c r="N8" s="21">
        <v>18.0</v>
      </c>
      <c r="O8" s="21">
        <v>44.0</v>
      </c>
      <c r="P8" s="21">
        <v>25.0</v>
      </c>
      <c r="Q8" s="21">
        <v>47.0</v>
      </c>
      <c r="R8" s="18">
        <f t="shared" ref="R8:R39" si="9">IFERROR(M8/O8,"")</f>
        <v>0.3636363636</v>
      </c>
      <c r="S8" s="17">
        <f t="shared" ref="S8:S39" si="10">IFERROR(G8/M8,"")</f>
        <v>24356.875</v>
      </c>
      <c r="T8" s="22">
        <f t="shared" ref="T8:T39" si="11">IFERROR(N8/M8,"")</f>
        <v>1.125</v>
      </c>
      <c r="U8" s="18">
        <f t="shared" ref="U8:U39" si="12">IFERROR(P8/O8,"")</f>
        <v>0.5681818182</v>
      </c>
      <c r="V8" s="21"/>
      <c r="W8" s="21">
        <v>44074.0</v>
      </c>
      <c r="X8" s="16">
        <v>0.0</v>
      </c>
      <c r="Y8" s="24"/>
      <c r="AA8" s="26" t="s">
        <v>48</v>
      </c>
      <c r="AB8" s="28">
        <f t="shared" ref="AB8:AB14" si="13">IFERROR(AVERAGEIFS($G$8:$G$38,$B$8:$B$38,AA8,$G$8:$G$38,"&gt;0"),0)</f>
        <v>234885.25</v>
      </c>
      <c r="AC8" s="30">
        <f t="shared" ref="AC8:AC14" si="14">COUNTIFS($B$8:$B$38,AA8,$G$8:$G$38,"&gt;0")</f>
        <v>4</v>
      </c>
      <c r="AD8" s="31">
        <f t="shared" ref="AD8:AD14" si="15">IFERROR(SUMIF($B$8:$B$38,AA8,$M$8:$M$38)/SUMIF($B$8:$B$38,AA8,$O$8:$O$38),0)</f>
        <v>0.3596491228</v>
      </c>
      <c r="AE8" s="28">
        <f t="shared" ref="AE8:AE14" si="16">IFERROR(SUMIF($B$8:$B$38,AA8,$G$8:$G$38)/SUMIF($B$8:$B$38,AA8,$M$8:$M$38),0)</f>
        <v>22915.63415</v>
      </c>
    </row>
    <row r="9">
      <c r="A9" s="32">
        <v>46205.0</v>
      </c>
      <c r="B9" s="23" t="str">
        <f t="shared" si="2"/>
        <v>木</v>
      </c>
      <c r="C9" s="16">
        <v>550000.0</v>
      </c>
      <c r="D9" s="25">
        <f t="shared" si="3"/>
        <v>1100000</v>
      </c>
      <c r="E9" s="16">
        <v>0.0</v>
      </c>
      <c r="F9" s="16">
        <v>193700.0</v>
      </c>
      <c r="G9" s="25">
        <f t="shared" si="4"/>
        <v>193700</v>
      </c>
      <c r="H9" s="25">
        <f t="shared" si="5"/>
        <v>583410</v>
      </c>
      <c r="I9" s="27">
        <f t="shared" ref="I9:J9" si="6">IF(G9="","",IFERROR(G9/C9,""))</f>
        <v>0.3521818182</v>
      </c>
      <c r="J9" s="27">
        <f t="shared" si="6"/>
        <v>0.5303727273</v>
      </c>
      <c r="K9" s="25">
        <f t="shared" si="7"/>
        <v>-516590</v>
      </c>
      <c r="L9" s="33" t="str">
        <f t="shared" si="8"/>
        <v>▲ 遅れ</v>
      </c>
      <c r="M9" s="21">
        <v>8.0</v>
      </c>
      <c r="N9" s="21">
        <v>10.0</v>
      </c>
      <c r="O9" s="21">
        <v>29.0</v>
      </c>
      <c r="P9" s="21">
        <v>18.0</v>
      </c>
      <c r="Q9" s="21">
        <v>30.0</v>
      </c>
      <c r="R9" s="27">
        <f t="shared" si="9"/>
        <v>0.275862069</v>
      </c>
      <c r="S9" s="25">
        <f t="shared" si="10"/>
        <v>24212.5</v>
      </c>
      <c r="T9" s="34">
        <f t="shared" si="11"/>
        <v>1.25</v>
      </c>
      <c r="U9" s="27">
        <f t="shared" si="12"/>
        <v>0.6206896552</v>
      </c>
      <c r="V9" s="21"/>
      <c r="W9" s="21">
        <v>44071.0</v>
      </c>
      <c r="X9" s="16">
        <v>0.0</v>
      </c>
      <c r="Y9" s="24"/>
      <c r="AA9" s="26" t="s">
        <v>58</v>
      </c>
      <c r="AB9" s="28">
        <f t="shared" si="13"/>
        <v>260905.25</v>
      </c>
      <c r="AC9" s="30">
        <f t="shared" si="14"/>
        <v>4</v>
      </c>
      <c r="AD9" s="31">
        <f t="shared" si="15"/>
        <v>0.29375</v>
      </c>
      <c r="AE9" s="28">
        <f t="shared" si="16"/>
        <v>22204.70213</v>
      </c>
    </row>
    <row r="10">
      <c r="A10" s="14">
        <v>46206.0</v>
      </c>
      <c r="B10" s="15" t="str">
        <f t="shared" si="2"/>
        <v>金</v>
      </c>
      <c r="C10" s="16">
        <v>550000.0</v>
      </c>
      <c r="D10" s="17">
        <f t="shared" si="3"/>
        <v>1650000</v>
      </c>
      <c r="E10" s="16">
        <v>26010.0</v>
      </c>
      <c r="F10" s="16">
        <v>418910.0</v>
      </c>
      <c r="G10" s="17">
        <f t="shared" si="4"/>
        <v>444920</v>
      </c>
      <c r="H10" s="17">
        <f t="shared" si="5"/>
        <v>1028330</v>
      </c>
      <c r="I10" s="18">
        <f t="shared" ref="I10:J10" si="17">IF(G10="","",IFERROR(G10/C10,""))</f>
        <v>0.8089454545</v>
      </c>
      <c r="J10" s="18">
        <f t="shared" si="17"/>
        <v>0.623230303</v>
      </c>
      <c r="K10" s="17">
        <f t="shared" si="7"/>
        <v>-621670</v>
      </c>
      <c r="L10" s="19" t="str">
        <f t="shared" si="8"/>
        <v>▲ 遅れ</v>
      </c>
      <c r="M10" s="21">
        <v>19.0</v>
      </c>
      <c r="N10" s="21">
        <v>21.0</v>
      </c>
      <c r="O10" s="21">
        <v>52.0</v>
      </c>
      <c r="P10" s="21">
        <v>32.0</v>
      </c>
      <c r="Q10" s="21">
        <v>56.0</v>
      </c>
      <c r="R10" s="18">
        <f t="shared" si="9"/>
        <v>0.3653846154</v>
      </c>
      <c r="S10" s="17">
        <f t="shared" si="10"/>
        <v>23416.84211</v>
      </c>
      <c r="T10" s="22">
        <f t="shared" si="11"/>
        <v>1.105263158</v>
      </c>
      <c r="U10" s="18">
        <f t="shared" si="12"/>
        <v>0.6153846154</v>
      </c>
      <c r="V10" s="21"/>
      <c r="W10" s="21"/>
      <c r="X10" s="16">
        <v>0.0</v>
      </c>
      <c r="Y10" s="24"/>
      <c r="AA10" s="26" t="s">
        <v>61</v>
      </c>
      <c r="AB10" s="28">
        <f t="shared" si="13"/>
        <v>314029</v>
      </c>
      <c r="AC10" s="30">
        <f t="shared" si="14"/>
        <v>5</v>
      </c>
      <c r="AD10" s="31">
        <f t="shared" si="15"/>
        <v>0.3888888889</v>
      </c>
      <c r="AE10" s="28">
        <f t="shared" si="16"/>
        <v>22430.64286</v>
      </c>
    </row>
    <row r="11">
      <c r="A11" s="32">
        <v>46207.0</v>
      </c>
      <c r="B11" s="23" t="str">
        <f t="shared" si="2"/>
        <v>土</v>
      </c>
      <c r="C11" s="16">
        <v>750000.0</v>
      </c>
      <c r="D11" s="25">
        <f t="shared" si="3"/>
        <v>2400000</v>
      </c>
      <c r="E11" s="16">
        <v>138350.0</v>
      </c>
      <c r="F11" s="16">
        <v>515280.0</v>
      </c>
      <c r="G11" s="25">
        <f t="shared" si="4"/>
        <v>653630</v>
      </c>
      <c r="H11" s="25">
        <f t="shared" si="5"/>
        <v>1681960</v>
      </c>
      <c r="I11" s="27">
        <f t="shared" ref="I11:J11" si="18">IF(G11="","",IFERROR(G11/C11,""))</f>
        <v>0.8715066667</v>
      </c>
      <c r="J11" s="27">
        <f t="shared" si="18"/>
        <v>0.7008166667</v>
      </c>
      <c r="K11" s="25">
        <f t="shared" si="7"/>
        <v>-718040</v>
      </c>
      <c r="L11" s="33" t="str">
        <f t="shared" si="8"/>
        <v>▲ 遅れ</v>
      </c>
      <c r="M11" s="21">
        <v>30.0</v>
      </c>
      <c r="N11" s="21">
        <v>30.0</v>
      </c>
      <c r="O11" s="21">
        <v>48.0</v>
      </c>
      <c r="P11" s="21">
        <v>31.0</v>
      </c>
      <c r="Q11" s="21">
        <v>55.0</v>
      </c>
      <c r="R11" s="27">
        <f t="shared" si="9"/>
        <v>0.625</v>
      </c>
      <c r="S11" s="25">
        <f t="shared" si="10"/>
        <v>21787.66667</v>
      </c>
      <c r="T11" s="34">
        <f t="shared" si="11"/>
        <v>1</v>
      </c>
      <c r="U11" s="27">
        <f t="shared" si="12"/>
        <v>0.6458333333</v>
      </c>
      <c r="V11" s="21"/>
      <c r="W11" s="21"/>
      <c r="X11" s="16">
        <v>0.0</v>
      </c>
      <c r="Y11" s="24"/>
      <c r="AA11" s="26" t="s">
        <v>64</v>
      </c>
      <c r="AB11" s="28">
        <f t="shared" si="13"/>
        <v>192022.8</v>
      </c>
      <c r="AC11" s="30">
        <f t="shared" si="14"/>
        <v>5</v>
      </c>
      <c r="AD11" s="31">
        <f t="shared" si="15"/>
        <v>0.3070175439</v>
      </c>
      <c r="AE11" s="28">
        <f t="shared" si="16"/>
        <v>27431.82857</v>
      </c>
    </row>
    <row r="12">
      <c r="A12" s="14">
        <v>46208.0</v>
      </c>
      <c r="B12" s="15" t="str">
        <f t="shared" si="2"/>
        <v>日</v>
      </c>
      <c r="C12" s="16">
        <v>750000.0</v>
      </c>
      <c r="D12" s="17">
        <f t="shared" si="3"/>
        <v>3150000</v>
      </c>
      <c r="E12" s="16">
        <v>108888.0</v>
      </c>
      <c r="F12" s="16">
        <v>546440.0</v>
      </c>
      <c r="G12" s="17">
        <f t="shared" si="4"/>
        <v>655328</v>
      </c>
      <c r="H12" s="17">
        <f t="shared" si="5"/>
        <v>2337288</v>
      </c>
      <c r="I12" s="18">
        <f t="shared" ref="I12:J12" si="19">IF(G12="","",IFERROR(G12/C12,""))</f>
        <v>0.8737706667</v>
      </c>
      <c r="J12" s="18">
        <f t="shared" si="19"/>
        <v>0.7419961905</v>
      </c>
      <c r="K12" s="17">
        <f t="shared" si="7"/>
        <v>-812712</v>
      </c>
      <c r="L12" s="19" t="str">
        <f t="shared" si="8"/>
        <v>▲ 遅れ</v>
      </c>
      <c r="M12" s="21">
        <v>30.0</v>
      </c>
      <c r="N12" s="21">
        <v>32.0</v>
      </c>
      <c r="O12" s="21">
        <v>102.0</v>
      </c>
      <c r="P12" s="21">
        <v>54.0</v>
      </c>
      <c r="Q12" s="21">
        <v>75.0</v>
      </c>
      <c r="R12" s="18">
        <f t="shared" si="9"/>
        <v>0.2941176471</v>
      </c>
      <c r="S12" s="17">
        <f t="shared" si="10"/>
        <v>21844.26667</v>
      </c>
      <c r="T12" s="22">
        <f t="shared" si="11"/>
        <v>1.066666667</v>
      </c>
      <c r="U12" s="18">
        <f t="shared" si="12"/>
        <v>0.5294117647</v>
      </c>
      <c r="V12" s="21"/>
      <c r="W12" s="21">
        <v>44119.0</v>
      </c>
      <c r="X12" s="16">
        <v>0.0</v>
      </c>
      <c r="Y12" s="24"/>
      <c r="AA12" s="26" t="s">
        <v>67</v>
      </c>
      <c r="AB12" s="28">
        <f t="shared" si="13"/>
        <v>330919.75</v>
      </c>
      <c r="AC12" s="30">
        <f t="shared" si="14"/>
        <v>4</v>
      </c>
      <c r="AD12" s="31">
        <f t="shared" si="15"/>
        <v>0.4154929577</v>
      </c>
      <c r="AE12" s="28">
        <f t="shared" si="16"/>
        <v>22435.23729</v>
      </c>
    </row>
    <row r="13">
      <c r="A13" s="32">
        <v>46209.0</v>
      </c>
      <c r="B13" s="23" t="str">
        <f t="shared" si="2"/>
        <v>月</v>
      </c>
      <c r="C13" s="16">
        <v>550000.0</v>
      </c>
      <c r="D13" s="25">
        <f t="shared" si="3"/>
        <v>3700000</v>
      </c>
      <c r="E13" s="16">
        <v>134850.0</v>
      </c>
      <c r="F13" s="16">
        <v>229690.0</v>
      </c>
      <c r="G13" s="25">
        <f t="shared" si="4"/>
        <v>364540</v>
      </c>
      <c r="H13" s="25">
        <f t="shared" si="5"/>
        <v>2701828</v>
      </c>
      <c r="I13" s="27">
        <f t="shared" ref="I13:J13" si="20">IF(G13="","",IFERROR(G13/C13,""))</f>
        <v>0.6628</v>
      </c>
      <c r="J13" s="27">
        <f t="shared" si="20"/>
        <v>0.7302237838</v>
      </c>
      <c r="K13" s="25">
        <f t="shared" si="7"/>
        <v>-998172</v>
      </c>
      <c r="L13" s="33" t="str">
        <f t="shared" si="8"/>
        <v>▲ 遅れ</v>
      </c>
      <c r="M13" s="21">
        <v>15.0</v>
      </c>
      <c r="N13" s="21">
        <v>17.0</v>
      </c>
      <c r="O13" s="21">
        <v>35.0</v>
      </c>
      <c r="P13" s="21">
        <v>18.0</v>
      </c>
      <c r="Q13" s="21">
        <v>29.0</v>
      </c>
      <c r="R13" s="27">
        <f t="shared" si="9"/>
        <v>0.4285714286</v>
      </c>
      <c r="S13" s="25">
        <f t="shared" si="10"/>
        <v>24302.66667</v>
      </c>
      <c r="T13" s="34">
        <f t="shared" si="11"/>
        <v>1.133333333</v>
      </c>
      <c r="U13" s="27">
        <f t="shared" si="12"/>
        <v>0.5142857143</v>
      </c>
      <c r="V13" s="21"/>
      <c r="W13" s="21">
        <v>44121.0</v>
      </c>
      <c r="X13" s="16">
        <v>0.0</v>
      </c>
      <c r="Y13" s="24"/>
      <c r="AA13" s="26" t="s">
        <v>69</v>
      </c>
      <c r="AB13" s="28">
        <f t="shared" si="13"/>
        <v>561593.75</v>
      </c>
      <c r="AC13" s="30">
        <f t="shared" si="14"/>
        <v>4</v>
      </c>
      <c r="AD13" s="31">
        <f t="shared" si="15"/>
        <v>0.4553571429</v>
      </c>
      <c r="AE13" s="28">
        <f t="shared" si="16"/>
        <v>22023.28431</v>
      </c>
    </row>
    <row r="14">
      <c r="A14" s="14">
        <v>46210.0</v>
      </c>
      <c r="B14" s="15" t="str">
        <f t="shared" si="2"/>
        <v>火</v>
      </c>
      <c r="C14" s="16">
        <v>550000.0</v>
      </c>
      <c r="D14" s="17">
        <f t="shared" si="3"/>
        <v>4250000</v>
      </c>
      <c r="E14" s="16">
        <v>62530.0</v>
      </c>
      <c r="F14" s="16">
        <v>259960.0</v>
      </c>
      <c r="G14" s="17">
        <f t="shared" si="4"/>
        <v>322490</v>
      </c>
      <c r="H14" s="17">
        <f t="shared" si="5"/>
        <v>3024318</v>
      </c>
      <c r="I14" s="18">
        <f t="shared" ref="I14:J14" si="21">IF(G14="","",IFERROR(G14/C14,""))</f>
        <v>0.5863454545</v>
      </c>
      <c r="J14" s="18">
        <f t="shared" si="21"/>
        <v>0.7116042353</v>
      </c>
      <c r="K14" s="17">
        <f t="shared" si="7"/>
        <v>-1225682</v>
      </c>
      <c r="L14" s="19" t="str">
        <f t="shared" si="8"/>
        <v>▲ 遅れ</v>
      </c>
      <c r="M14" s="21">
        <v>15.0</v>
      </c>
      <c r="N14" s="21">
        <v>15.0</v>
      </c>
      <c r="O14" s="21">
        <v>52.0</v>
      </c>
      <c r="P14" s="21">
        <v>20.0</v>
      </c>
      <c r="Q14" s="21">
        <v>40.0</v>
      </c>
      <c r="R14" s="18">
        <f t="shared" si="9"/>
        <v>0.2884615385</v>
      </c>
      <c r="S14" s="17">
        <f t="shared" si="10"/>
        <v>21499.33333</v>
      </c>
      <c r="T14" s="22">
        <f t="shared" si="11"/>
        <v>1</v>
      </c>
      <c r="U14" s="18">
        <f t="shared" si="12"/>
        <v>0.3846153846</v>
      </c>
      <c r="V14" s="21"/>
      <c r="W14" s="21">
        <v>44119.0</v>
      </c>
      <c r="X14" s="16">
        <v>0.0</v>
      </c>
      <c r="Y14" s="24"/>
      <c r="AA14" s="26" t="s">
        <v>71</v>
      </c>
      <c r="AB14" s="28">
        <f t="shared" si="13"/>
        <v>401631.25</v>
      </c>
      <c r="AC14" s="30">
        <f t="shared" si="14"/>
        <v>4</v>
      </c>
      <c r="AD14" s="31">
        <f t="shared" si="15"/>
        <v>0.3116883117</v>
      </c>
      <c r="AE14" s="28">
        <f t="shared" si="16"/>
        <v>22312.84722</v>
      </c>
    </row>
    <row r="15">
      <c r="A15" s="32">
        <v>46211.0</v>
      </c>
      <c r="B15" s="23" t="str">
        <f t="shared" si="2"/>
        <v>水</v>
      </c>
      <c r="C15" s="16">
        <v>550000.0</v>
      </c>
      <c r="D15" s="25">
        <f t="shared" si="3"/>
        <v>4800000</v>
      </c>
      <c r="E15" s="16">
        <v>71967.0</v>
      </c>
      <c r="F15" s="16">
        <v>231070.0</v>
      </c>
      <c r="G15" s="25">
        <f t="shared" si="4"/>
        <v>303037</v>
      </c>
      <c r="H15" s="25">
        <f t="shared" si="5"/>
        <v>3327355</v>
      </c>
      <c r="I15" s="27">
        <f t="shared" ref="I15:J15" si="22">IF(G15="","",IFERROR(G15/C15,""))</f>
        <v>0.5509763636</v>
      </c>
      <c r="J15" s="27">
        <f t="shared" si="22"/>
        <v>0.6931989583</v>
      </c>
      <c r="K15" s="25">
        <f t="shared" si="7"/>
        <v>-1472645</v>
      </c>
      <c r="L15" s="33" t="str">
        <f t="shared" si="8"/>
        <v>▲ 遅れ</v>
      </c>
      <c r="M15" s="21">
        <v>14.0</v>
      </c>
      <c r="N15" s="21">
        <v>14.0</v>
      </c>
      <c r="O15" s="21">
        <v>28.0</v>
      </c>
      <c r="P15" s="21">
        <v>22.0</v>
      </c>
      <c r="Q15" s="21">
        <v>46.0</v>
      </c>
      <c r="R15" s="27">
        <f t="shared" si="9"/>
        <v>0.5</v>
      </c>
      <c r="S15" s="25">
        <f t="shared" si="10"/>
        <v>21645.5</v>
      </c>
      <c r="T15" s="34">
        <f t="shared" si="11"/>
        <v>1</v>
      </c>
      <c r="U15" s="27">
        <f t="shared" si="12"/>
        <v>0.7857142857</v>
      </c>
      <c r="V15" s="21"/>
      <c r="W15" s="21"/>
      <c r="X15" s="16">
        <v>0.0</v>
      </c>
      <c r="Y15" s="24"/>
    </row>
    <row r="16">
      <c r="A16" s="14">
        <v>46212.0</v>
      </c>
      <c r="B16" s="15" t="str">
        <f t="shared" si="2"/>
        <v>木</v>
      </c>
      <c r="C16" s="16">
        <v>550000.0</v>
      </c>
      <c r="D16" s="17">
        <f t="shared" si="3"/>
        <v>5350000</v>
      </c>
      <c r="E16" s="16">
        <v>0.0</v>
      </c>
      <c r="F16" s="16">
        <v>254080.0</v>
      </c>
      <c r="G16" s="17">
        <f t="shared" si="4"/>
        <v>254080</v>
      </c>
      <c r="H16" s="17">
        <f t="shared" si="5"/>
        <v>3581435</v>
      </c>
      <c r="I16" s="18">
        <f t="shared" ref="I16:J16" si="23">IF(G16="","",IFERROR(G16/C16,""))</f>
        <v>0.4619636364</v>
      </c>
      <c r="J16" s="18">
        <f t="shared" si="23"/>
        <v>0.6694271028</v>
      </c>
      <c r="K16" s="17">
        <f t="shared" si="7"/>
        <v>-1768565</v>
      </c>
      <c r="L16" s="19" t="str">
        <f t="shared" si="8"/>
        <v>▲ 遅れ</v>
      </c>
      <c r="M16" s="21">
        <v>11.0</v>
      </c>
      <c r="N16" s="21">
        <v>11.0</v>
      </c>
      <c r="O16" s="21">
        <v>41.0</v>
      </c>
      <c r="P16" s="21">
        <v>18.0</v>
      </c>
      <c r="Q16" s="21">
        <v>48.0</v>
      </c>
      <c r="R16" s="18">
        <f t="shared" si="9"/>
        <v>0.2682926829</v>
      </c>
      <c r="S16" s="17">
        <f t="shared" si="10"/>
        <v>23098.18182</v>
      </c>
      <c r="T16" s="22">
        <f t="shared" si="11"/>
        <v>1</v>
      </c>
      <c r="U16" s="18">
        <f t="shared" si="12"/>
        <v>0.4390243902</v>
      </c>
      <c r="V16" s="21"/>
      <c r="W16" s="21">
        <v>44118.0</v>
      </c>
      <c r="X16" s="16">
        <v>0.0</v>
      </c>
      <c r="Y16" s="24"/>
      <c r="AA16" s="39" t="s">
        <v>75</v>
      </c>
    </row>
    <row r="17">
      <c r="A17" s="32">
        <v>46213.0</v>
      </c>
      <c r="B17" s="23" t="str">
        <f t="shared" si="2"/>
        <v>金</v>
      </c>
      <c r="C17" s="16">
        <v>550000.0</v>
      </c>
      <c r="D17" s="25">
        <f t="shared" si="3"/>
        <v>5900000</v>
      </c>
      <c r="E17" s="16">
        <v>45420.0</v>
      </c>
      <c r="F17" s="16">
        <v>361700.0</v>
      </c>
      <c r="G17" s="25">
        <f t="shared" si="4"/>
        <v>407120</v>
      </c>
      <c r="H17" s="25">
        <f t="shared" si="5"/>
        <v>3988555</v>
      </c>
      <c r="I17" s="27">
        <f t="shared" ref="I17:J17" si="24">IF(G17="","",IFERROR(G17/C17,""))</f>
        <v>0.7402181818</v>
      </c>
      <c r="J17" s="27">
        <f t="shared" si="24"/>
        <v>0.6760262712</v>
      </c>
      <c r="K17" s="25">
        <f t="shared" si="7"/>
        <v>-1911445</v>
      </c>
      <c r="L17" s="33" t="str">
        <f t="shared" si="8"/>
        <v>▲ 遅れ</v>
      </c>
      <c r="M17" s="21">
        <v>16.0</v>
      </c>
      <c r="N17" s="21">
        <v>16.0</v>
      </c>
      <c r="O17" s="21">
        <v>31.0</v>
      </c>
      <c r="P17" s="21">
        <v>23.0</v>
      </c>
      <c r="Q17" s="21">
        <v>35.0</v>
      </c>
      <c r="R17" s="27">
        <f t="shared" si="9"/>
        <v>0.5161290323</v>
      </c>
      <c r="S17" s="25">
        <f t="shared" si="10"/>
        <v>25445</v>
      </c>
      <c r="T17" s="34">
        <f t="shared" si="11"/>
        <v>1</v>
      </c>
      <c r="U17" s="27">
        <f t="shared" si="12"/>
        <v>0.7419354839</v>
      </c>
      <c r="V17" s="21"/>
      <c r="W17" s="21">
        <v>44115.0</v>
      </c>
      <c r="X17" s="16">
        <v>0.0</v>
      </c>
      <c r="Y17" s="24"/>
    </row>
    <row r="18">
      <c r="A18" s="14">
        <v>46214.0</v>
      </c>
      <c r="B18" s="15" t="str">
        <f t="shared" si="2"/>
        <v>土</v>
      </c>
      <c r="C18" s="16">
        <v>750000.0</v>
      </c>
      <c r="D18" s="17">
        <f t="shared" si="3"/>
        <v>6650000</v>
      </c>
      <c r="E18" s="16">
        <v>193350.0</v>
      </c>
      <c r="F18" s="16">
        <v>527417.0</v>
      </c>
      <c r="G18" s="17">
        <f t="shared" si="4"/>
        <v>720767</v>
      </c>
      <c r="H18" s="17">
        <f t="shared" si="5"/>
        <v>4709322</v>
      </c>
      <c r="I18" s="18">
        <f t="shared" ref="I18:J18" si="25">IF(G18="","",IFERROR(G18/C18,""))</f>
        <v>0.9610226667</v>
      </c>
      <c r="J18" s="18">
        <f t="shared" si="25"/>
        <v>0.7081687218</v>
      </c>
      <c r="K18" s="17">
        <f t="shared" si="7"/>
        <v>-1940678</v>
      </c>
      <c r="L18" s="19" t="str">
        <f t="shared" si="8"/>
        <v>▲ 遅れ</v>
      </c>
      <c r="M18" s="21">
        <v>31.0</v>
      </c>
      <c r="N18" s="21">
        <v>34.0</v>
      </c>
      <c r="O18" s="21">
        <v>76.0</v>
      </c>
      <c r="P18" s="21">
        <v>35.0</v>
      </c>
      <c r="Q18" s="21">
        <v>74.0</v>
      </c>
      <c r="R18" s="18">
        <f t="shared" si="9"/>
        <v>0.4078947368</v>
      </c>
      <c r="S18" s="17">
        <f t="shared" si="10"/>
        <v>23250.54839</v>
      </c>
      <c r="T18" s="22">
        <f t="shared" si="11"/>
        <v>1.096774194</v>
      </c>
      <c r="U18" s="18">
        <f t="shared" si="12"/>
        <v>0.4605263158</v>
      </c>
      <c r="V18" s="21"/>
      <c r="W18" s="21"/>
      <c r="X18" s="16">
        <v>0.0</v>
      </c>
      <c r="Y18" s="24"/>
      <c r="AA18" s="40" t="s">
        <v>76</v>
      </c>
      <c r="AH18" s="39" t="s">
        <v>87</v>
      </c>
      <c r="AI18" s="41">
        <f>$A$8+MOD(2-WEEKDAY($A$8,2)+7,7)</f>
        <v>46210</v>
      </c>
    </row>
    <row r="19">
      <c r="A19" s="32">
        <v>46215.0</v>
      </c>
      <c r="B19" s="23" t="str">
        <f t="shared" si="2"/>
        <v>日</v>
      </c>
      <c r="C19" s="16">
        <v>750000.0</v>
      </c>
      <c r="D19" s="25">
        <f t="shared" si="3"/>
        <v>7400000</v>
      </c>
      <c r="E19" s="16">
        <v>38220.0</v>
      </c>
      <c r="F19" s="16">
        <v>356070.0</v>
      </c>
      <c r="G19" s="25">
        <f t="shared" si="4"/>
        <v>394290</v>
      </c>
      <c r="H19" s="25">
        <f t="shared" si="5"/>
        <v>5103612</v>
      </c>
      <c r="I19" s="27">
        <f t="shared" ref="I19:J19" si="26">IF(G19="","",IFERROR(G19/C19,""))</f>
        <v>0.52572</v>
      </c>
      <c r="J19" s="27">
        <f t="shared" si="26"/>
        <v>0.6896772973</v>
      </c>
      <c r="K19" s="25">
        <f t="shared" si="7"/>
        <v>-2296388</v>
      </c>
      <c r="L19" s="33" t="str">
        <f t="shared" si="8"/>
        <v>▲ 遅れ</v>
      </c>
      <c r="M19" s="21">
        <v>15.0</v>
      </c>
      <c r="N19" s="21">
        <v>15.0</v>
      </c>
      <c r="O19" s="21">
        <v>51.0</v>
      </c>
      <c r="P19" s="21">
        <v>22.0</v>
      </c>
      <c r="Q19" s="21">
        <v>28.0</v>
      </c>
      <c r="R19" s="27">
        <f t="shared" si="9"/>
        <v>0.2941176471</v>
      </c>
      <c r="S19" s="25">
        <f t="shared" si="10"/>
        <v>26286</v>
      </c>
      <c r="T19" s="34">
        <f t="shared" si="11"/>
        <v>1</v>
      </c>
      <c r="U19" s="27">
        <f t="shared" si="12"/>
        <v>0.431372549</v>
      </c>
      <c r="V19" s="21"/>
      <c r="W19" s="21">
        <v>44126.0</v>
      </c>
      <c r="X19" s="16">
        <v>0.0</v>
      </c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46216.0</v>
      </c>
      <c r="B20" s="15" t="str">
        <f t="shared" si="2"/>
        <v>月</v>
      </c>
      <c r="C20" s="16">
        <v>550000.0</v>
      </c>
      <c r="D20" s="17">
        <f t="shared" si="3"/>
        <v>7950000</v>
      </c>
      <c r="E20" s="16">
        <v>64020.0</v>
      </c>
      <c r="F20" s="16">
        <v>116336.0</v>
      </c>
      <c r="G20" s="17">
        <f t="shared" si="4"/>
        <v>180356</v>
      </c>
      <c r="H20" s="17">
        <f t="shared" si="5"/>
        <v>5283968</v>
      </c>
      <c r="I20" s="18">
        <f t="shared" ref="I20:J20" si="27">IF(G20="","",IFERROR(G20/C20,""))</f>
        <v>0.32792</v>
      </c>
      <c r="J20" s="18">
        <f t="shared" si="27"/>
        <v>0.6646500629</v>
      </c>
      <c r="K20" s="17">
        <f t="shared" si="7"/>
        <v>-2666032</v>
      </c>
      <c r="L20" s="19" t="str">
        <f t="shared" si="8"/>
        <v>▲ 遅れ</v>
      </c>
      <c r="M20" s="21">
        <v>9.0</v>
      </c>
      <c r="N20" s="21">
        <v>9.0</v>
      </c>
      <c r="O20" s="21">
        <v>29.0</v>
      </c>
      <c r="P20" s="21">
        <v>11.0</v>
      </c>
      <c r="Q20" s="21">
        <v>32.0</v>
      </c>
      <c r="R20" s="18">
        <f t="shared" si="9"/>
        <v>0.3103448276</v>
      </c>
      <c r="S20" s="17">
        <f t="shared" si="10"/>
        <v>20039.55556</v>
      </c>
      <c r="T20" s="22">
        <f t="shared" si="11"/>
        <v>1</v>
      </c>
      <c r="U20" s="18">
        <f t="shared" si="12"/>
        <v>0.3793103448</v>
      </c>
      <c r="V20" s="21"/>
      <c r="W20" s="21">
        <v>44151.0</v>
      </c>
      <c r="X20" s="16">
        <v>0.0</v>
      </c>
      <c r="Y20" s="24"/>
      <c r="AA20" s="30">
        <v>1.0</v>
      </c>
      <c r="AB20" s="42" t="str">
        <f>IF($AI$18+7*(1-1)&gt;$A$38,"",TEXT($AI$18+7*(1-1),"m/d")&amp;"-"&amp;TEXT($AI$18+7*(1-1)+6,"m/d"))</f>
        <v>7/7-7/13</v>
      </c>
      <c r="AC20" s="28">
        <f>IF($AB20="","",(SUMIFS($G$8:$G$38,$A$8:$A$38,"&gt;="&amp;$AI$18+7*(1-1),$A$8:$A$38,"&lt;="&amp;$AI$18+7*(1-1)+6)+SUMIFS('2026年08月'!$G$8:$G$38,'2026年08月'!$A$8:$A$38,"&gt;="&amp;$AI$18+7*(1-1),'2026年08月'!$A$8:$A$38,"&lt;="&amp;$AI$18+7*(1-1)+6)))</f>
        <v>2582140</v>
      </c>
      <c r="AD20" s="31">
        <f>IF($AB20="","",IFERROR((SUMIFS($M$8:$M$38,$A$8:$A$38,"&gt;="&amp;$AI$18+7*(1-1),$A$8:$A$38,"&lt;="&amp;$AI$18+7*(1-1)+6)+SUMIFS('2026年08月'!$M$8:$M$38,'2026年08月'!$A$8:$A$38,"&gt;="&amp;$AI$18+7*(1-1),'2026年08月'!$A$8:$A$38,"&lt;="&amp;$AI$18+7*(1-1)+6))/(SUMIFS($O$8:$O$38,$A$8:$A$38,"&gt;="&amp;$AI$18+7*(1-1),$A$8:$A$38,"&lt;="&amp;$AI$18+7*(1-1)+6)+SUMIFS('2026年08月'!$O$8:$O$38,'2026年08月'!$A$8:$A$38,"&gt;="&amp;$AI$18+7*(1-1),'2026年08月'!$A$8:$A$38,"&lt;="&amp;$AI$18+7*(1-1)+6)),""))</f>
        <v>0.3603896104</v>
      </c>
      <c r="AE20" s="28">
        <f>IF($AB20="","",IFERROR((SUMIFS($G$8:$G$38,$A$8:$A$38,"&gt;="&amp;$AI$18+7*(1-1),$A$8:$A$38,"&lt;="&amp;$AI$18+7*(1-1)+6)+SUMIFS('2026年08月'!$G$8:$G$38,'2026年08月'!$A$8:$A$38,"&gt;="&amp;$AI$18+7*(1-1),'2026年08月'!$A$8:$A$38,"&lt;="&amp;$AI$18+7*(1-1)+6))/(SUMIFS($M$8:$M$38,$A$8:$A$38,"&gt;="&amp;$AI$18+7*(1-1),$A$8:$A$38,"&lt;="&amp;$AI$18+7*(1-1)+6)+SUMIFS('2026年08月'!$M$8:$M$38,'2026年08月'!$A$8:$A$38,"&gt;="&amp;$AI$18+7*(1-1),'2026年08月'!$A$8:$A$38,"&lt;="&amp;$AI$18+7*(1-1)+6)),""))</f>
        <v>23262.52252</v>
      </c>
      <c r="AF20" s="43">
        <f>IF($AB20="","",IFERROR((SUMIFS($N$8:$N$38,$A$8:$A$38,"&gt;="&amp;$AI$18+7*(1-1),$A$8:$A$38,"&lt;="&amp;$AI$18+7*(1-1)+6)+SUMIFS('2026年08月'!$N$8:$N$38,'2026年08月'!$A$8:$A$38,"&gt;="&amp;$AI$18+7*(1-1),'2026年08月'!$A$8:$A$38,"&lt;="&amp;$AI$18+7*(1-1)+6))/(SUMIFS($M$8:$M$38,$A$8:$A$38,"&gt;="&amp;$AI$18+7*(1-1),$A$8:$A$38,"&lt;="&amp;$AI$18+7*(1-1)+6)+SUMIFS('2026年08月'!$M$8:$M$38,'2026年08月'!$A$8:$A$38,"&gt;="&amp;$AI$18+7*(1-1),'2026年08月'!$A$8:$A$38,"&lt;="&amp;$AI$18+7*(1-1)+6)),""))</f>
        <v>1.027027027</v>
      </c>
      <c r="AG20" s="31">
        <f>IF($AB20="","",IFERROR((SUMIFS($P$8:$P$38,$A$8:$A$38,"&gt;="&amp;$AI$18+7*(1-1),$A$8:$A$38,"&lt;="&amp;$AI$18+7*(1-1)+6)+SUMIFS('2026年08月'!$P$8:$P$38,'2026年08月'!$A$8:$A$38,"&gt;="&amp;$AI$18+7*(1-1),'2026年08月'!$A$8:$A$38,"&lt;="&amp;$AI$18+7*(1-1)+6))/(SUMIFS($O$8:$O$38,$A$8:$A$38,"&gt;="&amp;$AI$18+7*(1-1),$A$8:$A$38,"&lt;="&amp;$AI$18+7*(1-1)+6)+SUMIFS('2026年08月'!$O$8:$O$38,'2026年08月'!$A$8:$A$38,"&gt;="&amp;$AI$18+7*(1-1),'2026年08月'!$A$8:$A$38,"&lt;="&amp;$AI$18+7*(1-1)+6)),""))</f>
        <v>0.4902597403</v>
      </c>
    </row>
    <row r="21" ht="15.75" customHeight="1">
      <c r="A21" s="32">
        <v>46217.0</v>
      </c>
      <c r="B21" s="23" t="str">
        <f t="shared" si="2"/>
        <v>火</v>
      </c>
      <c r="C21" s="16">
        <v>550000.0</v>
      </c>
      <c r="D21" s="25">
        <f t="shared" si="3"/>
        <v>8500000</v>
      </c>
      <c r="E21" s="16">
        <v>96240.0</v>
      </c>
      <c r="F21" s="16">
        <v>201170.0</v>
      </c>
      <c r="G21" s="25">
        <f t="shared" si="4"/>
        <v>297410</v>
      </c>
      <c r="H21" s="25">
        <f t="shared" si="5"/>
        <v>5581378</v>
      </c>
      <c r="I21" s="27">
        <f t="shared" ref="I21:J21" si="28">IF(G21="","",IFERROR(G21/C21,""))</f>
        <v>0.5407454545</v>
      </c>
      <c r="J21" s="27">
        <f t="shared" si="28"/>
        <v>0.6566327059</v>
      </c>
      <c r="K21" s="25">
        <f t="shared" si="7"/>
        <v>-2918622</v>
      </c>
      <c r="L21" s="33" t="str">
        <f t="shared" si="8"/>
        <v>▲ 遅れ</v>
      </c>
      <c r="M21" s="21">
        <v>12.0</v>
      </c>
      <c r="N21" s="21">
        <v>15.0</v>
      </c>
      <c r="O21" s="21">
        <v>36.0</v>
      </c>
      <c r="P21" s="21">
        <v>12.0</v>
      </c>
      <c r="Q21" s="21">
        <v>19.0</v>
      </c>
      <c r="R21" s="27">
        <f t="shared" si="9"/>
        <v>0.3333333333</v>
      </c>
      <c r="S21" s="25">
        <f t="shared" si="10"/>
        <v>24784.16667</v>
      </c>
      <c r="T21" s="34">
        <f t="shared" si="11"/>
        <v>1.25</v>
      </c>
      <c r="U21" s="27">
        <f t="shared" si="12"/>
        <v>0.3333333333</v>
      </c>
      <c r="V21" s="21"/>
      <c r="W21" s="21">
        <v>44157.0</v>
      </c>
      <c r="X21" s="16">
        <v>0.0</v>
      </c>
      <c r="Y21" s="24"/>
      <c r="AA21" s="30">
        <v>2.0</v>
      </c>
      <c r="AB21" s="42" t="str">
        <f>IF($AI$18+7*(2-1)&gt;$A$38,"",TEXT($AI$18+7*(2-1),"m/d")&amp;"-"&amp;TEXT($AI$18+7*(2-1)+6,"m/d"))</f>
        <v>7/14-7/20</v>
      </c>
      <c r="AC21" s="28">
        <f>IF($AB21="","",(SUMIFS($G$8:$G$38,$A$8:$A$38,"&gt;="&amp;$AI$18+7*(2-1),$A$8:$A$38,"&lt;="&amp;$AI$18+7*(2-1)+6)+SUMIFS('2026年08月'!$G$8:$G$38,'2026年08月'!$A$8:$A$38,"&gt;="&amp;$AI$18+7*(2-1),'2026年08月'!$A$8:$A$38,"&lt;="&amp;$AI$18+7*(2-1)+6)))</f>
        <v>2374619</v>
      </c>
      <c r="AD21" s="31">
        <f>IF($AB21="","",IFERROR((SUMIFS($M$8:$M$38,$A$8:$A$38,"&gt;="&amp;$AI$18+7*(2-1),$A$8:$A$38,"&lt;="&amp;$AI$18+7*(2-1)+6)+SUMIFS('2026年08月'!$M$8:$M$38,'2026年08月'!$A$8:$A$38,"&gt;="&amp;$AI$18+7*(2-1),'2026年08月'!$A$8:$A$38,"&lt;="&amp;$AI$18+7*(2-1)+6))/(SUMIFS($O$8:$O$38,$A$8:$A$38,"&gt;="&amp;$AI$18+7*(2-1),$A$8:$A$38,"&lt;="&amp;$AI$18+7*(2-1)+6)+SUMIFS('2026年08月'!$O$8:$O$38,'2026年08月'!$A$8:$A$38,"&gt;="&amp;$AI$18+7*(2-1),'2026年08月'!$A$8:$A$38,"&lt;="&amp;$AI$18+7*(2-1)+6)),""))</f>
        <v>0.4274193548</v>
      </c>
      <c r="AE21" s="28">
        <f>IF($AB21="","",IFERROR((SUMIFS($G$8:$G$38,$A$8:$A$38,"&gt;="&amp;$AI$18+7*(2-1),$A$8:$A$38,"&lt;="&amp;$AI$18+7*(2-1)+6)+SUMIFS('2026年08月'!$G$8:$G$38,'2026年08月'!$A$8:$A$38,"&gt;="&amp;$AI$18+7*(2-1),'2026年08月'!$A$8:$A$38,"&lt;="&amp;$AI$18+7*(2-1)+6))/(SUMIFS($M$8:$M$38,$A$8:$A$38,"&gt;="&amp;$AI$18+7*(2-1),$A$8:$A$38,"&lt;="&amp;$AI$18+7*(2-1)+6)+SUMIFS('2026年08月'!$M$8:$M$38,'2026年08月'!$A$8:$A$38,"&gt;="&amp;$AI$18+7*(2-1),'2026年08月'!$A$8:$A$38,"&lt;="&amp;$AI$18+7*(2-1)+6)),""))</f>
        <v>22402.06604</v>
      </c>
      <c r="AF21" s="43">
        <f>IF($AB21="","",IFERROR((SUMIFS($N$8:$N$38,$A$8:$A$38,"&gt;="&amp;$AI$18+7*(2-1),$A$8:$A$38,"&lt;="&amp;$AI$18+7*(2-1)+6)+SUMIFS('2026年08月'!$N$8:$N$38,'2026年08月'!$A$8:$A$38,"&gt;="&amp;$AI$18+7*(2-1),'2026年08月'!$A$8:$A$38,"&lt;="&amp;$AI$18+7*(2-1)+6))/(SUMIFS($M$8:$M$38,$A$8:$A$38,"&gt;="&amp;$AI$18+7*(2-1),$A$8:$A$38,"&lt;="&amp;$AI$18+7*(2-1)+6)+SUMIFS('2026年08月'!$M$8:$M$38,'2026年08月'!$A$8:$A$38,"&gt;="&amp;$AI$18+7*(2-1),'2026年08月'!$A$8:$A$38,"&lt;="&amp;$AI$18+7*(2-1)+6)),""))</f>
        <v>1.066037736</v>
      </c>
      <c r="AG21" s="31">
        <f>IF($AB21="","",IFERROR((SUMIFS($P$8:$P$38,$A$8:$A$38,"&gt;="&amp;$AI$18+7*(2-1),$A$8:$A$38,"&lt;="&amp;$AI$18+7*(2-1)+6)+SUMIFS('2026年08月'!$P$8:$P$38,'2026年08月'!$A$8:$A$38,"&gt;="&amp;$AI$18+7*(2-1),'2026年08月'!$A$8:$A$38,"&lt;="&amp;$AI$18+7*(2-1)+6))/(SUMIFS($O$8:$O$38,$A$8:$A$38,"&gt;="&amp;$AI$18+7*(2-1),$A$8:$A$38,"&lt;="&amp;$AI$18+7*(2-1)+6)+SUMIFS('2026年08月'!$O$8:$O$38,'2026年08月'!$A$8:$A$38,"&gt;="&amp;$AI$18+7*(2-1),'2026年08月'!$A$8:$A$38,"&lt;="&amp;$AI$18+7*(2-1)+6)),""))</f>
        <v>0.6612903226</v>
      </c>
    </row>
    <row r="22" ht="15.75" customHeight="1">
      <c r="A22" s="14">
        <v>46218.0</v>
      </c>
      <c r="B22" s="15" t="str">
        <f t="shared" si="2"/>
        <v>水</v>
      </c>
      <c r="C22" s="16">
        <v>550000.0</v>
      </c>
      <c r="D22" s="17">
        <f t="shared" si="3"/>
        <v>9050000</v>
      </c>
      <c r="E22" s="16">
        <v>152940.0</v>
      </c>
      <c r="F22" s="16">
        <v>200180.0</v>
      </c>
      <c r="G22" s="17">
        <f t="shared" si="4"/>
        <v>353120</v>
      </c>
      <c r="H22" s="17">
        <f t="shared" si="5"/>
        <v>5934498</v>
      </c>
      <c r="I22" s="18">
        <f t="shared" ref="I22:J22" si="29">IF(G22="","",IFERROR(G22/C22,""))</f>
        <v>0.6420363636</v>
      </c>
      <c r="J22" s="18">
        <f t="shared" si="29"/>
        <v>0.6557456354</v>
      </c>
      <c r="K22" s="17">
        <f t="shared" si="7"/>
        <v>-3115502</v>
      </c>
      <c r="L22" s="19" t="str">
        <f t="shared" si="8"/>
        <v>▲ 遅れ</v>
      </c>
      <c r="M22" s="21">
        <v>16.0</v>
      </c>
      <c r="N22" s="21">
        <v>18.0</v>
      </c>
      <c r="O22" s="21">
        <v>40.0</v>
      </c>
      <c r="P22" s="21">
        <v>27.0</v>
      </c>
      <c r="Q22" s="21">
        <v>36.0</v>
      </c>
      <c r="R22" s="18">
        <f t="shared" si="9"/>
        <v>0.4</v>
      </c>
      <c r="S22" s="17">
        <f t="shared" si="10"/>
        <v>22070</v>
      </c>
      <c r="T22" s="22">
        <f t="shared" si="11"/>
        <v>1.125</v>
      </c>
      <c r="U22" s="18">
        <f t="shared" si="12"/>
        <v>0.675</v>
      </c>
      <c r="V22" s="21"/>
      <c r="W22" s="21">
        <v>44154.0</v>
      </c>
      <c r="X22" s="16">
        <v>0.0</v>
      </c>
      <c r="Y22" s="24"/>
      <c r="AA22" s="30">
        <v>3.0</v>
      </c>
      <c r="AB22" s="42" t="str">
        <f>IF($AI$18+7*(3-1)&gt;$A$38,"",TEXT($AI$18+7*(3-1),"m/d")&amp;"-"&amp;TEXT($AI$18+7*(3-1)+6,"m/d"))</f>
        <v>7/21-7/27</v>
      </c>
      <c r="AC22" s="28">
        <f>IF($AB22="","",(SUMIFS($G$8:$G$38,$A$8:$A$38,"&gt;="&amp;$AI$18+7*(3-1),$A$8:$A$38,"&lt;="&amp;$AI$18+7*(3-1)+6)+SUMIFS('2026年08月'!$G$8:$G$38,'2026年08月'!$A$8:$A$38,"&gt;="&amp;$AI$18+7*(3-1),'2026年08月'!$A$8:$A$38,"&lt;="&amp;$AI$18+7*(3-1)+6)))</f>
        <v>1490502</v>
      </c>
      <c r="AD22" s="31">
        <f>IF($AB22="","",IFERROR((SUMIFS($M$8:$M$38,$A$8:$A$38,"&gt;="&amp;$AI$18+7*(3-1),$A$8:$A$38,"&lt;="&amp;$AI$18+7*(3-1)+6)+SUMIFS('2026年08月'!$M$8:$M$38,'2026年08月'!$A$8:$A$38,"&gt;="&amp;$AI$18+7*(3-1),'2026年08月'!$A$8:$A$38,"&lt;="&amp;$AI$18+7*(3-1)+6))/(SUMIFS($O$8:$O$38,$A$8:$A$38,"&gt;="&amp;$AI$18+7*(3-1),$A$8:$A$38,"&lt;="&amp;$AI$18+7*(3-1)+6)+SUMIFS('2026年08月'!$O$8:$O$38,'2026年08月'!$A$8:$A$38,"&gt;="&amp;$AI$18+7*(3-1),'2026年08月'!$A$8:$A$38,"&lt;="&amp;$AI$18+7*(3-1)+6)),""))</f>
        <v>0.3287671233</v>
      </c>
      <c r="AE22" s="28">
        <f>IF($AB22="","",IFERROR((SUMIFS($G$8:$G$38,$A$8:$A$38,"&gt;="&amp;$AI$18+7*(3-1),$A$8:$A$38,"&lt;="&amp;$AI$18+7*(3-1)+6)+SUMIFS('2026年08月'!$G$8:$G$38,'2026年08月'!$A$8:$A$38,"&gt;="&amp;$AI$18+7*(3-1),'2026年08月'!$A$8:$A$38,"&lt;="&amp;$AI$18+7*(3-1)+6))/(SUMIFS($M$8:$M$38,$A$8:$A$38,"&gt;="&amp;$AI$18+7*(3-1),$A$8:$A$38,"&lt;="&amp;$AI$18+7*(3-1)+6)+SUMIFS('2026年08月'!$M$8:$M$38,'2026年08月'!$A$8:$A$38,"&gt;="&amp;$AI$18+7*(3-1),'2026年08月'!$A$8:$A$38,"&lt;="&amp;$AI$18+7*(3-1)+6)),""))</f>
        <v>20701.41667</v>
      </c>
      <c r="AF22" s="43">
        <f>IF($AB22="","",IFERROR((SUMIFS($N$8:$N$38,$A$8:$A$38,"&gt;="&amp;$AI$18+7*(3-1),$A$8:$A$38,"&lt;="&amp;$AI$18+7*(3-1)+6)+SUMIFS('2026年08月'!$N$8:$N$38,'2026年08月'!$A$8:$A$38,"&gt;="&amp;$AI$18+7*(3-1),'2026年08月'!$A$8:$A$38,"&lt;="&amp;$AI$18+7*(3-1)+6))/(SUMIFS($M$8:$M$38,$A$8:$A$38,"&gt;="&amp;$AI$18+7*(3-1),$A$8:$A$38,"&lt;="&amp;$AI$18+7*(3-1)+6)+SUMIFS('2026年08月'!$M$8:$M$38,'2026年08月'!$A$8:$A$38,"&gt;="&amp;$AI$18+7*(3-1),'2026年08月'!$A$8:$A$38,"&lt;="&amp;$AI$18+7*(3-1)+6)),""))</f>
        <v>1.013888889</v>
      </c>
      <c r="AG22" s="31">
        <f>IF($AB22="","",IFERROR((SUMIFS($P$8:$P$38,$A$8:$A$38,"&gt;="&amp;$AI$18+7*(3-1),$A$8:$A$38,"&lt;="&amp;$AI$18+7*(3-1)+6)+SUMIFS('2026年08月'!$P$8:$P$38,'2026年08月'!$A$8:$A$38,"&gt;="&amp;$AI$18+7*(3-1),'2026年08月'!$A$8:$A$38,"&lt;="&amp;$AI$18+7*(3-1)+6))/(SUMIFS($O$8:$O$38,$A$8:$A$38,"&gt;="&amp;$AI$18+7*(3-1),$A$8:$A$38,"&lt;="&amp;$AI$18+7*(3-1)+6)+SUMIFS('2026年08月'!$O$8:$O$38,'2026年08月'!$A$8:$A$38,"&gt;="&amp;$AI$18+7*(3-1),'2026年08月'!$A$8:$A$38,"&lt;="&amp;$AI$18+7*(3-1)+6)),""))</f>
        <v>0.5114155251</v>
      </c>
    </row>
    <row r="23" ht="15.75" customHeight="1">
      <c r="A23" s="32">
        <v>46219.0</v>
      </c>
      <c r="B23" s="23" t="str">
        <f t="shared" si="2"/>
        <v>木</v>
      </c>
      <c r="C23" s="16">
        <v>550000.0</v>
      </c>
      <c r="D23" s="25">
        <f t="shared" si="3"/>
        <v>9600000</v>
      </c>
      <c r="E23" s="16">
        <v>67920.0</v>
      </c>
      <c r="F23" s="16">
        <v>179943.0</v>
      </c>
      <c r="G23" s="25">
        <f t="shared" si="4"/>
        <v>247863</v>
      </c>
      <c r="H23" s="25">
        <f t="shared" si="5"/>
        <v>6182361</v>
      </c>
      <c r="I23" s="27">
        <f t="shared" ref="I23:J23" si="30">IF(G23="","",IFERROR(G23/C23,""))</f>
        <v>0.45066</v>
      </c>
      <c r="J23" s="27">
        <f t="shared" si="30"/>
        <v>0.6439959375</v>
      </c>
      <c r="K23" s="25">
        <f t="shared" si="7"/>
        <v>-3417639</v>
      </c>
      <c r="L23" s="33" t="str">
        <f t="shared" si="8"/>
        <v>▲ 遅れ</v>
      </c>
      <c r="M23" s="21">
        <v>9.0</v>
      </c>
      <c r="N23" s="21">
        <v>11.0</v>
      </c>
      <c r="O23" s="21">
        <v>26.0</v>
      </c>
      <c r="P23" s="21">
        <v>11.0</v>
      </c>
      <c r="Q23" s="21">
        <v>15.0</v>
      </c>
      <c r="R23" s="27">
        <f t="shared" si="9"/>
        <v>0.3461538462</v>
      </c>
      <c r="S23" s="25">
        <f t="shared" si="10"/>
        <v>27540.33333</v>
      </c>
      <c r="T23" s="34">
        <f t="shared" si="11"/>
        <v>1.222222222</v>
      </c>
      <c r="U23" s="27">
        <f t="shared" si="12"/>
        <v>0.4230769231</v>
      </c>
      <c r="V23" s="21"/>
      <c r="W23" s="21">
        <v>44153.0</v>
      </c>
      <c r="X23" s="16">
        <v>0.0</v>
      </c>
      <c r="Y23" s="24"/>
      <c r="AA23" s="30">
        <v>4.0</v>
      </c>
      <c r="AB23" s="42" t="str">
        <f>IF($AI$18+7*(4-1)&gt;$A$38,"",TEXT($AI$18+7*(4-1),"m/d")&amp;"-"&amp;TEXT($AI$18+7*(4-1)+6,"m/d"))</f>
        <v>7/28-8/3</v>
      </c>
      <c r="AC23" s="28">
        <f>IF($AB23="","",(SUMIFS($G$8:$G$38,$A$8:$A$38,"&gt;="&amp;$AI$18+7*(4-1),$A$8:$A$38,"&lt;="&amp;$AI$18+7*(4-1)+6)+SUMIFS('2026年08月'!$G$8:$G$38,'2026年08月'!$A$8:$A$38,"&gt;="&amp;$AI$18+7*(4-1),'2026年08月'!$A$8:$A$38,"&lt;="&amp;$AI$18+7*(4-1)+6)))</f>
        <v>1293630</v>
      </c>
      <c r="AD23" s="31">
        <f>IF($AB23="","",IFERROR((SUMIFS($M$8:$M$38,$A$8:$A$38,"&gt;="&amp;$AI$18+7*(4-1),$A$8:$A$38,"&lt;="&amp;$AI$18+7*(4-1)+6)+SUMIFS('2026年08月'!$M$8:$M$38,'2026年08月'!$A$8:$A$38,"&gt;="&amp;$AI$18+7*(4-1),'2026年08月'!$A$8:$A$38,"&lt;="&amp;$AI$18+7*(4-1)+6))/(SUMIFS($O$8:$O$38,$A$8:$A$38,"&gt;="&amp;$AI$18+7*(4-1),$A$8:$A$38,"&lt;="&amp;$AI$18+7*(4-1)+6)+SUMIFS('2026年08月'!$O$8:$O$38,'2026年08月'!$A$8:$A$38,"&gt;="&amp;$AI$18+7*(4-1),'2026年08月'!$A$8:$A$38,"&lt;="&amp;$AI$18+7*(4-1)+6)),""))</f>
        <v>0.2760416667</v>
      </c>
      <c r="AE23" s="28">
        <f>IF($AB23="","",IFERROR((SUMIFS($G$8:$G$38,$A$8:$A$38,"&gt;="&amp;$AI$18+7*(4-1),$A$8:$A$38,"&lt;="&amp;$AI$18+7*(4-1)+6)+SUMIFS('2026年08月'!$G$8:$G$38,'2026年08月'!$A$8:$A$38,"&gt;="&amp;$AI$18+7*(4-1),'2026年08月'!$A$8:$A$38,"&lt;="&amp;$AI$18+7*(4-1)+6))/(SUMIFS($M$8:$M$38,$A$8:$A$38,"&gt;="&amp;$AI$18+7*(4-1),$A$8:$A$38,"&lt;="&amp;$AI$18+7*(4-1)+6)+SUMIFS('2026年08月'!$M$8:$M$38,'2026年08月'!$A$8:$A$38,"&gt;="&amp;$AI$18+7*(4-1),'2026年08月'!$A$8:$A$38,"&lt;="&amp;$AI$18+7*(4-1)+6)),""))</f>
        <v>24408.11321</v>
      </c>
      <c r="AF23" s="43">
        <f>IF($AB23="","",IFERROR((SUMIFS($N$8:$N$38,$A$8:$A$38,"&gt;="&amp;$AI$18+7*(4-1),$A$8:$A$38,"&lt;="&amp;$AI$18+7*(4-1)+6)+SUMIFS('2026年08月'!$N$8:$N$38,'2026年08月'!$A$8:$A$38,"&gt;="&amp;$AI$18+7*(4-1),'2026年08月'!$A$8:$A$38,"&lt;="&amp;$AI$18+7*(4-1)+6))/(SUMIFS($M$8:$M$38,$A$8:$A$38,"&gt;="&amp;$AI$18+7*(4-1),$A$8:$A$38,"&lt;="&amp;$AI$18+7*(4-1)+6)+SUMIFS('2026年08月'!$M$8:$M$38,'2026年08月'!$A$8:$A$38,"&gt;="&amp;$AI$18+7*(4-1),'2026年08月'!$A$8:$A$38,"&lt;="&amp;$AI$18+7*(4-1)+6)),""))</f>
        <v>1.113207547</v>
      </c>
      <c r="AG23" s="31">
        <f>IF($AB23="","",IFERROR((SUMIFS($P$8:$P$38,$A$8:$A$38,"&gt;="&amp;$AI$18+7*(4-1),$A$8:$A$38,"&lt;="&amp;$AI$18+7*(4-1)+6)+SUMIFS('2026年08月'!$P$8:$P$38,'2026年08月'!$A$8:$A$38,"&gt;="&amp;$AI$18+7*(4-1),'2026年08月'!$A$8:$A$38,"&lt;="&amp;$AI$18+7*(4-1)+6))/(SUMIFS($O$8:$O$38,$A$8:$A$38,"&gt;="&amp;$AI$18+7*(4-1),$A$8:$A$38,"&lt;="&amp;$AI$18+7*(4-1)+6)+SUMIFS('2026年08月'!$O$8:$O$38,'2026年08月'!$A$8:$A$38,"&gt;="&amp;$AI$18+7*(4-1),'2026年08月'!$A$8:$A$38,"&lt;="&amp;$AI$18+7*(4-1)+6)),""))</f>
        <v>0.421875</v>
      </c>
    </row>
    <row r="24" ht="15.75" customHeight="1">
      <c r="A24" s="14">
        <v>46220.0</v>
      </c>
      <c r="B24" s="15" t="str">
        <f t="shared" si="2"/>
        <v>金</v>
      </c>
      <c r="C24" s="16">
        <v>550000.0</v>
      </c>
      <c r="D24" s="17">
        <f t="shared" si="3"/>
        <v>10150000</v>
      </c>
      <c r="E24" s="16">
        <v>69840.0</v>
      </c>
      <c r="F24" s="16">
        <v>175760.0</v>
      </c>
      <c r="G24" s="17">
        <f t="shared" si="4"/>
        <v>245600</v>
      </c>
      <c r="H24" s="17">
        <f t="shared" si="5"/>
        <v>6427961</v>
      </c>
      <c r="I24" s="18">
        <f t="shared" ref="I24:J24" si="31">IF(G24="","",IFERROR(G24/C24,""))</f>
        <v>0.4465454545</v>
      </c>
      <c r="J24" s="18">
        <f t="shared" si="31"/>
        <v>0.6332966502</v>
      </c>
      <c r="K24" s="17">
        <f t="shared" si="7"/>
        <v>-3722039</v>
      </c>
      <c r="L24" s="19" t="str">
        <f t="shared" si="8"/>
        <v>▲ 遅れ</v>
      </c>
      <c r="M24" s="21">
        <v>12.0</v>
      </c>
      <c r="N24" s="21">
        <v>12.0</v>
      </c>
      <c r="O24" s="21">
        <v>22.0</v>
      </c>
      <c r="P24" s="21">
        <v>19.0</v>
      </c>
      <c r="Q24" s="21">
        <v>26.0</v>
      </c>
      <c r="R24" s="18">
        <f t="shared" si="9"/>
        <v>0.5454545455</v>
      </c>
      <c r="S24" s="17">
        <f t="shared" si="10"/>
        <v>20466.66667</v>
      </c>
      <c r="T24" s="22">
        <f t="shared" si="11"/>
        <v>1</v>
      </c>
      <c r="U24" s="18">
        <f t="shared" si="12"/>
        <v>0.8636363636</v>
      </c>
      <c r="V24" s="21"/>
      <c r="W24" s="21">
        <v>44162.0</v>
      </c>
      <c r="X24" s="16">
        <v>0.0</v>
      </c>
      <c r="Y24" s="24"/>
      <c r="AA24" s="30">
        <v>5.0</v>
      </c>
      <c r="AB24" s="42" t="str">
        <f>IF($AI$18+7*(5-1)&gt;$A$38,"",TEXT($AI$18+7*(5-1),"m/d")&amp;"-"&amp;TEXT($AI$18+7*(5-1)+6,"m/d"))</f>
        <v/>
      </c>
      <c r="AC24" s="28" t="str">
        <f>IF($AB24="","",(SUMIFS($G$8:$G$38,$A$8:$A$38,"&gt;="&amp;$AI$18+7*(5-1),$A$8:$A$38,"&lt;="&amp;$AI$18+7*(5-1)+6)+SUMIFS('2026年08月'!$G$8:$G$38,'2026年08月'!$A$8:$A$38,"&gt;="&amp;$AI$18+7*(5-1),'2026年08月'!$A$8:$A$38,"&lt;="&amp;$AI$18+7*(5-1)+6)))</f>
        <v/>
      </c>
      <c r="AD24" s="31" t="str">
        <f>IF($AB24="","",IFERROR((SUMIFS($M$8:$M$38,$A$8:$A$38,"&gt;="&amp;$AI$18+7*(5-1),$A$8:$A$38,"&lt;="&amp;$AI$18+7*(5-1)+6)+SUMIFS('2026年08月'!$M$8:$M$38,'2026年08月'!$A$8:$A$38,"&gt;="&amp;$AI$18+7*(5-1),'2026年08月'!$A$8:$A$38,"&lt;="&amp;$AI$18+7*(5-1)+6))/(SUMIFS($O$8:$O$38,$A$8:$A$38,"&gt;="&amp;$AI$18+7*(5-1),$A$8:$A$38,"&lt;="&amp;$AI$18+7*(5-1)+6)+SUMIFS('2026年08月'!$O$8:$O$38,'2026年08月'!$A$8:$A$38,"&gt;="&amp;$AI$18+7*(5-1),'2026年08月'!$A$8:$A$38,"&lt;="&amp;$AI$18+7*(5-1)+6)),""))</f>
        <v/>
      </c>
      <c r="AE24" s="28" t="str">
        <f>IF($AB24="","",IFERROR((SUMIFS($G$8:$G$38,$A$8:$A$38,"&gt;="&amp;$AI$18+7*(5-1),$A$8:$A$38,"&lt;="&amp;$AI$18+7*(5-1)+6)+SUMIFS('2026年08月'!$G$8:$G$38,'2026年08月'!$A$8:$A$38,"&gt;="&amp;$AI$18+7*(5-1),'2026年08月'!$A$8:$A$38,"&lt;="&amp;$AI$18+7*(5-1)+6))/(SUMIFS($M$8:$M$38,$A$8:$A$38,"&gt;="&amp;$AI$18+7*(5-1),$A$8:$A$38,"&lt;="&amp;$AI$18+7*(5-1)+6)+SUMIFS('2026年08月'!$M$8:$M$38,'2026年08月'!$A$8:$A$38,"&gt;="&amp;$AI$18+7*(5-1),'2026年08月'!$A$8:$A$38,"&lt;="&amp;$AI$18+7*(5-1)+6)),""))</f>
        <v/>
      </c>
      <c r="AF24" s="43" t="str">
        <f>IF($AB24="","",IFERROR((SUMIFS($N$8:$N$38,$A$8:$A$38,"&gt;="&amp;$AI$18+7*(5-1),$A$8:$A$38,"&lt;="&amp;$AI$18+7*(5-1)+6)+SUMIFS('2026年08月'!$N$8:$N$38,'2026年08月'!$A$8:$A$38,"&gt;="&amp;$AI$18+7*(5-1),'2026年08月'!$A$8:$A$38,"&lt;="&amp;$AI$18+7*(5-1)+6))/(SUMIFS($M$8:$M$38,$A$8:$A$38,"&gt;="&amp;$AI$18+7*(5-1),$A$8:$A$38,"&lt;="&amp;$AI$18+7*(5-1)+6)+SUMIFS('2026年08月'!$M$8:$M$38,'2026年08月'!$A$8:$A$38,"&gt;="&amp;$AI$18+7*(5-1),'2026年08月'!$A$8:$A$38,"&lt;="&amp;$AI$18+7*(5-1)+6)),""))</f>
        <v/>
      </c>
      <c r="AG24" s="31" t="str">
        <f>IF($AB24="","",IFERROR((SUMIFS($P$8:$P$38,$A$8:$A$38,"&gt;="&amp;$AI$18+7*(5-1),$A$8:$A$38,"&lt;="&amp;$AI$18+7*(5-1)+6)+SUMIFS('2026年08月'!$P$8:$P$38,'2026年08月'!$A$8:$A$38,"&gt;="&amp;$AI$18+7*(5-1),'2026年08月'!$A$8:$A$38,"&lt;="&amp;$AI$18+7*(5-1)+6))/(SUMIFS($O$8:$O$38,$A$8:$A$38,"&gt;="&amp;$AI$18+7*(5-1),$A$8:$A$38,"&lt;="&amp;$AI$18+7*(5-1)+6)+SUMIFS('2026年08月'!$O$8:$O$38,'2026年08月'!$A$8:$A$38,"&gt;="&amp;$AI$18+7*(5-1),'2026年08月'!$A$8:$A$38,"&lt;="&amp;$AI$18+7*(5-1)+6)),""))</f>
        <v/>
      </c>
    </row>
    <row r="25" ht="15.75" customHeight="1">
      <c r="A25" s="32">
        <v>46221.0</v>
      </c>
      <c r="B25" s="23" t="str">
        <f t="shared" si="2"/>
        <v>土</v>
      </c>
      <c r="C25" s="16">
        <v>900000.0</v>
      </c>
      <c r="D25" s="25">
        <f t="shared" si="3"/>
        <v>11050000</v>
      </c>
      <c r="E25" s="16">
        <v>85320.0</v>
      </c>
      <c r="F25" s="16">
        <v>417728.0</v>
      </c>
      <c r="G25" s="25">
        <f t="shared" si="4"/>
        <v>503048</v>
      </c>
      <c r="H25" s="25">
        <f t="shared" si="5"/>
        <v>6931009</v>
      </c>
      <c r="I25" s="27">
        <f t="shared" ref="I25:J25" si="32">IF(G25="","",IFERROR(G25/C25,""))</f>
        <v>0.5589422222</v>
      </c>
      <c r="J25" s="27">
        <f t="shared" si="32"/>
        <v>0.6272406335</v>
      </c>
      <c r="K25" s="25">
        <f t="shared" si="7"/>
        <v>-4118991</v>
      </c>
      <c r="L25" s="33" t="str">
        <f t="shared" si="8"/>
        <v>▲ 遅れ</v>
      </c>
      <c r="M25" s="21">
        <v>25.0</v>
      </c>
      <c r="N25" s="21">
        <v>25.0</v>
      </c>
      <c r="O25" s="21">
        <v>47.0</v>
      </c>
      <c r="P25" s="21">
        <v>39.0</v>
      </c>
      <c r="Q25" s="21">
        <v>45.0</v>
      </c>
      <c r="R25" s="27">
        <f t="shared" si="9"/>
        <v>0.5319148936</v>
      </c>
      <c r="S25" s="25">
        <f t="shared" si="10"/>
        <v>20121.92</v>
      </c>
      <c r="T25" s="34">
        <f t="shared" si="11"/>
        <v>1</v>
      </c>
      <c r="U25" s="27">
        <f t="shared" si="12"/>
        <v>0.829787234</v>
      </c>
      <c r="V25" s="21"/>
      <c r="W25" s="21"/>
      <c r="X25" s="16">
        <v>0.0</v>
      </c>
      <c r="Y25" s="24"/>
      <c r="AA25" s="30">
        <v>6.0</v>
      </c>
      <c r="AB25" s="42" t="str">
        <f>IF($AI$18+7*(6-1)&gt;$A$38,"",TEXT($AI$18+7*(6-1),"m/d")&amp;"-"&amp;TEXT($AI$18+7*(6-1)+6,"m/d"))</f>
        <v/>
      </c>
      <c r="AC25" s="28" t="str">
        <f>IF($AB25="","",(SUMIFS($G$8:$G$38,$A$8:$A$38,"&gt;="&amp;$AI$18+7*(6-1),$A$8:$A$38,"&lt;="&amp;$AI$18+7*(6-1)+6)+SUMIFS('2026年08月'!$G$8:$G$38,'2026年08月'!$A$8:$A$38,"&gt;="&amp;$AI$18+7*(6-1),'2026年08月'!$A$8:$A$38,"&lt;="&amp;$AI$18+7*(6-1)+6)))</f>
        <v/>
      </c>
      <c r="AD25" s="31" t="str">
        <f>IF($AB25="","",IFERROR((SUMIFS($M$8:$M$38,$A$8:$A$38,"&gt;="&amp;$AI$18+7*(6-1),$A$8:$A$38,"&lt;="&amp;$AI$18+7*(6-1)+6)+SUMIFS('2026年08月'!$M$8:$M$38,'2026年08月'!$A$8:$A$38,"&gt;="&amp;$AI$18+7*(6-1),'2026年08月'!$A$8:$A$38,"&lt;="&amp;$AI$18+7*(6-1)+6))/(SUMIFS($O$8:$O$38,$A$8:$A$38,"&gt;="&amp;$AI$18+7*(6-1),$A$8:$A$38,"&lt;="&amp;$AI$18+7*(6-1)+6)+SUMIFS('2026年08月'!$O$8:$O$38,'2026年08月'!$A$8:$A$38,"&gt;="&amp;$AI$18+7*(6-1),'2026年08月'!$A$8:$A$38,"&lt;="&amp;$AI$18+7*(6-1)+6)),""))</f>
        <v/>
      </c>
      <c r="AE25" s="28" t="str">
        <f>IF($AB25="","",IFERROR((SUMIFS($G$8:$G$38,$A$8:$A$38,"&gt;="&amp;$AI$18+7*(6-1),$A$8:$A$38,"&lt;="&amp;$AI$18+7*(6-1)+6)+SUMIFS('2026年08月'!$G$8:$G$38,'2026年08月'!$A$8:$A$38,"&gt;="&amp;$AI$18+7*(6-1),'2026年08月'!$A$8:$A$38,"&lt;="&amp;$AI$18+7*(6-1)+6))/(SUMIFS($M$8:$M$38,$A$8:$A$38,"&gt;="&amp;$AI$18+7*(6-1),$A$8:$A$38,"&lt;="&amp;$AI$18+7*(6-1)+6)+SUMIFS('2026年08月'!$M$8:$M$38,'2026年08月'!$A$8:$A$38,"&gt;="&amp;$AI$18+7*(6-1),'2026年08月'!$A$8:$A$38,"&lt;="&amp;$AI$18+7*(6-1)+6)),""))</f>
        <v/>
      </c>
      <c r="AF25" s="43" t="str">
        <f>IF($AB25="","",IFERROR((SUMIFS($N$8:$N$38,$A$8:$A$38,"&gt;="&amp;$AI$18+7*(6-1),$A$8:$A$38,"&lt;="&amp;$AI$18+7*(6-1)+6)+SUMIFS('2026年08月'!$N$8:$N$38,'2026年08月'!$A$8:$A$38,"&gt;="&amp;$AI$18+7*(6-1),'2026年08月'!$A$8:$A$38,"&lt;="&amp;$AI$18+7*(6-1)+6))/(SUMIFS($M$8:$M$38,$A$8:$A$38,"&gt;="&amp;$AI$18+7*(6-1),$A$8:$A$38,"&lt;="&amp;$AI$18+7*(6-1)+6)+SUMIFS('2026年08月'!$M$8:$M$38,'2026年08月'!$A$8:$A$38,"&gt;="&amp;$AI$18+7*(6-1),'2026年08月'!$A$8:$A$38,"&lt;="&amp;$AI$18+7*(6-1)+6)),""))</f>
        <v/>
      </c>
      <c r="AG25" s="31" t="str">
        <f>IF($AB25="","",IFERROR((SUMIFS($P$8:$P$38,$A$8:$A$38,"&gt;="&amp;$AI$18+7*(6-1),$A$8:$A$38,"&lt;="&amp;$AI$18+7*(6-1)+6)+SUMIFS('2026年08月'!$P$8:$P$38,'2026年08月'!$A$8:$A$38,"&gt;="&amp;$AI$18+7*(6-1),'2026年08月'!$A$8:$A$38,"&lt;="&amp;$AI$18+7*(6-1)+6))/(SUMIFS($O$8:$O$38,$A$8:$A$38,"&gt;="&amp;$AI$18+7*(6-1),$A$8:$A$38,"&lt;="&amp;$AI$18+7*(6-1)+6)+SUMIFS('2026年08月'!$O$8:$O$38,'2026年08月'!$A$8:$A$38,"&gt;="&amp;$AI$18+7*(6-1),'2026年08月'!$A$8:$A$38,"&lt;="&amp;$AI$18+7*(6-1)+6)),""))</f>
        <v/>
      </c>
    </row>
    <row r="26" ht="15.75" customHeight="1">
      <c r="A26" s="14">
        <v>46222.0</v>
      </c>
      <c r="B26" s="15" t="str">
        <f t="shared" si="2"/>
        <v>日</v>
      </c>
      <c r="C26" s="16">
        <v>900000.0</v>
      </c>
      <c r="D26" s="17">
        <f t="shared" si="3"/>
        <v>11950000</v>
      </c>
      <c r="E26" s="16">
        <v>38820.0</v>
      </c>
      <c r="F26" s="16">
        <v>413063.0</v>
      </c>
      <c r="G26" s="17">
        <f t="shared" si="4"/>
        <v>451883</v>
      </c>
      <c r="H26" s="17">
        <f t="shared" si="5"/>
        <v>7382892</v>
      </c>
      <c r="I26" s="18">
        <f t="shared" ref="I26:J26" si="33">IF(G26="","",IFERROR(G26/C26,""))</f>
        <v>0.5020922222</v>
      </c>
      <c r="J26" s="18">
        <f t="shared" si="33"/>
        <v>0.6178152301</v>
      </c>
      <c r="K26" s="17">
        <f t="shared" si="7"/>
        <v>-4567108</v>
      </c>
      <c r="L26" s="19" t="str">
        <f t="shared" si="8"/>
        <v>▲ 遅れ</v>
      </c>
      <c r="M26" s="21">
        <v>20.0</v>
      </c>
      <c r="N26" s="21">
        <v>20.0</v>
      </c>
      <c r="O26" s="21">
        <v>42.0</v>
      </c>
      <c r="P26" s="21">
        <v>26.0</v>
      </c>
      <c r="Q26" s="21">
        <v>33.0</v>
      </c>
      <c r="R26" s="18">
        <f t="shared" si="9"/>
        <v>0.4761904762</v>
      </c>
      <c r="S26" s="17">
        <f t="shared" si="10"/>
        <v>22594.15</v>
      </c>
      <c r="T26" s="22">
        <f t="shared" si="11"/>
        <v>1</v>
      </c>
      <c r="U26" s="18">
        <f t="shared" si="12"/>
        <v>0.619047619</v>
      </c>
      <c r="V26" s="21"/>
      <c r="W26" s="21"/>
      <c r="X26" s="16">
        <v>0.0</v>
      </c>
      <c r="Y26" s="24"/>
      <c r="AA26" s="39" t="s">
        <v>104</v>
      </c>
    </row>
    <row r="27" ht="15.75" customHeight="1">
      <c r="A27" s="32">
        <v>46223.0</v>
      </c>
      <c r="B27" s="23" t="str">
        <f t="shared" si="2"/>
        <v>月</v>
      </c>
      <c r="C27" s="16">
        <v>900000.0</v>
      </c>
      <c r="D27" s="25">
        <f t="shared" si="3"/>
        <v>12850000</v>
      </c>
      <c r="E27" s="16">
        <v>49820.0</v>
      </c>
      <c r="F27" s="16">
        <v>225875.0</v>
      </c>
      <c r="G27" s="25">
        <f t="shared" si="4"/>
        <v>275695</v>
      </c>
      <c r="H27" s="25">
        <f t="shared" si="5"/>
        <v>7658587</v>
      </c>
      <c r="I27" s="27">
        <f t="shared" ref="I27:J27" si="34">IF(G27="","",IFERROR(G27/C27,""))</f>
        <v>0.3063277778</v>
      </c>
      <c r="J27" s="27">
        <f t="shared" si="34"/>
        <v>0.5959989883</v>
      </c>
      <c r="K27" s="25">
        <f t="shared" si="7"/>
        <v>-5191413</v>
      </c>
      <c r="L27" s="33" t="str">
        <f t="shared" si="8"/>
        <v>▲ 遅れ</v>
      </c>
      <c r="M27" s="21">
        <v>12.0</v>
      </c>
      <c r="N27" s="21">
        <v>12.0</v>
      </c>
      <c r="O27" s="21">
        <v>35.0</v>
      </c>
      <c r="P27" s="21">
        <v>30.0</v>
      </c>
      <c r="Q27" s="21">
        <v>40.0</v>
      </c>
      <c r="R27" s="27">
        <f t="shared" si="9"/>
        <v>0.3428571429</v>
      </c>
      <c r="S27" s="25">
        <f t="shared" si="10"/>
        <v>22974.58333</v>
      </c>
      <c r="T27" s="34">
        <f t="shared" si="11"/>
        <v>1</v>
      </c>
      <c r="U27" s="27">
        <f t="shared" si="12"/>
        <v>0.8571428571</v>
      </c>
      <c r="V27" s="21"/>
      <c r="W27" s="21">
        <v>44152.0</v>
      </c>
      <c r="X27" s="16">
        <v>0.0</v>
      </c>
      <c r="Y27" s="24"/>
      <c r="AA27" s="39" t="s">
        <v>105</v>
      </c>
    </row>
    <row r="28" ht="15.75" customHeight="1">
      <c r="A28" s="14">
        <v>46224.0</v>
      </c>
      <c r="B28" s="15" t="str">
        <f t="shared" si="2"/>
        <v>火</v>
      </c>
      <c r="C28" s="16">
        <v>600000.0</v>
      </c>
      <c r="D28" s="17">
        <f t="shared" si="3"/>
        <v>13450000</v>
      </c>
      <c r="E28" s="16">
        <v>57080.0</v>
      </c>
      <c r="F28" s="16">
        <v>133772.0</v>
      </c>
      <c r="G28" s="17">
        <f t="shared" si="4"/>
        <v>190852</v>
      </c>
      <c r="H28" s="17">
        <f t="shared" si="5"/>
        <v>7849439</v>
      </c>
      <c r="I28" s="18">
        <f t="shared" ref="I28:J28" si="35">IF(G28="","",IFERROR(G28/C28,""))</f>
        <v>0.3180866667</v>
      </c>
      <c r="J28" s="18">
        <f t="shared" si="35"/>
        <v>0.5836014126</v>
      </c>
      <c r="K28" s="17">
        <f t="shared" si="7"/>
        <v>-5600561</v>
      </c>
      <c r="L28" s="19" t="str">
        <f t="shared" si="8"/>
        <v>▲ 遅れ</v>
      </c>
      <c r="M28" s="21">
        <v>9.0</v>
      </c>
      <c r="N28" s="21">
        <v>9.0</v>
      </c>
      <c r="O28" s="21">
        <v>24.0</v>
      </c>
      <c r="P28" s="21">
        <v>13.0</v>
      </c>
      <c r="Q28" s="21">
        <v>20.0</v>
      </c>
      <c r="R28" s="18">
        <f t="shared" si="9"/>
        <v>0.375</v>
      </c>
      <c r="S28" s="17">
        <f t="shared" si="10"/>
        <v>21205.77778</v>
      </c>
      <c r="T28" s="22">
        <f t="shared" si="11"/>
        <v>1</v>
      </c>
      <c r="U28" s="18">
        <f t="shared" si="12"/>
        <v>0.5416666667</v>
      </c>
      <c r="V28" s="21"/>
      <c r="W28" s="21"/>
      <c r="X28" s="16">
        <v>0.0</v>
      </c>
      <c r="Y28" s="24"/>
      <c r="AA28" s="39" t="s">
        <v>106</v>
      </c>
    </row>
    <row r="29" ht="15.75" customHeight="1">
      <c r="A29" s="32">
        <v>46225.0</v>
      </c>
      <c r="B29" s="23" t="str">
        <f t="shared" si="2"/>
        <v>水</v>
      </c>
      <c r="C29" s="16">
        <v>600000.0</v>
      </c>
      <c r="D29" s="25">
        <f t="shared" si="3"/>
        <v>14050000</v>
      </c>
      <c r="E29" s="16">
        <v>69577.0</v>
      </c>
      <c r="F29" s="16">
        <v>258696.0</v>
      </c>
      <c r="G29" s="25">
        <f t="shared" si="4"/>
        <v>328273</v>
      </c>
      <c r="H29" s="25">
        <f t="shared" si="5"/>
        <v>8177712</v>
      </c>
      <c r="I29" s="27">
        <f t="shared" ref="I29:J29" si="36">IF(G29="","",IFERROR(G29/C29,""))</f>
        <v>0.5471216667</v>
      </c>
      <c r="J29" s="27">
        <f t="shared" si="36"/>
        <v>0.5820435587</v>
      </c>
      <c r="K29" s="25">
        <f t="shared" si="7"/>
        <v>-5872288</v>
      </c>
      <c r="L29" s="33" t="str">
        <f t="shared" si="8"/>
        <v>▲ 遅れ</v>
      </c>
      <c r="M29" s="21">
        <v>16.0</v>
      </c>
      <c r="N29" s="21">
        <v>16.0</v>
      </c>
      <c r="O29" s="21">
        <v>36.0</v>
      </c>
      <c r="P29" s="21">
        <v>24.0</v>
      </c>
      <c r="Q29" s="21">
        <v>46.0</v>
      </c>
      <c r="R29" s="27">
        <f t="shared" si="9"/>
        <v>0.4444444444</v>
      </c>
      <c r="S29" s="25">
        <f t="shared" si="10"/>
        <v>20517.0625</v>
      </c>
      <c r="T29" s="34">
        <f t="shared" si="11"/>
        <v>1</v>
      </c>
      <c r="U29" s="27">
        <f t="shared" si="12"/>
        <v>0.6666666667</v>
      </c>
      <c r="V29" s="21"/>
      <c r="W29" s="21">
        <v>44145.0</v>
      </c>
      <c r="X29" s="16">
        <v>0.0</v>
      </c>
      <c r="Y29" s="24"/>
    </row>
    <row r="30" ht="15.75" customHeight="1">
      <c r="A30" s="14">
        <v>46226.0</v>
      </c>
      <c r="B30" s="15" t="str">
        <f t="shared" si="2"/>
        <v>木</v>
      </c>
      <c r="C30" s="16">
        <v>600000.0</v>
      </c>
      <c r="D30" s="17">
        <f t="shared" si="3"/>
        <v>14650000</v>
      </c>
      <c r="E30" s="16">
        <v>44220.0</v>
      </c>
      <c r="F30" s="16">
        <v>108214.0</v>
      </c>
      <c r="G30" s="17">
        <f t="shared" si="4"/>
        <v>152434</v>
      </c>
      <c r="H30" s="17">
        <f t="shared" si="5"/>
        <v>8330146</v>
      </c>
      <c r="I30" s="18">
        <f t="shared" ref="I30:J30" si="37">IF(G30="","",IFERROR(G30/C30,""))</f>
        <v>0.2540566667</v>
      </c>
      <c r="J30" s="18">
        <f t="shared" si="37"/>
        <v>0.5686106485</v>
      </c>
      <c r="K30" s="17">
        <f t="shared" si="7"/>
        <v>-6319854</v>
      </c>
      <c r="L30" s="19" t="str">
        <f t="shared" si="8"/>
        <v>▲ 遅れ</v>
      </c>
      <c r="M30" s="21">
        <v>7.0</v>
      </c>
      <c r="N30" s="21">
        <v>7.0</v>
      </c>
      <c r="O30" s="21">
        <v>18.0</v>
      </c>
      <c r="P30" s="21">
        <v>12.0</v>
      </c>
      <c r="Q30" s="21">
        <v>17.0</v>
      </c>
      <c r="R30" s="18">
        <f t="shared" si="9"/>
        <v>0.3888888889</v>
      </c>
      <c r="S30" s="17">
        <f t="shared" si="10"/>
        <v>21776.28571</v>
      </c>
      <c r="T30" s="22">
        <f t="shared" si="11"/>
        <v>1</v>
      </c>
      <c r="U30" s="18">
        <f t="shared" si="12"/>
        <v>0.6666666667</v>
      </c>
      <c r="V30" s="21"/>
      <c r="W30" s="21"/>
      <c r="X30" s="16">
        <v>0.0</v>
      </c>
      <c r="Y30" s="24"/>
    </row>
    <row r="31" ht="15.75" customHeight="1">
      <c r="A31" s="32">
        <v>46227.0</v>
      </c>
      <c r="B31" s="23" t="str">
        <f t="shared" si="2"/>
        <v>金</v>
      </c>
      <c r="C31" s="16">
        <v>600000.0</v>
      </c>
      <c r="D31" s="25">
        <f t="shared" si="3"/>
        <v>15250000</v>
      </c>
      <c r="E31" s="16">
        <v>38938.0</v>
      </c>
      <c r="F31" s="16">
        <v>187101.0</v>
      </c>
      <c r="G31" s="25">
        <f t="shared" si="4"/>
        <v>226039</v>
      </c>
      <c r="H31" s="25">
        <f t="shared" si="5"/>
        <v>8556185</v>
      </c>
      <c r="I31" s="27">
        <f t="shared" ref="I31:J31" si="38">IF(G31="","",IFERROR(G31/C31,""))</f>
        <v>0.3767316667</v>
      </c>
      <c r="J31" s="27">
        <f t="shared" si="38"/>
        <v>0.5610613115</v>
      </c>
      <c r="K31" s="25">
        <f t="shared" si="7"/>
        <v>-6693815</v>
      </c>
      <c r="L31" s="33" t="str">
        <f t="shared" si="8"/>
        <v>▲ 遅れ</v>
      </c>
      <c r="M31" s="21">
        <v>12.0</v>
      </c>
      <c r="N31" s="21">
        <v>13.0</v>
      </c>
      <c r="O31" s="21">
        <v>37.0</v>
      </c>
      <c r="P31" s="21">
        <v>19.0</v>
      </c>
      <c r="Q31" s="21">
        <v>36.0</v>
      </c>
      <c r="R31" s="27">
        <f t="shared" si="9"/>
        <v>0.3243243243</v>
      </c>
      <c r="S31" s="25">
        <f t="shared" si="10"/>
        <v>18836.58333</v>
      </c>
      <c r="T31" s="34">
        <f t="shared" si="11"/>
        <v>1.083333333</v>
      </c>
      <c r="U31" s="27">
        <f t="shared" si="12"/>
        <v>0.5135135135</v>
      </c>
      <c r="V31" s="21"/>
      <c r="W31" s="21"/>
      <c r="X31" s="16">
        <v>0.0</v>
      </c>
      <c r="Y31" s="24"/>
    </row>
    <row r="32" ht="15.75" customHeight="1">
      <c r="A32" s="14">
        <v>46228.0</v>
      </c>
      <c r="B32" s="15" t="str">
        <f t="shared" si="2"/>
        <v>土</v>
      </c>
      <c r="C32" s="16">
        <v>850000.0</v>
      </c>
      <c r="D32" s="17">
        <f t="shared" si="3"/>
        <v>16100000</v>
      </c>
      <c r="E32" s="16">
        <v>157010.0</v>
      </c>
      <c r="F32" s="16">
        <v>211920.0</v>
      </c>
      <c r="G32" s="17">
        <f t="shared" si="4"/>
        <v>368930</v>
      </c>
      <c r="H32" s="17">
        <f t="shared" si="5"/>
        <v>8925115</v>
      </c>
      <c r="I32" s="18">
        <f t="shared" ref="I32:J32" si="39">IF(G32="","",IFERROR(G32/C32,""))</f>
        <v>0.4340352941</v>
      </c>
      <c r="J32" s="18">
        <f t="shared" si="39"/>
        <v>0.5543549689</v>
      </c>
      <c r="K32" s="17">
        <f t="shared" si="7"/>
        <v>-7174885</v>
      </c>
      <c r="L32" s="19" t="str">
        <f t="shared" si="8"/>
        <v>▲ 遅れ</v>
      </c>
      <c r="M32" s="21">
        <v>16.0</v>
      </c>
      <c r="N32" s="21">
        <v>16.0</v>
      </c>
      <c r="O32" s="21">
        <v>53.0</v>
      </c>
      <c r="P32" s="21">
        <v>26.0</v>
      </c>
      <c r="Q32" s="21">
        <v>39.0</v>
      </c>
      <c r="R32" s="18">
        <f t="shared" si="9"/>
        <v>0.3018867925</v>
      </c>
      <c r="S32" s="17">
        <f t="shared" si="10"/>
        <v>23058.125</v>
      </c>
      <c r="T32" s="22">
        <f t="shared" si="11"/>
        <v>1</v>
      </c>
      <c r="U32" s="18">
        <f t="shared" si="12"/>
        <v>0.4905660377</v>
      </c>
      <c r="V32" s="21"/>
      <c r="W32" s="21">
        <v>44136.0</v>
      </c>
      <c r="X32" s="16">
        <v>0.0</v>
      </c>
      <c r="Y32" s="24"/>
    </row>
    <row r="33" ht="15.75" customHeight="1">
      <c r="A33" s="32">
        <v>46229.0</v>
      </c>
      <c r="B33" s="23" t="str">
        <f t="shared" si="2"/>
        <v>日</v>
      </c>
      <c r="C33" s="16">
        <v>900000.0</v>
      </c>
      <c r="D33" s="25">
        <f t="shared" si="3"/>
        <v>17000000</v>
      </c>
      <c r="E33" s="16">
        <v>63130.0</v>
      </c>
      <c r="F33" s="16">
        <v>41894.0</v>
      </c>
      <c r="G33" s="25">
        <f t="shared" si="4"/>
        <v>105024</v>
      </c>
      <c r="H33" s="25">
        <f t="shared" si="5"/>
        <v>9030139</v>
      </c>
      <c r="I33" s="27">
        <f t="shared" ref="I33:J33" si="40">IF(G33="","",IFERROR(G33/C33,""))</f>
        <v>0.1166933333</v>
      </c>
      <c r="J33" s="27">
        <f t="shared" si="40"/>
        <v>0.5311846471</v>
      </c>
      <c r="K33" s="25">
        <f t="shared" si="7"/>
        <v>-7969861</v>
      </c>
      <c r="L33" s="33" t="str">
        <f t="shared" si="8"/>
        <v>▲ 遅れ</v>
      </c>
      <c r="M33" s="21">
        <v>7.0</v>
      </c>
      <c r="N33" s="21">
        <v>7.0</v>
      </c>
      <c r="O33" s="21">
        <v>36.0</v>
      </c>
      <c r="P33" s="21">
        <v>11.0</v>
      </c>
      <c r="Q33" s="21">
        <v>24.0</v>
      </c>
      <c r="R33" s="27">
        <f t="shared" si="9"/>
        <v>0.1944444444</v>
      </c>
      <c r="S33" s="25">
        <f t="shared" si="10"/>
        <v>15003.42857</v>
      </c>
      <c r="T33" s="34">
        <f t="shared" si="11"/>
        <v>1</v>
      </c>
      <c r="U33" s="27">
        <f t="shared" si="12"/>
        <v>0.3055555556</v>
      </c>
      <c r="V33" s="21"/>
      <c r="W33" s="21">
        <v>44123.0</v>
      </c>
      <c r="X33" s="16">
        <v>0.0</v>
      </c>
      <c r="Y33" s="24"/>
    </row>
    <row r="34" ht="15.75" customHeight="1">
      <c r="A34" s="14">
        <v>46230.0</v>
      </c>
      <c r="B34" s="15" t="str">
        <f t="shared" si="2"/>
        <v>月</v>
      </c>
      <c r="C34" s="16">
        <v>600000.0</v>
      </c>
      <c r="D34" s="17">
        <f t="shared" si="3"/>
        <v>17600000</v>
      </c>
      <c r="E34" s="16">
        <v>68130.0</v>
      </c>
      <c r="F34" s="16">
        <v>50820.0</v>
      </c>
      <c r="G34" s="17">
        <f t="shared" si="4"/>
        <v>118950</v>
      </c>
      <c r="H34" s="17">
        <f t="shared" si="5"/>
        <v>9149089</v>
      </c>
      <c r="I34" s="18">
        <f t="shared" ref="I34:J34" si="41">IF(G34="","",IFERROR(G34/C34,""))</f>
        <v>0.19825</v>
      </c>
      <c r="J34" s="18">
        <f t="shared" si="41"/>
        <v>0.5198346023</v>
      </c>
      <c r="K34" s="17">
        <f t="shared" si="7"/>
        <v>-8450911</v>
      </c>
      <c r="L34" s="19" t="str">
        <f t="shared" si="8"/>
        <v>▲ 遅れ</v>
      </c>
      <c r="M34" s="21">
        <v>5.0</v>
      </c>
      <c r="N34" s="21">
        <v>5.0</v>
      </c>
      <c r="O34" s="21">
        <v>15.0</v>
      </c>
      <c r="P34" s="21">
        <v>7.0</v>
      </c>
      <c r="Q34" s="21">
        <v>13.0</v>
      </c>
      <c r="R34" s="18">
        <f t="shared" si="9"/>
        <v>0.3333333333</v>
      </c>
      <c r="S34" s="17">
        <f t="shared" si="10"/>
        <v>23790</v>
      </c>
      <c r="T34" s="22">
        <f t="shared" si="11"/>
        <v>1</v>
      </c>
      <c r="U34" s="18">
        <f t="shared" si="12"/>
        <v>0.4666666667</v>
      </c>
      <c r="V34" s="21"/>
      <c r="W34" s="21">
        <v>44123.0</v>
      </c>
      <c r="X34" s="16">
        <v>0.0</v>
      </c>
      <c r="Y34" s="24"/>
    </row>
    <row r="35" ht="15.75" customHeight="1">
      <c r="A35" s="32">
        <v>46231.0</v>
      </c>
      <c r="B35" s="23" t="str">
        <f t="shared" si="2"/>
        <v>火</v>
      </c>
      <c r="C35" s="16">
        <v>600000.0</v>
      </c>
      <c r="D35" s="25">
        <f t="shared" si="3"/>
        <v>18200000</v>
      </c>
      <c r="E35" s="16">
        <v>63630.0</v>
      </c>
      <c r="F35" s="16">
        <v>169239.0</v>
      </c>
      <c r="G35" s="25">
        <f t="shared" si="4"/>
        <v>232869</v>
      </c>
      <c r="H35" s="25">
        <f t="shared" si="5"/>
        <v>9381958</v>
      </c>
      <c r="I35" s="27">
        <f t="shared" ref="I35:J35" si="42">IF(G35="","",IFERROR(G35/C35,""))</f>
        <v>0.388115</v>
      </c>
      <c r="J35" s="27">
        <f t="shared" si="42"/>
        <v>0.5154921978</v>
      </c>
      <c r="K35" s="25">
        <f t="shared" si="7"/>
        <v>-8818042</v>
      </c>
      <c r="L35" s="33" t="str">
        <f t="shared" si="8"/>
        <v>▲ 遅れ</v>
      </c>
      <c r="M35" s="21">
        <v>11.0</v>
      </c>
      <c r="N35" s="21">
        <v>12.0</v>
      </c>
      <c r="O35" s="21">
        <v>48.0</v>
      </c>
      <c r="P35" s="21">
        <v>14.0</v>
      </c>
      <c r="Q35" s="21">
        <v>18.0</v>
      </c>
      <c r="R35" s="27">
        <f t="shared" si="9"/>
        <v>0.2291666667</v>
      </c>
      <c r="S35" s="25">
        <f t="shared" si="10"/>
        <v>21169.90909</v>
      </c>
      <c r="T35" s="34">
        <f t="shared" si="11"/>
        <v>1.090909091</v>
      </c>
      <c r="U35" s="27">
        <f t="shared" si="12"/>
        <v>0.2916666667</v>
      </c>
      <c r="V35" s="21"/>
      <c r="W35" s="21"/>
      <c r="X35" s="16">
        <v>0.0</v>
      </c>
      <c r="Y35" s="24"/>
    </row>
    <row r="36" ht="15.75" customHeight="1">
      <c r="A36" s="14">
        <v>46232.0</v>
      </c>
      <c r="B36" s="15" t="str">
        <f t="shared" si="2"/>
        <v>水</v>
      </c>
      <c r="C36" s="16">
        <v>600000.0</v>
      </c>
      <c r="D36" s="17">
        <f t="shared" si="3"/>
        <v>18800000</v>
      </c>
      <c r="E36" s="16">
        <v>74130.0</v>
      </c>
      <c r="F36" s="16">
        <v>121875.0</v>
      </c>
      <c r="G36" s="17">
        <f t="shared" si="4"/>
        <v>196005</v>
      </c>
      <c r="H36" s="17">
        <f t="shared" si="5"/>
        <v>9577963</v>
      </c>
      <c r="I36" s="18">
        <f t="shared" ref="I36:J36" si="43">IF(G36="","",IFERROR(G36/C36,""))</f>
        <v>0.326675</v>
      </c>
      <c r="J36" s="18">
        <f t="shared" si="43"/>
        <v>0.509466117</v>
      </c>
      <c r="K36" s="17">
        <f t="shared" si="7"/>
        <v>-9222037</v>
      </c>
      <c r="L36" s="19" t="str">
        <f t="shared" si="8"/>
        <v>▲ 遅れ</v>
      </c>
      <c r="M36" s="21">
        <v>8.0</v>
      </c>
      <c r="N36" s="21">
        <v>8.0</v>
      </c>
      <c r="O36" s="21">
        <v>32.0</v>
      </c>
      <c r="P36" s="21">
        <v>14.0</v>
      </c>
      <c r="Q36" s="21">
        <v>27.0</v>
      </c>
      <c r="R36" s="18">
        <f t="shared" si="9"/>
        <v>0.25</v>
      </c>
      <c r="S36" s="17">
        <f t="shared" si="10"/>
        <v>24500.625</v>
      </c>
      <c r="T36" s="22">
        <f t="shared" si="11"/>
        <v>1</v>
      </c>
      <c r="U36" s="18">
        <f t="shared" si="12"/>
        <v>0.4375</v>
      </c>
      <c r="V36" s="21"/>
      <c r="W36" s="21"/>
      <c r="X36" s="16">
        <v>0.0</v>
      </c>
      <c r="Y36" s="24"/>
    </row>
    <row r="37" ht="15.75" customHeight="1">
      <c r="A37" s="32">
        <v>46233.0</v>
      </c>
      <c r="B37" s="23" t="str">
        <f t="shared" si="2"/>
        <v>木</v>
      </c>
      <c r="C37" s="16">
        <v>600000.0</v>
      </c>
      <c r="D37" s="25">
        <f t="shared" si="3"/>
        <v>19400000</v>
      </c>
      <c r="E37" s="49">
        <v>0.0</v>
      </c>
      <c r="F37" s="49">
        <v>112037.0</v>
      </c>
      <c r="G37" s="25">
        <f t="shared" si="4"/>
        <v>112037</v>
      </c>
      <c r="H37" s="25">
        <f t="shared" si="5"/>
        <v>9690000</v>
      </c>
      <c r="I37" s="27">
        <f t="shared" ref="I37:J37" si="44">IF(G37="","",IFERROR(G37/C37,""))</f>
        <v>0.1867283333</v>
      </c>
      <c r="J37" s="27">
        <f t="shared" si="44"/>
        <v>0.4994845361</v>
      </c>
      <c r="K37" s="25">
        <f t="shared" si="7"/>
        <v>-9710000</v>
      </c>
      <c r="L37" s="33" t="str">
        <f t="shared" si="8"/>
        <v>▲ 遅れ</v>
      </c>
      <c r="M37" s="21"/>
      <c r="N37" s="21"/>
      <c r="O37" s="21"/>
      <c r="P37" s="21"/>
      <c r="Q37" s="21"/>
      <c r="R37" s="27" t="str">
        <f t="shared" si="9"/>
        <v/>
      </c>
      <c r="S37" s="25" t="str">
        <f t="shared" si="10"/>
        <v/>
      </c>
      <c r="T37" s="34" t="str">
        <f t="shared" si="11"/>
        <v/>
      </c>
      <c r="U37" s="27" t="str">
        <f t="shared" si="12"/>
        <v/>
      </c>
      <c r="V37" s="21"/>
      <c r="W37" s="21"/>
      <c r="X37" s="16">
        <v>0.0</v>
      </c>
      <c r="Y37" s="24"/>
    </row>
    <row r="38" ht="15.75" customHeight="1">
      <c r="A38" s="14">
        <v>46234.0</v>
      </c>
      <c r="B38" s="15" t="str">
        <f t="shared" si="2"/>
        <v>金</v>
      </c>
      <c r="C38" s="16">
        <v>600000.0</v>
      </c>
      <c r="D38" s="17">
        <f t="shared" si="3"/>
        <v>20000000</v>
      </c>
      <c r="E38" s="16"/>
      <c r="F38" s="16"/>
      <c r="G38" s="17" t="str">
        <f t="shared" si="4"/>
        <v/>
      </c>
      <c r="H38" s="17" t="str">
        <f t="shared" si="5"/>
        <v/>
      </c>
      <c r="I38" s="18" t="str">
        <f t="shared" ref="I38:J38" si="45">IF(G38="","",IFERROR(G38/C38,""))</f>
        <v/>
      </c>
      <c r="J38" s="18" t="str">
        <f t="shared" si="45"/>
        <v/>
      </c>
      <c r="K38" s="17" t="str">
        <f t="shared" si="7"/>
        <v/>
      </c>
      <c r="L38" s="19" t="str">
        <f t="shared" si="8"/>
        <v>—</v>
      </c>
      <c r="M38" s="21"/>
      <c r="N38" s="21"/>
      <c r="O38" s="21"/>
      <c r="P38" s="21"/>
      <c r="Q38" s="21"/>
      <c r="R38" s="18" t="str">
        <f t="shared" si="9"/>
        <v/>
      </c>
      <c r="S38" s="17" t="str">
        <f t="shared" si="10"/>
        <v/>
      </c>
      <c r="T38" s="22" t="str">
        <f t="shared" si="11"/>
        <v/>
      </c>
      <c r="U38" s="18" t="str">
        <f t="shared" si="12"/>
        <v/>
      </c>
      <c r="V38" s="21"/>
      <c r="W38" s="21"/>
      <c r="X38" s="16">
        <v>0.0</v>
      </c>
      <c r="Y38" s="24"/>
    </row>
    <row r="39" ht="15.75" customHeight="1">
      <c r="A39" s="45" t="s">
        <v>97</v>
      </c>
      <c r="B39" s="35"/>
      <c r="C39" s="36">
        <f>SUM(C8:C38)</f>
        <v>20000000</v>
      </c>
      <c r="D39" s="36">
        <f>C39</f>
        <v>20000000</v>
      </c>
      <c r="E39" s="36">
        <f t="shared" ref="E39:G39" si="46">SUM(E8:E38)</f>
        <v>2177420</v>
      </c>
      <c r="F39" s="36">
        <f t="shared" si="46"/>
        <v>7512580</v>
      </c>
      <c r="G39" s="36">
        <f t="shared" si="46"/>
        <v>9690000</v>
      </c>
      <c r="H39" s="36">
        <f>G39</f>
        <v>9690000</v>
      </c>
      <c r="I39" s="37">
        <f>IFERROR(G39/C39,"")</f>
        <v>0.4845</v>
      </c>
      <c r="J39" s="37">
        <f>IFERROR(G39/C39,"")</f>
        <v>0.4845</v>
      </c>
      <c r="K39" s="36">
        <f>G39-C39</f>
        <v>-10310000</v>
      </c>
      <c r="L39" s="46"/>
      <c r="M39" s="38">
        <f t="shared" ref="M39:Q39" si="47">SUM(M8:M38)</f>
        <v>426</v>
      </c>
      <c r="N39" s="38">
        <f t="shared" si="47"/>
        <v>448</v>
      </c>
      <c r="O39" s="38">
        <f t="shared" si="47"/>
        <v>1165</v>
      </c>
      <c r="P39" s="38">
        <f t="shared" si="47"/>
        <v>633</v>
      </c>
      <c r="Q39" s="38">
        <f t="shared" si="47"/>
        <v>1049</v>
      </c>
      <c r="R39" s="37">
        <f t="shared" si="9"/>
        <v>0.3656652361</v>
      </c>
      <c r="S39" s="36">
        <f t="shared" si="10"/>
        <v>22746.47887</v>
      </c>
      <c r="T39" s="47">
        <f t="shared" si="11"/>
        <v>1.051643192</v>
      </c>
      <c r="U39" s="37">
        <f t="shared" si="12"/>
        <v>0.5433476395</v>
      </c>
      <c r="V39" s="38">
        <f>SUM(V8:V38)</f>
        <v>0</v>
      </c>
      <c r="W39" s="38">
        <f>IFERROR(LOOKUP(9.99E+307,W8:W38),"")</f>
        <v>44123</v>
      </c>
      <c r="X39" s="36">
        <f>SUM(X8:X38)</f>
        <v>0</v>
      </c>
      <c r="Y39" s="48" t="s">
        <v>107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2.57"/>
    <col customWidth="1" min="4" max="4" width="15.57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3" width="9.14"/>
    <col customWidth="1" min="14" max="14" width="10.57"/>
    <col customWidth="1" min="15" max="15" width="8.0"/>
    <col customWidth="1" min="16" max="16" width="10.0"/>
    <col customWidth="1" min="17" max="17" width="9.57"/>
    <col customWidth="1" min="18" max="18" width="8.0"/>
    <col customWidth="1" min="19" max="19" width="11.0"/>
    <col customWidth="1" min="20" max="21" width="8.0"/>
    <col customWidth="1" min="22" max="22" width="10.0"/>
    <col customWidth="1" min="23" max="23" width="12.71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113</v>
      </c>
      <c r="H3" s="6"/>
      <c r="I3" s="5" t="s">
        <v>8</v>
      </c>
      <c r="J3" s="6"/>
      <c r="K3" s="5" t="s">
        <v>9</v>
      </c>
      <c r="L3" s="6"/>
    </row>
    <row r="4">
      <c r="A4" s="7">
        <f>IF('設定'!$B$12="",SUM(C8:C38),'設定'!$B$12)</f>
        <v>24660000</v>
      </c>
      <c r="B4" s="6"/>
      <c r="C4" s="8">
        <f>SUM(G8:G38)</f>
        <v>8510877</v>
      </c>
      <c r="D4" s="6"/>
      <c r="E4" s="9">
        <f>IFERROR(C4/A4,0)</f>
        <v>0.3451288321</v>
      </c>
      <c r="F4" s="6"/>
      <c r="G4" s="10">
        <f>COUNTIF(G8:G38,"&gt;0")</f>
        <v>31</v>
      </c>
      <c r="H4" s="6"/>
      <c r="I4" s="8">
        <f>A4-C4</f>
        <v>16149123</v>
      </c>
      <c r="J4" s="6"/>
      <c r="K4" s="8">
        <f>IF((31-G4)&gt;0,(A4-C4)/(31-G4),0)</f>
        <v>0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SUM(C8:C38)</f>
        <v>24660000</v>
      </c>
      <c r="B6" s="6"/>
      <c r="C6" s="8">
        <f>IFERROR(C4/G4*31,0)</f>
        <v>8510877</v>
      </c>
      <c r="D6" s="6"/>
      <c r="E6" s="9">
        <f>IFERROR(M39/O39,0)</f>
        <v>0.3975283213</v>
      </c>
      <c r="F6" s="6"/>
      <c r="G6" s="8">
        <f>IFERROR(G39/M39,0)</f>
        <v>22048.90415</v>
      </c>
      <c r="H6" s="6"/>
      <c r="I6" s="11">
        <f>IFERROR(N39/M39,0)</f>
        <v>1.119170984</v>
      </c>
      <c r="J6" s="6"/>
      <c r="K6" s="9">
        <f>IFERROR(P39/O39,0)</f>
        <v>0.5447991761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46235.0</v>
      </c>
      <c r="B8" s="15" t="str">
        <f t="shared" ref="B8:B38" si="2">MID("日月火水木金土",WEEKDAY(A8),1)</f>
        <v>土</v>
      </c>
      <c r="C8" s="49">
        <v>920000.0</v>
      </c>
      <c r="D8" s="17">
        <f t="shared" ref="D8:D38" si="3">SUM($C$8:C8)</f>
        <v>920000</v>
      </c>
      <c r="E8" s="49">
        <v>80538.0</v>
      </c>
      <c r="F8" s="49">
        <v>103699.0</v>
      </c>
      <c r="G8" s="17">
        <f t="shared" ref="G8:G38" si="4">IF(COUNT(E8:F8)=0,"",SUM(E8:F8))</f>
        <v>184237</v>
      </c>
      <c r="H8" s="17">
        <f t="shared" ref="H8:H38" si="5">IF(G8="","",SUM($G$8:G8))</f>
        <v>184237</v>
      </c>
      <c r="I8" s="18">
        <f t="shared" ref="I8:J8" si="1">IF(G8="","",IFERROR(G8/C8,""))</f>
        <v>0.2002576087</v>
      </c>
      <c r="J8" s="18">
        <f t="shared" si="1"/>
        <v>0.2002576087</v>
      </c>
      <c r="K8" s="17">
        <f t="shared" ref="K8:K38" si="7">IF(H8="","",IF(D8=0,"",H8-D8))</f>
        <v>-735763</v>
      </c>
      <c r="L8" s="19" t="str">
        <f t="shared" ref="L8:L38" si="8">IF(G8="","—",IF(D8=0,"予算未入力",IF(H8&gt;=D8,"◎ ペース内","▲ 遅れ")))</f>
        <v>▲ 遅れ</v>
      </c>
      <c r="M8" s="50">
        <v>9.0</v>
      </c>
      <c r="N8" s="50">
        <v>9.0</v>
      </c>
      <c r="O8" s="50">
        <v>41.0</v>
      </c>
      <c r="P8" s="50">
        <v>18.0</v>
      </c>
      <c r="Q8" s="50">
        <v>23.0</v>
      </c>
      <c r="R8" s="18">
        <f t="shared" ref="R8:R39" si="9">IFERROR(M8/O8,"")</f>
        <v>0.2195121951</v>
      </c>
      <c r="S8" s="17">
        <f t="shared" ref="S8:S39" si="10">IFERROR(G8/M8,"")</f>
        <v>20470.77778</v>
      </c>
      <c r="T8" s="22">
        <f t="shared" ref="T8:T39" si="11">IFERROR(N8/M8,"")</f>
        <v>1</v>
      </c>
      <c r="U8" s="18">
        <f t="shared" ref="U8:U39" si="12">IFERROR(P8/O8,"")</f>
        <v>0.4390243902</v>
      </c>
      <c r="V8" s="21"/>
      <c r="W8" s="50">
        <v>44031.0</v>
      </c>
      <c r="X8" s="49">
        <v>0.0</v>
      </c>
      <c r="Y8" s="24"/>
      <c r="AA8" s="26" t="s">
        <v>48</v>
      </c>
      <c r="AB8" s="28">
        <f t="shared" ref="AB8:AB14" si="13">IFERROR(AVERAGEIFS($G$8:$G$38,$B$8:$B$38,AA8,$G$8:$G$38,"&gt;0"),0)</f>
        <v>169276.4</v>
      </c>
      <c r="AC8" s="30">
        <f t="shared" ref="AC8:AC14" si="14">COUNTIFS($B$8:$B$38,AA8,$G$8:$G$38,"&gt;0")</f>
        <v>5</v>
      </c>
      <c r="AD8" s="31">
        <f t="shared" ref="AD8:AD14" si="15">IFERROR(SUMIF($B$8:$B$38,AA8,$M$8:$M$38)/SUMIF($B$8:$B$38,AA8,$O$8:$O$38),0)</f>
        <v>0.2638888889</v>
      </c>
      <c r="AE8" s="28">
        <f t="shared" ref="AE8:AE14" si="16">IFERROR(SUMIF($B$8:$B$38,AA8,$G$8:$G$38)/SUMIF($B$8:$B$38,AA8,$M$8:$M$38),0)</f>
        <v>22273.21053</v>
      </c>
    </row>
    <row r="9">
      <c r="A9" s="32">
        <v>46236.0</v>
      </c>
      <c r="B9" s="23" t="str">
        <f t="shared" si="2"/>
        <v>日</v>
      </c>
      <c r="C9" s="49">
        <v>920000.0</v>
      </c>
      <c r="D9" s="25">
        <f t="shared" si="3"/>
        <v>1840000</v>
      </c>
      <c r="E9" s="49">
        <v>23810.0</v>
      </c>
      <c r="F9" s="49">
        <v>314060.0</v>
      </c>
      <c r="G9" s="25">
        <f t="shared" si="4"/>
        <v>337870</v>
      </c>
      <c r="H9" s="25">
        <f t="shared" si="5"/>
        <v>522107</v>
      </c>
      <c r="I9" s="27">
        <f t="shared" ref="I9:J9" si="6">IF(G9="","",IFERROR(G9/C9,""))</f>
        <v>0.36725</v>
      </c>
      <c r="J9" s="27">
        <f t="shared" si="6"/>
        <v>0.2837538043</v>
      </c>
      <c r="K9" s="25">
        <f t="shared" si="7"/>
        <v>-1317893</v>
      </c>
      <c r="L9" s="33" t="str">
        <f t="shared" si="8"/>
        <v>▲ 遅れ</v>
      </c>
      <c r="M9" s="50">
        <v>15.0</v>
      </c>
      <c r="N9" s="50">
        <v>16.0</v>
      </c>
      <c r="O9" s="50">
        <v>42.0</v>
      </c>
      <c r="P9" s="50">
        <v>20.0</v>
      </c>
      <c r="Q9" s="50">
        <v>31.0</v>
      </c>
      <c r="R9" s="27">
        <f t="shared" si="9"/>
        <v>0.3571428571</v>
      </c>
      <c r="S9" s="25">
        <f t="shared" si="10"/>
        <v>22524.66667</v>
      </c>
      <c r="T9" s="34">
        <f t="shared" si="11"/>
        <v>1.066666667</v>
      </c>
      <c r="U9" s="27">
        <f t="shared" si="12"/>
        <v>0.4761904762</v>
      </c>
      <c r="V9" s="21"/>
      <c r="W9" s="50">
        <v>44017.0</v>
      </c>
      <c r="X9" s="16"/>
      <c r="Y9" s="24"/>
      <c r="AA9" s="26" t="s">
        <v>58</v>
      </c>
      <c r="AB9" s="28">
        <f t="shared" si="13"/>
        <v>209119.75</v>
      </c>
      <c r="AC9" s="30">
        <f t="shared" si="14"/>
        <v>4</v>
      </c>
      <c r="AD9" s="31">
        <f t="shared" si="15"/>
        <v>0.4827586207</v>
      </c>
      <c r="AE9" s="28">
        <f t="shared" si="16"/>
        <v>19916.16667</v>
      </c>
    </row>
    <row r="10">
      <c r="A10" s="14">
        <v>46237.0</v>
      </c>
      <c r="B10" s="15" t="str">
        <f t="shared" si="2"/>
        <v>月</v>
      </c>
      <c r="C10" s="49">
        <v>600000.0</v>
      </c>
      <c r="D10" s="17">
        <f t="shared" si="3"/>
        <v>2440000</v>
      </c>
      <c r="E10" s="49">
        <v>16500.0</v>
      </c>
      <c r="F10" s="49">
        <v>214112.0</v>
      </c>
      <c r="G10" s="17">
        <f t="shared" si="4"/>
        <v>230612</v>
      </c>
      <c r="H10" s="17">
        <f t="shared" si="5"/>
        <v>752719</v>
      </c>
      <c r="I10" s="18">
        <f t="shared" ref="I10:J10" si="17">IF(G10="","",IFERROR(G10/C10,""))</f>
        <v>0.3843533333</v>
      </c>
      <c r="J10" s="18">
        <f t="shared" si="17"/>
        <v>0.3084913934</v>
      </c>
      <c r="K10" s="17">
        <f t="shared" si="7"/>
        <v>-1687281</v>
      </c>
      <c r="L10" s="19" t="str">
        <f t="shared" si="8"/>
        <v>▲ 遅れ</v>
      </c>
      <c r="M10" s="50">
        <v>10.0</v>
      </c>
      <c r="N10" s="50">
        <v>14.0</v>
      </c>
      <c r="O10" s="50">
        <v>29.0</v>
      </c>
      <c r="P10" s="50">
        <v>15.0</v>
      </c>
      <c r="Q10" s="50">
        <v>19.0</v>
      </c>
      <c r="R10" s="18">
        <f t="shared" si="9"/>
        <v>0.3448275862</v>
      </c>
      <c r="S10" s="17">
        <f t="shared" si="10"/>
        <v>23061.2</v>
      </c>
      <c r="T10" s="22">
        <f t="shared" si="11"/>
        <v>1.4</v>
      </c>
      <c r="U10" s="18">
        <f t="shared" si="12"/>
        <v>0.5172413793</v>
      </c>
      <c r="V10" s="21"/>
      <c r="W10" s="50">
        <v>43992.0</v>
      </c>
      <c r="X10" s="16"/>
      <c r="Y10" s="24"/>
      <c r="AA10" s="26" t="s">
        <v>61</v>
      </c>
      <c r="AB10" s="28">
        <f t="shared" si="13"/>
        <v>378254.5</v>
      </c>
      <c r="AC10" s="30">
        <f t="shared" si="14"/>
        <v>4</v>
      </c>
      <c r="AD10" s="31">
        <f t="shared" si="15"/>
        <v>0.4545454545</v>
      </c>
      <c r="AE10" s="28">
        <f t="shared" si="16"/>
        <v>25216.96667</v>
      </c>
    </row>
    <row r="11">
      <c r="A11" s="32">
        <v>46238.0</v>
      </c>
      <c r="B11" s="23" t="str">
        <f t="shared" si="2"/>
        <v>火</v>
      </c>
      <c r="C11" s="49">
        <v>600000.0</v>
      </c>
      <c r="D11" s="25">
        <f t="shared" si="3"/>
        <v>3040000</v>
      </c>
      <c r="E11" s="49">
        <v>19410.0</v>
      </c>
      <c r="F11" s="49">
        <v>135514.0</v>
      </c>
      <c r="G11" s="25">
        <f t="shared" si="4"/>
        <v>154924</v>
      </c>
      <c r="H11" s="25">
        <f t="shared" si="5"/>
        <v>907643</v>
      </c>
      <c r="I11" s="27">
        <f t="shared" ref="I11:J11" si="18">IF(G11="","",IFERROR(G11/C11,""))</f>
        <v>0.2582066667</v>
      </c>
      <c r="J11" s="27">
        <f t="shared" si="18"/>
        <v>0.2985667763</v>
      </c>
      <c r="K11" s="25">
        <f t="shared" si="7"/>
        <v>-2132357</v>
      </c>
      <c r="L11" s="33" t="str">
        <f t="shared" si="8"/>
        <v>▲ 遅れ</v>
      </c>
      <c r="M11" s="50">
        <v>8.0</v>
      </c>
      <c r="N11" s="50">
        <v>8.0</v>
      </c>
      <c r="O11" s="50">
        <v>31.0</v>
      </c>
      <c r="P11" s="50">
        <v>14.0</v>
      </c>
      <c r="Q11" s="50">
        <v>16.0</v>
      </c>
      <c r="R11" s="27">
        <f t="shared" si="9"/>
        <v>0.2580645161</v>
      </c>
      <c r="S11" s="25">
        <f t="shared" si="10"/>
        <v>19365.5</v>
      </c>
      <c r="T11" s="34">
        <f t="shared" si="11"/>
        <v>1</v>
      </c>
      <c r="U11" s="27">
        <f t="shared" si="12"/>
        <v>0.4516129032</v>
      </c>
      <c r="V11" s="21"/>
      <c r="W11" s="50">
        <v>43974.0</v>
      </c>
      <c r="X11" s="16"/>
      <c r="Y11" s="24"/>
      <c r="AA11" s="26" t="s">
        <v>64</v>
      </c>
      <c r="AB11" s="28">
        <f t="shared" si="13"/>
        <v>237435.25</v>
      </c>
      <c r="AC11" s="30">
        <f t="shared" si="14"/>
        <v>4</v>
      </c>
      <c r="AD11" s="31">
        <f t="shared" si="15"/>
        <v>0.3220338983</v>
      </c>
      <c r="AE11" s="28">
        <f t="shared" si="16"/>
        <v>24993.18421</v>
      </c>
    </row>
    <row r="12">
      <c r="A12" s="14">
        <v>46239.0</v>
      </c>
      <c r="B12" s="15" t="str">
        <f t="shared" si="2"/>
        <v>水</v>
      </c>
      <c r="C12" s="49">
        <v>600000.0</v>
      </c>
      <c r="D12" s="17">
        <f t="shared" si="3"/>
        <v>3640000</v>
      </c>
      <c r="E12" s="49">
        <v>44000.0</v>
      </c>
      <c r="F12" s="49">
        <v>252083.0</v>
      </c>
      <c r="G12" s="17">
        <f t="shared" si="4"/>
        <v>296083</v>
      </c>
      <c r="H12" s="17">
        <f t="shared" si="5"/>
        <v>1203726</v>
      </c>
      <c r="I12" s="18">
        <f t="shared" ref="I12:J12" si="19">IF(G12="","",IFERROR(G12/C12,""))</f>
        <v>0.4934716667</v>
      </c>
      <c r="J12" s="18">
        <f t="shared" si="19"/>
        <v>0.330693956</v>
      </c>
      <c r="K12" s="17">
        <f t="shared" si="7"/>
        <v>-2436274</v>
      </c>
      <c r="L12" s="19" t="str">
        <f t="shared" si="8"/>
        <v>▲ 遅れ</v>
      </c>
      <c r="M12" s="50">
        <v>12.0</v>
      </c>
      <c r="N12" s="50">
        <v>15.0</v>
      </c>
      <c r="O12" s="50">
        <v>26.0</v>
      </c>
      <c r="P12" s="50">
        <v>13.0</v>
      </c>
      <c r="Q12" s="50">
        <v>20.0</v>
      </c>
      <c r="R12" s="18">
        <f t="shared" si="9"/>
        <v>0.4615384615</v>
      </c>
      <c r="S12" s="17">
        <f t="shared" si="10"/>
        <v>24673.58333</v>
      </c>
      <c r="T12" s="22">
        <f t="shared" si="11"/>
        <v>1.25</v>
      </c>
      <c r="U12" s="18">
        <f t="shared" si="12"/>
        <v>0.5</v>
      </c>
      <c r="V12" s="21"/>
      <c r="W12" s="50">
        <v>43958.0</v>
      </c>
      <c r="X12" s="16"/>
      <c r="Y12" s="24"/>
      <c r="AA12" s="26" t="s">
        <v>67</v>
      </c>
      <c r="AB12" s="28">
        <f t="shared" si="13"/>
        <v>271458.5</v>
      </c>
      <c r="AC12" s="30">
        <f t="shared" si="14"/>
        <v>4</v>
      </c>
      <c r="AD12" s="31">
        <f t="shared" si="15"/>
        <v>0.4461538462</v>
      </c>
      <c r="AE12" s="28">
        <f t="shared" si="16"/>
        <v>18721.27586</v>
      </c>
    </row>
    <row r="13">
      <c r="A13" s="32">
        <v>46240.0</v>
      </c>
      <c r="B13" s="23" t="str">
        <f t="shared" si="2"/>
        <v>木</v>
      </c>
      <c r="C13" s="49">
        <v>600000.0</v>
      </c>
      <c r="D13" s="25">
        <f t="shared" si="3"/>
        <v>4240000</v>
      </c>
      <c r="E13" s="49">
        <v>40162.0</v>
      </c>
      <c r="F13" s="49">
        <v>117846.0</v>
      </c>
      <c r="G13" s="25">
        <f t="shared" si="4"/>
        <v>158008</v>
      </c>
      <c r="H13" s="25">
        <f t="shared" si="5"/>
        <v>1361734</v>
      </c>
      <c r="I13" s="27">
        <f t="shared" ref="I13:J13" si="20">IF(G13="","",IFERROR(G13/C13,""))</f>
        <v>0.2633466667</v>
      </c>
      <c r="J13" s="27">
        <f t="shared" si="20"/>
        <v>0.3211636792</v>
      </c>
      <c r="K13" s="25">
        <f t="shared" si="7"/>
        <v>-2878266</v>
      </c>
      <c r="L13" s="33" t="str">
        <f t="shared" si="8"/>
        <v>▲ 遅れ</v>
      </c>
      <c r="M13" s="50">
        <v>8.0</v>
      </c>
      <c r="N13" s="50">
        <v>8.0</v>
      </c>
      <c r="O13" s="50">
        <v>24.0</v>
      </c>
      <c r="P13" s="50">
        <v>10.0</v>
      </c>
      <c r="Q13" s="50">
        <v>15.0</v>
      </c>
      <c r="R13" s="27">
        <f t="shared" si="9"/>
        <v>0.3333333333</v>
      </c>
      <c r="S13" s="25">
        <f t="shared" si="10"/>
        <v>19751</v>
      </c>
      <c r="T13" s="34">
        <f t="shared" si="11"/>
        <v>1</v>
      </c>
      <c r="U13" s="27">
        <f t="shared" si="12"/>
        <v>0.4166666667</v>
      </c>
      <c r="V13" s="21"/>
      <c r="W13" s="50">
        <v>43948.0</v>
      </c>
      <c r="X13" s="16"/>
      <c r="Y13" s="24"/>
      <c r="AA13" s="26" t="s">
        <v>69</v>
      </c>
      <c r="AB13" s="28">
        <f t="shared" si="13"/>
        <v>311607.6</v>
      </c>
      <c r="AC13" s="30">
        <f t="shared" si="14"/>
        <v>5</v>
      </c>
      <c r="AD13" s="31">
        <f t="shared" si="15"/>
        <v>0.4277456647</v>
      </c>
      <c r="AE13" s="28">
        <f t="shared" si="16"/>
        <v>21054.56757</v>
      </c>
    </row>
    <row r="14">
      <c r="A14" s="14">
        <v>46241.0</v>
      </c>
      <c r="B14" s="15" t="str">
        <f t="shared" si="2"/>
        <v>金</v>
      </c>
      <c r="C14" s="49">
        <v>600000.0</v>
      </c>
      <c r="D14" s="17">
        <f t="shared" si="3"/>
        <v>4840000</v>
      </c>
      <c r="E14" s="49">
        <v>42808.0</v>
      </c>
      <c r="F14" s="49">
        <v>127519.0</v>
      </c>
      <c r="G14" s="17">
        <f t="shared" si="4"/>
        <v>170327</v>
      </c>
      <c r="H14" s="17">
        <f t="shared" si="5"/>
        <v>1532061</v>
      </c>
      <c r="I14" s="18">
        <f t="shared" ref="I14:J14" si="21">IF(G14="","",IFERROR(G14/C14,""))</f>
        <v>0.2838783333</v>
      </c>
      <c r="J14" s="18">
        <f t="shared" si="21"/>
        <v>0.3165415289</v>
      </c>
      <c r="K14" s="17">
        <f t="shared" si="7"/>
        <v>-3307939</v>
      </c>
      <c r="L14" s="19" t="str">
        <f t="shared" si="8"/>
        <v>▲ 遅れ</v>
      </c>
      <c r="M14" s="50">
        <v>8.0</v>
      </c>
      <c r="N14" s="50">
        <v>8.0</v>
      </c>
      <c r="O14" s="50">
        <v>29.0</v>
      </c>
      <c r="P14" s="50">
        <v>15.0</v>
      </c>
      <c r="Q14" s="50">
        <v>20.0</v>
      </c>
      <c r="R14" s="18">
        <f t="shared" si="9"/>
        <v>0.275862069</v>
      </c>
      <c r="S14" s="17">
        <f t="shared" si="10"/>
        <v>21290.875</v>
      </c>
      <c r="T14" s="22">
        <f t="shared" si="11"/>
        <v>1</v>
      </c>
      <c r="U14" s="18">
        <f t="shared" si="12"/>
        <v>0.5172413793</v>
      </c>
      <c r="V14" s="21"/>
      <c r="W14" s="50">
        <v>43928.0</v>
      </c>
      <c r="X14" s="16"/>
      <c r="Y14" s="24"/>
      <c r="AA14" s="26" t="s">
        <v>71</v>
      </c>
      <c r="AB14" s="28">
        <f t="shared" si="13"/>
        <v>344277</v>
      </c>
      <c r="AC14" s="30">
        <f t="shared" si="14"/>
        <v>5</v>
      </c>
      <c r="AD14" s="31">
        <f t="shared" si="15"/>
        <v>0.4064171123</v>
      </c>
      <c r="AE14" s="28">
        <f t="shared" si="16"/>
        <v>22649.80263</v>
      </c>
    </row>
    <row r="15">
      <c r="A15" s="32">
        <v>46242.0</v>
      </c>
      <c r="B15" s="23" t="str">
        <f t="shared" si="2"/>
        <v>土</v>
      </c>
      <c r="C15" s="49">
        <v>920000.0</v>
      </c>
      <c r="D15" s="25">
        <f t="shared" si="3"/>
        <v>5760000</v>
      </c>
      <c r="E15" s="49">
        <v>67030.0</v>
      </c>
      <c r="F15" s="49">
        <v>236986.0</v>
      </c>
      <c r="G15" s="25">
        <f t="shared" si="4"/>
        <v>304016</v>
      </c>
      <c r="H15" s="25">
        <f t="shared" si="5"/>
        <v>1836077</v>
      </c>
      <c r="I15" s="27">
        <f t="shared" ref="I15:J15" si="22">IF(G15="","",IFERROR(G15/C15,""))</f>
        <v>0.3304521739</v>
      </c>
      <c r="J15" s="27">
        <f t="shared" si="22"/>
        <v>0.3187633681</v>
      </c>
      <c r="K15" s="25">
        <f t="shared" si="7"/>
        <v>-3923923</v>
      </c>
      <c r="L15" s="33" t="str">
        <f t="shared" si="8"/>
        <v>▲ 遅れ</v>
      </c>
      <c r="M15" s="50">
        <v>14.0</v>
      </c>
      <c r="N15" s="50">
        <v>14.0</v>
      </c>
      <c r="O15" s="50">
        <v>41.0</v>
      </c>
      <c r="P15" s="50">
        <v>25.0</v>
      </c>
      <c r="Q15" s="50">
        <v>29.0</v>
      </c>
      <c r="R15" s="27">
        <f t="shared" si="9"/>
        <v>0.3414634146</v>
      </c>
      <c r="S15" s="25">
        <f t="shared" si="10"/>
        <v>21715.42857</v>
      </c>
      <c r="T15" s="34">
        <f t="shared" si="11"/>
        <v>1</v>
      </c>
      <c r="U15" s="27">
        <f t="shared" si="12"/>
        <v>0.6097560976</v>
      </c>
      <c r="V15" s="21"/>
      <c r="W15" s="50">
        <v>43905.0</v>
      </c>
      <c r="X15" s="16"/>
      <c r="Y15" s="24"/>
    </row>
    <row r="16">
      <c r="A16" s="14">
        <v>46243.0</v>
      </c>
      <c r="B16" s="15" t="str">
        <f t="shared" si="2"/>
        <v>日</v>
      </c>
      <c r="C16" s="49">
        <v>920000.0</v>
      </c>
      <c r="D16" s="17">
        <f t="shared" si="3"/>
        <v>6680000</v>
      </c>
      <c r="E16" s="49">
        <v>47620.0</v>
      </c>
      <c r="F16" s="49">
        <v>270241.0</v>
      </c>
      <c r="G16" s="17">
        <f t="shared" si="4"/>
        <v>317861</v>
      </c>
      <c r="H16" s="17">
        <f t="shared" si="5"/>
        <v>2153938</v>
      </c>
      <c r="I16" s="18">
        <f t="shared" ref="I16:J16" si="23">IF(G16="","",IFERROR(G16/C16,""))</f>
        <v>0.345501087</v>
      </c>
      <c r="J16" s="18">
        <f t="shared" si="23"/>
        <v>0.3224458084</v>
      </c>
      <c r="K16" s="17">
        <f t="shared" si="7"/>
        <v>-4526062</v>
      </c>
      <c r="L16" s="19" t="str">
        <f t="shared" si="8"/>
        <v>▲ 遅れ</v>
      </c>
      <c r="M16" s="50">
        <v>12.0</v>
      </c>
      <c r="N16" s="50">
        <v>15.0</v>
      </c>
      <c r="O16" s="50">
        <v>40.0</v>
      </c>
      <c r="P16" s="50">
        <v>18.0</v>
      </c>
      <c r="Q16" s="50">
        <v>22.0</v>
      </c>
      <c r="R16" s="18">
        <f t="shared" si="9"/>
        <v>0.3</v>
      </c>
      <c r="S16" s="17">
        <f t="shared" si="10"/>
        <v>26488.41667</v>
      </c>
      <c r="T16" s="22">
        <f t="shared" si="11"/>
        <v>1.25</v>
      </c>
      <c r="U16" s="18">
        <f t="shared" si="12"/>
        <v>0.45</v>
      </c>
      <c r="V16" s="21"/>
      <c r="W16" s="50">
        <v>43888.0</v>
      </c>
      <c r="X16" s="16"/>
      <c r="Y16" s="24"/>
      <c r="AA16" s="39" t="s">
        <v>75</v>
      </c>
    </row>
    <row r="17">
      <c r="A17" s="32">
        <v>46244.0</v>
      </c>
      <c r="B17" s="23" t="str">
        <f t="shared" si="2"/>
        <v>月</v>
      </c>
      <c r="C17" s="49">
        <v>700000.0</v>
      </c>
      <c r="D17" s="25">
        <f t="shared" si="3"/>
        <v>7380000</v>
      </c>
      <c r="E17" s="49">
        <v>90116.0</v>
      </c>
      <c r="F17" s="49">
        <v>84218.0</v>
      </c>
      <c r="G17" s="25">
        <f t="shared" si="4"/>
        <v>174334</v>
      </c>
      <c r="H17" s="25">
        <f t="shared" si="5"/>
        <v>2328272</v>
      </c>
      <c r="I17" s="27">
        <f t="shared" ref="I17:J17" si="24">IF(G17="","",IFERROR(G17/C17,""))</f>
        <v>0.2490485714</v>
      </c>
      <c r="J17" s="27">
        <f t="shared" si="24"/>
        <v>0.3154840108</v>
      </c>
      <c r="K17" s="25">
        <f t="shared" si="7"/>
        <v>-5051728</v>
      </c>
      <c r="L17" s="33" t="str">
        <f t="shared" si="8"/>
        <v>▲ 遅れ</v>
      </c>
      <c r="M17" s="50">
        <v>8.0</v>
      </c>
      <c r="N17" s="50">
        <v>8.0</v>
      </c>
      <c r="O17" s="50">
        <v>39.0</v>
      </c>
      <c r="P17" s="50">
        <v>24.0</v>
      </c>
      <c r="Q17" s="50">
        <v>23.0</v>
      </c>
      <c r="R17" s="27">
        <f t="shared" si="9"/>
        <v>0.2051282051</v>
      </c>
      <c r="S17" s="25">
        <f t="shared" si="10"/>
        <v>21791.75</v>
      </c>
      <c r="T17" s="34">
        <f t="shared" si="11"/>
        <v>1</v>
      </c>
      <c r="U17" s="27">
        <f t="shared" si="12"/>
        <v>0.6153846154</v>
      </c>
      <c r="V17" s="21"/>
      <c r="W17" s="50">
        <v>43877.0</v>
      </c>
      <c r="X17" s="16"/>
      <c r="Y17" s="24"/>
    </row>
    <row r="18">
      <c r="A18" s="14">
        <v>46245.0</v>
      </c>
      <c r="B18" s="15" t="str">
        <f t="shared" si="2"/>
        <v>火</v>
      </c>
      <c r="C18" s="49">
        <v>920000.0</v>
      </c>
      <c r="D18" s="17">
        <f t="shared" si="3"/>
        <v>8300000</v>
      </c>
      <c r="E18" s="49">
        <v>24800.0</v>
      </c>
      <c r="F18" s="49">
        <v>151100.0</v>
      </c>
      <c r="G18" s="17">
        <f t="shared" si="4"/>
        <v>175900</v>
      </c>
      <c r="H18" s="17">
        <f t="shared" si="5"/>
        <v>2504172</v>
      </c>
      <c r="I18" s="18">
        <f t="shared" ref="I18:J18" si="25">IF(G18="","",IFERROR(G18/C18,""))</f>
        <v>0.1911956522</v>
      </c>
      <c r="J18" s="18">
        <f t="shared" si="25"/>
        <v>0.3017074699</v>
      </c>
      <c r="K18" s="17">
        <f t="shared" si="7"/>
        <v>-5795828</v>
      </c>
      <c r="L18" s="19" t="str">
        <f t="shared" si="8"/>
        <v>▲ 遅れ</v>
      </c>
      <c r="M18" s="50">
        <v>12.0</v>
      </c>
      <c r="N18" s="50">
        <v>10.0</v>
      </c>
      <c r="O18" s="50">
        <v>19.0</v>
      </c>
      <c r="P18" s="50">
        <v>9.0</v>
      </c>
      <c r="Q18" s="50">
        <v>15.0</v>
      </c>
      <c r="R18" s="18">
        <f t="shared" si="9"/>
        <v>0.6315789474</v>
      </c>
      <c r="S18" s="17">
        <f t="shared" si="10"/>
        <v>14658.33333</v>
      </c>
      <c r="T18" s="22">
        <f t="shared" si="11"/>
        <v>0.8333333333</v>
      </c>
      <c r="U18" s="18">
        <f t="shared" si="12"/>
        <v>0.4736842105</v>
      </c>
      <c r="V18" s="21"/>
      <c r="W18" s="50">
        <v>43859.0</v>
      </c>
      <c r="X18" s="16"/>
      <c r="Y18" s="24"/>
      <c r="AA18" s="40" t="s">
        <v>76</v>
      </c>
      <c r="AH18" s="39" t="s">
        <v>118</v>
      </c>
      <c r="AI18" s="41">
        <f>$A$8+MOD(2-WEEKDAY($A$8,2)+7,7)</f>
        <v>46238</v>
      </c>
    </row>
    <row r="19">
      <c r="A19" s="32">
        <v>46246.0</v>
      </c>
      <c r="B19" s="23" t="str">
        <f t="shared" si="2"/>
        <v>水</v>
      </c>
      <c r="C19" s="49">
        <v>720000.0</v>
      </c>
      <c r="D19" s="25">
        <f t="shared" si="3"/>
        <v>9020000</v>
      </c>
      <c r="E19" s="49">
        <v>68740.0</v>
      </c>
      <c r="F19" s="49">
        <v>337140.0</v>
      </c>
      <c r="G19" s="25">
        <f t="shared" si="4"/>
        <v>405880</v>
      </c>
      <c r="H19" s="25">
        <f t="shared" si="5"/>
        <v>2910052</v>
      </c>
      <c r="I19" s="27">
        <f t="shared" ref="I19:J19" si="26">IF(G19="","",IFERROR(G19/C19,""))</f>
        <v>0.5637222222</v>
      </c>
      <c r="J19" s="27">
        <f t="shared" si="26"/>
        <v>0.3226221729</v>
      </c>
      <c r="K19" s="25">
        <f t="shared" si="7"/>
        <v>-6109948</v>
      </c>
      <c r="L19" s="33" t="str">
        <f t="shared" si="8"/>
        <v>▲ 遅れ</v>
      </c>
      <c r="M19" s="50">
        <v>18.0</v>
      </c>
      <c r="N19" s="50">
        <v>23.0</v>
      </c>
      <c r="O19" s="50">
        <v>32.0</v>
      </c>
      <c r="P19" s="50">
        <v>24.0</v>
      </c>
      <c r="Q19" s="50">
        <v>29.0</v>
      </c>
      <c r="R19" s="27">
        <f t="shared" si="9"/>
        <v>0.5625</v>
      </c>
      <c r="S19" s="25">
        <f t="shared" si="10"/>
        <v>22548.88889</v>
      </c>
      <c r="T19" s="34">
        <f t="shared" si="11"/>
        <v>1.277777778</v>
      </c>
      <c r="U19" s="27">
        <f t="shared" si="12"/>
        <v>0.75</v>
      </c>
      <c r="V19" s="21"/>
      <c r="W19" s="50">
        <v>43848.0</v>
      </c>
      <c r="X19" s="16"/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46247.0</v>
      </c>
      <c r="B20" s="15" t="str">
        <f t="shared" si="2"/>
        <v>木</v>
      </c>
      <c r="C20" s="49">
        <v>1120000.0</v>
      </c>
      <c r="D20" s="17">
        <f t="shared" si="3"/>
        <v>10140000</v>
      </c>
      <c r="E20" s="49">
        <v>14960.0</v>
      </c>
      <c r="F20" s="49">
        <v>102116.0</v>
      </c>
      <c r="G20" s="17">
        <f t="shared" si="4"/>
        <v>117076</v>
      </c>
      <c r="H20" s="17">
        <f t="shared" si="5"/>
        <v>3027128</v>
      </c>
      <c r="I20" s="18">
        <f t="shared" ref="I20:J20" si="27">IF(G20="","",IFERROR(G20/C20,""))</f>
        <v>0.1045321429</v>
      </c>
      <c r="J20" s="18">
        <f t="shared" si="27"/>
        <v>0.2985333333</v>
      </c>
      <c r="K20" s="17">
        <f t="shared" si="7"/>
        <v>-7112872</v>
      </c>
      <c r="L20" s="19" t="str">
        <f t="shared" si="8"/>
        <v>▲ 遅れ</v>
      </c>
      <c r="M20" s="50">
        <v>6.0</v>
      </c>
      <c r="N20" s="50">
        <v>6.0</v>
      </c>
      <c r="O20" s="50">
        <v>34.0</v>
      </c>
      <c r="P20" s="50">
        <v>10.0</v>
      </c>
      <c r="Q20" s="50">
        <v>14.0</v>
      </c>
      <c r="R20" s="18">
        <f t="shared" si="9"/>
        <v>0.1764705882</v>
      </c>
      <c r="S20" s="17">
        <f t="shared" si="10"/>
        <v>19512.66667</v>
      </c>
      <c r="T20" s="22">
        <f t="shared" si="11"/>
        <v>1</v>
      </c>
      <c r="U20" s="18">
        <f t="shared" si="12"/>
        <v>0.2941176471</v>
      </c>
      <c r="V20" s="21"/>
      <c r="W20" s="50">
        <v>43848.0</v>
      </c>
      <c r="X20" s="16"/>
      <c r="Y20" s="24"/>
      <c r="AA20" s="30">
        <v>1.0</v>
      </c>
      <c r="AB20" s="42" t="str">
        <f>IF($AI$18+7*(1-1)&gt;$A$38,"",TEXT($AI$18+7*(1-1),"m/d")&amp;"-"&amp;TEXT($AI$18+7*(1-1)+6,"m/d"))</f>
        <v>8/4-8/10</v>
      </c>
      <c r="AC20" s="28">
        <f>IF($AB20="","",(SUMIFS($G$8:$G$38,$A$8:$A$38,"&gt;="&amp;$AI$18+7*(1-1),$A$8:$A$38,"&lt;="&amp;$AI$18+7*(1-1)+6)+SUMIFS('2026年09月'!$G$8:$G$37,'2026年09月'!$A$8:$A$37,"&gt;="&amp;$AI$18+7*(1-1),'2026年09月'!$A$8:$A$37,"&lt;="&amp;$AI$18+7*(1-1)+6)))</f>
        <v>1575553</v>
      </c>
      <c r="AD20" s="31">
        <f>IF($AB20="","",IFERROR((SUMIFS($M$8:$M$38,$A$8:$A$38,"&gt;="&amp;$AI$18+7*(1-1),$A$8:$A$38,"&lt;="&amp;$AI$18+7*(1-1)+6)+SUMIFS('2026年09月'!$M$8:$M$37,'2026年09月'!$A$8:$A$37,"&gt;="&amp;$AI$18+7*(1-1),'2026年09月'!$A$8:$A$37,"&lt;="&amp;$AI$18+7*(1-1)+6))/(SUMIFS($O$8:$O$38,$A$8:$A$38,"&gt;="&amp;$AI$18+7*(1-1),$A$8:$A$38,"&lt;="&amp;$AI$18+7*(1-1)+6)+SUMIFS('2026年09月'!$O$8:$O$37,'2026年09月'!$A$8:$A$37,"&gt;="&amp;$AI$18+7*(1-1),'2026年09月'!$A$8:$A$37,"&lt;="&amp;$AI$18+7*(1-1)+6)),""))</f>
        <v>0.3043478261</v>
      </c>
      <c r="AE20" s="28">
        <f>IF($AB20="","",IFERROR((SUMIFS($G$8:$G$38,$A$8:$A$38,"&gt;="&amp;$AI$18+7*(1-1),$A$8:$A$38,"&lt;="&amp;$AI$18+7*(1-1)+6)+SUMIFS('2026年09月'!$G$8:$G$37,'2026年09月'!$A$8:$A$37,"&gt;="&amp;$AI$18+7*(1-1),'2026年09月'!$A$8:$A$37,"&lt;="&amp;$AI$18+7*(1-1)+6))/(SUMIFS($M$8:$M$38,$A$8:$A$38,"&gt;="&amp;$AI$18+7*(1-1),$A$8:$A$38,"&lt;="&amp;$AI$18+7*(1-1)+6)+SUMIFS('2026年09月'!$M$8:$M$37,'2026年09月'!$A$8:$A$37,"&gt;="&amp;$AI$18+7*(1-1),'2026年09月'!$A$8:$A$37,"&lt;="&amp;$AI$18+7*(1-1)+6)),""))</f>
        <v>22507.9</v>
      </c>
      <c r="AF20" s="43">
        <f>IF($AB20="","",IFERROR((SUMIFS($N$8:$N$38,$A$8:$A$38,"&gt;="&amp;$AI$18+7*(1-1),$A$8:$A$38,"&lt;="&amp;$AI$18+7*(1-1)+6)+SUMIFS('2026年09月'!$N$8:$N$37,'2026年09月'!$A$8:$A$37,"&gt;="&amp;$AI$18+7*(1-1),'2026年09月'!$A$8:$A$37,"&lt;="&amp;$AI$18+7*(1-1)+6))/(SUMIFS($M$8:$M$38,$A$8:$A$38,"&gt;="&amp;$AI$18+7*(1-1),$A$8:$A$38,"&lt;="&amp;$AI$18+7*(1-1)+6)+SUMIFS('2026年09月'!$M$8:$M$37,'2026年09月'!$A$8:$A$37,"&gt;="&amp;$AI$18+7*(1-1),'2026年09月'!$A$8:$A$37,"&lt;="&amp;$AI$18+7*(1-1)+6)),""))</f>
        <v>1.085714286</v>
      </c>
      <c r="AG20" s="31">
        <f>IF($AB20="","",IFERROR((SUMIFS($P$8:$P$38,$A$8:$A$38,"&gt;="&amp;$AI$18+7*(1-1),$A$8:$A$38,"&lt;="&amp;$AI$18+7*(1-1)+6)+SUMIFS('2026年09月'!$P$8:$P$37,'2026年09月'!$A$8:$A$37,"&gt;="&amp;$AI$18+7*(1-1),'2026年09月'!$A$8:$A$37,"&lt;="&amp;$AI$18+7*(1-1)+6))/(SUMIFS($O$8:$O$38,$A$8:$A$38,"&gt;="&amp;$AI$18+7*(1-1),$A$8:$A$38,"&lt;="&amp;$AI$18+7*(1-1)+6)+SUMIFS('2026年09月'!$O$8:$O$37,'2026年09月'!$A$8:$A$37,"&gt;="&amp;$AI$18+7*(1-1),'2026年09月'!$A$8:$A$37,"&lt;="&amp;$AI$18+7*(1-1)+6)),""))</f>
        <v>0.5173913043</v>
      </c>
    </row>
    <row r="21" ht="15.75" customHeight="1">
      <c r="A21" s="32">
        <v>46248.0</v>
      </c>
      <c r="B21" s="23" t="str">
        <f t="shared" si="2"/>
        <v>金</v>
      </c>
      <c r="C21" s="49">
        <v>1120000.0</v>
      </c>
      <c r="D21" s="25">
        <f t="shared" si="3"/>
        <v>11260000</v>
      </c>
      <c r="E21" s="49">
        <v>28270.0</v>
      </c>
      <c r="F21" s="49">
        <v>273659.0</v>
      </c>
      <c r="G21" s="25">
        <f t="shared" si="4"/>
        <v>301929</v>
      </c>
      <c r="H21" s="25">
        <f t="shared" si="5"/>
        <v>3329057</v>
      </c>
      <c r="I21" s="27">
        <f t="shared" ref="I21:J21" si="28">IF(G21="","",IFERROR(G21/C21,""))</f>
        <v>0.2695794643</v>
      </c>
      <c r="J21" s="27">
        <f t="shared" si="28"/>
        <v>0.2956533748</v>
      </c>
      <c r="K21" s="25">
        <f t="shared" si="7"/>
        <v>-7930943</v>
      </c>
      <c r="L21" s="33" t="str">
        <f t="shared" si="8"/>
        <v>▲ 遅れ</v>
      </c>
      <c r="M21" s="50">
        <v>19.0</v>
      </c>
      <c r="N21" s="50">
        <v>19.0</v>
      </c>
      <c r="O21" s="50">
        <v>37.0</v>
      </c>
      <c r="P21" s="50">
        <v>24.0</v>
      </c>
      <c r="Q21" s="50">
        <v>35.0</v>
      </c>
      <c r="R21" s="27">
        <f t="shared" si="9"/>
        <v>0.5135135135</v>
      </c>
      <c r="S21" s="25">
        <f t="shared" si="10"/>
        <v>15891</v>
      </c>
      <c r="T21" s="34">
        <f t="shared" si="11"/>
        <v>1</v>
      </c>
      <c r="U21" s="27">
        <f t="shared" si="12"/>
        <v>0.6486486486</v>
      </c>
      <c r="V21" s="21"/>
      <c r="W21" s="21"/>
      <c r="X21" s="16"/>
      <c r="Y21" s="24"/>
      <c r="AA21" s="30">
        <v>2.0</v>
      </c>
      <c r="AB21" s="42" t="str">
        <f>IF($AI$18+7*(2-1)&gt;$A$38,"",TEXT($AI$18+7*(2-1),"m/d")&amp;"-"&amp;TEXT($AI$18+7*(2-1)+6,"m/d"))</f>
        <v>8/11-8/17</v>
      </c>
      <c r="AC21" s="28">
        <f>IF($AB21="","",(SUMIFS($G$8:$G$38,$A$8:$A$38,"&gt;="&amp;$AI$18+7*(2-1),$A$8:$A$38,"&lt;="&amp;$AI$18+7*(2-1)+6)+SUMIFS('2026年09月'!$G$8:$G$37,'2026年09月'!$A$8:$A$37,"&gt;="&amp;$AI$18+7*(2-1),'2026年09月'!$A$8:$A$37,"&lt;="&amp;$AI$18+7*(2-1)+6)))</f>
        <v>1936201</v>
      </c>
      <c r="AD21" s="31">
        <f>IF($AB21="","",IFERROR((SUMIFS($M$8:$M$38,$A$8:$A$38,"&gt;="&amp;$AI$18+7*(2-1),$A$8:$A$38,"&lt;="&amp;$AI$18+7*(2-1)+6)+SUMIFS('2026年09月'!$M$8:$M$37,'2026年09月'!$A$8:$A$37,"&gt;="&amp;$AI$18+7*(2-1),'2026年09月'!$A$8:$A$37,"&lt;="&amp;$AI$18+7*(2-1)+6))/(SUMIFS($O$8:$O$38,$A$8:$A$38,"&gt;="&amp;$AI$18+7*(2-1),$A$8:$A$38,"&lt;="&amp;$AI$18+7*(2-1)+6)+SUMIFS('2026年09月'!$O$8:$O$37,'2026年09月'!$A$8:$A$37,"&gt;="&amp;$AI$18+7*(2-1),'2026年09月'!$A$8:$A$37,"&lt;="&amp;$AI$18+7*(2-1)+6)),""))</f>
        <v>0.4484304933</v>
      </c>
      <c r="AE21" s="28">
        <f>IF($AB21="","",IFERROR((SUMIFS($G$8:$G$38,$A$8:$A$38,"&gt;="&amp;$AI$18+7*(2-1),$A$8:$A$38,"&lt;="&amp;$AI$18+7*(2-1)+6)+SUMIFS('2026年09月'!$G$8:$G$37,'2026年09月'!$A$8:$A$37,"&gt;="&amp;$AI$18+7*(2-1),'2026年09月'!$A$8:$A$37,"&lt;="&amp;$AI$18+7*(2-1)+6))/(SUMIFS($M$8:$M$38,$A$8:$A$38,"&gt;="&amp;$AI$18+7*(2-1),$A$8:$A$38,"&lt;="&amp;$AI$18+7*(2-1)+6)+SUMIFS('2026年09月'!$M$8:$M$37,'2026年09月'!$A$8:$A$37,"&gt;="&amp;$AI$18+7*(2-1),'2026年09月'!$A$8:$A$37,"&lt;="&amp;$AI$18+7*(2-1)+6)),""))</f>
        <v>19362.01</v>
      </c>
      <c r="AF21" s="43">
        <f>IF($AB21="","",IFERROR((SUMIFS($N$8:$N$38,$A$8:$A$38,"&gt;="&amp;$AI$18+7*(2-1),$A$8:$A$38,"&lt;="&amp;$AI$18+7*(2-1)+6)+SUMIFS('2026年09月'!$N$8:$N$37,'2026年09月'!$A$8:$A$37,"&gt;="&amp;$AI$18+7*(2-1),'2026年09月'!$A$8:$A$37,"&lt;="&amp;$AI$18+7*(2-1)+6))/(SUMIFS($M$8:$M$38,$A$8:$A$38,"&gt;="&amp;$AI$18+7*(2-1),$A$8:$A$38,"&lt;="&amp;$AI$18+7*(2-1)+6)+SUMIFS('2026年09月'!$M$8:$M$37,'2026年09月'!$A$8:$A$37,"&gt;="&amp;$AI$18+7*(2-1),'2026年09月'!$A$8:$A$37,"&lt;="&amp;$AI$18+7*(2-1)+6)),""))</f>
        <v>1.04</v>
      </c>
      <c r="AG21" s="31">
        <f>IF($AB21="","",IFERROR((SUMIFS($P$8:$P$38,$A$8:$A$38,"&gt;="&amp;$AI$18+7*(2-1),$A$8:$A$38,"&lt;="&amp;$AI$18+7*(2-1)+6)+SUMIFS('2026年09月'!$P$8:$P$37,'2026年09月'!$A$8:$A$37,"&gt;="&amp;$AI$18+7*(2-1),'2026年09月'!$A$8:$A$37,"&lt;="&amp;$AI$18+7*(2-1)+6))/(SUMIFS($O$8:$O$38,$A$8:$A$38,"&gt;="&amp;$AI$18+7*(2-1),$A$8:$A$38,"&lt;="&amp;$AI$18+7*(2-1)+6)+SUMIFS('2026年09月'!$O$8:$O$37,'2026年09月'!$A$8:$A$37,"&gt;="&amp;$AI$18+7*(2-1),'2026年09月'!$A$8:$A$37,"&lt;="&amp;$AI$18+7*(2-1)+6)),""))</f>
        <v>0.533632287</v>
      </c>
    </row>
    <row r="22" ht="15.75" customHeight="1">
      <c r="A22" s="14">
        <v>46249.0</v>
      </c>
      <c r="B22" s="15" t="str">
        <f t="shared" si="2"/>
        <v>土</v>
      </c>
      <c r="C22" s="49">
        <v>1120000.0</v>
      </c>
      <c r="D22" s="17">
        <f t="shared" si="3"/>
        <v>12380000</v>
      </c>
      <c r="E22" s="49">
        <v>165190.0</v>
      </c>
      <c r="F22" s="49">
        <v>252259.0</v>
      </c>
      <c r="G22" s="17">
        <f t="shared" si="4"/>
        <v>417449</v>
      </c>
      <c r="H22" s="17">
        <f t="shared" si="5"/>
        <v>3746506</v>
      </c>
      <c r="I22" s="18">
        <f t="shared" ref="I22:J22" si="29">IF(G22="","",IFERROR(G22/C22,""))</f>
        <v>0.3727223214</v>
      </c>
      <c r="J22" s="18">
        <f t="shared" si="29"/>
        <v>0.3026256866</v>
      </c>
      <c r="K22" s="17">
        <f t="shared" si="7"/>
        <v>-8633494</v>
      </c>
      <c r="L22" s="19" t="str">
        <f t="shared" si="8"/>
        <v>▲ 遅れ</v>
      </c>
      <c r="M22" s="50">
        <v>19.0</v>
      </c>
      <c r="N22" s="50">
        <v>19.0</v>
      </c>
      <c r="O22" s="50">
        <v>37.0</v>
      </c>
      <c r="P22" s="50">
        <v>19.0</v>
      </c>
      <c r="Q22" s="50">
        <v>49.0</v>
      </c>
      <c r="R22" s="18">
        <f t="shared" si="9"/>
        <v>0.5135135135</v>
      </c>
      <c r="S22" s="17">
        <f t="shared" si="10"/>
        <v>21971</v>
      </c>
      <c r="T22" s="22">
        <f t="shared" si="11"/>
        <v>1</v>
      </c>
      <c r="U22" s="18">
        <f t="shared" si="12"/>
        <v>0.5135135135</v>
      </c>
      <c r="V22" s="21"/>
      <c r="W22" s="50">
        <v>43805.0</v>
      </c>
      <c r="X22" s="16"/>
      <c r="Y22" s="24"/>
      <c r="AA22" s="30">
        <v>3.0</v>
      </c>
      <c r="AB22" s="42" t="str">
        <f>IF($AI$18+7*(3-1)&gt;$A$38,"",TEXT($AI$18+7*(3-1),"m/d")&amp;"-"&amp;TEXT($AI$18+7*(3-1)+6,"m/d"))</f>
        <v>8/18-8/24</v>
      </c>
      <c r="AC22" s="28">
        <f>IF($AB22="","",(SUMIFS($G$8:$G$38,$A$8:$A$38,"&gt;="&amp;$AI$18+7*(3-1),$A$8:$A$38,"&lt;="&amp;$AI$18+7*(3-1)+6)+SUMIFS('2026年09月'!$G$8:$G$37,'2026年09月'!$A$8:$A$37,"&gt;="&amp;$AI$18+7*(3-1),'2026年09月'!$A$8:$A$37,"&lt;="&amp;$AI$18+7*(3-1)+6)))</f>
        <v>2009000</v>
      </c>
      <c r="AD22" s="31">
        <f>IF($AB22="","",IFERROR((SUMIFS($M$8:$M$38,$A$8:$A$38,"&gt;="&amp;$AI$18+7*(3-1),$A$8:$A$38,"&lt;="&amp;$AI$18+7*(3-1)+6)+SUMIFS('2026年09月'!$M$8:$M$37,'2026年09月'!$A$8:$A$37,"&gt;="&amp;$AI$18+7*(3-1),'2026年09月'!$A$8:$A$37,"&lt;="&amp;$AI$18+7*(3-1)+6))/(SUMIFS($O$8:$O$38,$A$8:$A$38,"&gt;="&amp;$AI$18+7*(3-1),$A$8:$A$38,"&lt;="&amp;$AI$18+7*(3-1)+6)+SUMIFS('2026年09月'!$O$8:$O$37,'2026年09月'!$A$8:$A$37,"&gt;="&amp;$AI$18+7*(3-1),'2026年09月'!$A$8:$A$37,"&lt;="&amp;$AI$18+7*(3-1)+6)),""))</f>
        <v>0.4789473684</v>
      </c>
      <c r="AE22" s="28">
        <f>IF($AB22="","",IFERROR((SUMIFS($G$8:$G$38,$A$8:$A$38,"&gt;="&amp;$AI$18+7*(3-1),$A$8:$A$38,"&lt;="&amp;$AI$18+7*(3-1)+6)+SUMIFS('2026年09月'!$G$8:$G$37,'2026年09月'!$A$8:$A$37,"&gt;="&amp;$AI$18+7*(3-1),'2026年09月'!$A$8:$A$37,"&lt;="&amp;$AI$18+7*(3-1)+6))/(SUMIFS($M$8:$M$38,$A$8:$A$38,"&gt;="&amp;$AI$18+7*(3-1),$A$8:$A$38,"&lt;="&amp;$AI$18+7*(3-1)+6)+SUMIFS('2026年09月'!$M$8:$M$37,'2026年09月'!$A$8:$A$37,"&gt;="&amp;$AI$18+7*(3-1),'2026年09月'!$A$8:$A$37,"&lt;="&amp;$AI$18+7*(3-1)+6)),""))</f>
        <v>22076.92308</v>
      </c>
      <c r="AF22" s="43">
        <f>IF($AB22="","",IFERROR((SUMIFS($N$8:$N$38,$A$8:$A$38,"&gt;="&amp;$AI$18+7*(3-1),$A$8:$A$38,"&lt;="&amp;$AI$18+7*(3-1)+6)+SUMIFS('2026年09月'!$N$8:$N$37,'2026年09月'!$A$8:$A$37,"&gt;="&amp;$AI$18+7*(3-1),'2026年09月'!$A$8:$A$37,"&lt;="&amp;$AI$18+7*(3-1)+6))/(SUMIFS($M$8:$M$38,$A$8:$A$38,"&gt;="&amp;$AI$18+7*(3-1),$A$8:$A$38,"&lt;="&amp;$AI$18+7*(3-1)+6)+SUMIFS('2026年09月'!$M$8:$M$37,'2026年09月'!$A$8:$A$37,"&gt;="&amp;$AI$18+7*(3-1),'2026年09月'!$A$8:$A$37,"&lt;="&amp;$AI$18+7*(3-1)+6)),""))</f>
        <v>1.087912088</v>
      </c>
      <c r="AG22" s="31">
        <f>IF($AB22="","",IFERROR((SUMIFS($P$8:$P$38,$A$8:$A$38,"&gt;="&amp;$AI$18+7*(3-1),$A$8:$A$38,"&lt;="&amp;$AI$18+7*(3-1)+6)+SUMIFS('2026年09月'!$P$8:$P$37,'2026年09月'!$A$8:$A$37,"&gt;="&amp;$AI$18+7*(3-1),'2026年09月'!$A$8:$A$37,"&lt;="&amp;$AI$18+7*(3-1)+6))/(SUMIFS($O$8:$O$38,$A$8:$A$38,"&gt;="&amp;$AI$18+7*(3-1),$A$8:$A$38,"&lt;="&amp;$AI$18+7*(3-1)+6)+SUMIFS('2026年09月'!$O$8:$O$37,'2026年09月'!$A$8:$A$37,"&gt;="&amp;$AI$18+7*(3-1),'2026年09月'!$A$8:$A$37,"&lt;="&amp;$AI$18+7*(3-1)+6)),""))</f>
        <v>0.6</v>
      </c>
    </row>
    <row r="23" ht="15.75" customHeight="1">
      <c r="A23" s="32">
        <v>46250.0</v>
      </c>
      <c r="B23" s="23" t="str">
        <f t="shared" si="2"/>
        <v>日</v>
      </c>
      <c r="C23" s="49">
        <v>1120000.0</v>
      </c>
      <c r="D23" s="25">
        <f t="shared" si="3"/>
        <v>13500000</v>
      </c>
      <c r="E23" s="49">
        <v>134682.0</v>
      </c>
      <c r="F23" s="49">
        <v>234071.0</v>
      </c>
      <c r="G23" s="25">
        <f t="shared" si="4"/>
        <v>368753</v>
      </c>
      <c r="H23" s="25">
        <f t="shared" si="5"/>
        <v>4115259</v>
      </c>
      <c r="I23" s="27">
        <f t="shared" ref="I23:J23" si="30">IF(G23="","",IFERROR(G23/C23,""))</f>
        <v>0.32924375</v>
      </c>
      <c r="J23" s="27">
        <f t="shared" si="30"/>
        <v>0.304834</v>
      </c>
      <c r="K23" s="25">
        <f t="shared" si="7"/>
        <v>-9384741</v>
      </c>
      <c r="L23" s="33" t="str">
        <f t="shared" si="8"/>
        <v>▲ 遅れ</v>
      </c>
      <c r="M23" s="50">
        <v>18.0</v>
      </c>
      <c r="N23" s="50">
        <v>19.0</v>
      </c>
      <c r="O23" s="50">
        <v>35.0</v>
      </c>
      <c r="P23" s="50">
        <v>23.0</v>
      </c>
      <c r="Q23" s="50">
        <v>49.0</v>
      </c>
      <c r="R23" s="27">
        <f t="shared" si="9"/>
        <v>0.5142857143</v>
      </c>
      <c r="S23" s="25">
        <f t="shared" si="10"/>
        <v>20486.27778</v>
      </c>
      <c r="T23" s="34">
        <f t="shared" si="11"/>
        <v>1.055555556</v>
      </c>
      <c r="U23" s="27">
        <f t="shared" si="12"/>
        <v>0.6571428571</v>
      </c>
      <c r="V23" s="21"/>
      <c r="W23" s="50">
        <v>43785.0</v>
      </c>
      <c r="X23" s="16"/>
      <c r="Y23" s="24"/>
      <c r="AA23" s="30">
        <v>4.0</v>
      </c>
      <c r="AB23" s="42" t="str">
        <f>IF($AI$18+7*(4-1)&gt;$A$38,"",TEXT($AI$18+7*(4-1),"m/d")&amp;"-"&amp;TEXT($AI$18+7*(4-1)+6,"m/d"))</f>
        <v>8/25-8/31</v>
      </c>
      <c r="AC23" s="28">
        <f>IF($AB23="","",(SUMIFS($G$8:$G$38,$A$8:$A$38,"&gt;="&amp;$AI$18+7*(4-1),$A$8:$A$38,"&lt;="&amp;$AI$18+7*(4-1)+6)+SUMIFS('2026年09月'!$G$8:$G$37,'2026年09月'!$A$8:$A$37,"&gt;="&amp;$AI$18+7*(4-1),'2026年09月'!$A$8:$A$37,"&lt;="&amp;$AI$18+7*(4-1)+6)))</f>
        <v>2237404</v>
      </c>
      <c r="AD23" s="31">
        <f>IF($AB23="","",IFERROR((SUMIFS($M$8:$M$38,$A$8:$A$38,"&gt;="&amp;$AI$18+7*(4-1),$A$8:$A$38,"&lt;="&amp;$AI$18+7*(4-1)+6)+SUMIFS('2026年09月'!$M$8:$M$37,'2026年09月'!$A$8:$A$37,"&gt;="&amp;$AI$18+7*(4-1),'2026年09月'!$A$8:$A$37,"&lt;="&amp;$AI$18+7*(4-1)+6))/(SUMIFS($O$8:$O$38,$A$8:$A$38,"&gt;="&amp;$AI$18+7*(4-1),$A$8:$A$38,"&lt;="&amp;$AI$18+7*(4-1)+6)+SUMIFS('2026年09月'!$O$8:$O$37,'2026年09月'!$A$8:$A$37,"&gt;="&amp;$AI$18+7*(4-1),'2026年09月'!$A$8:$A$37,"&lt;="&amp;$AI$18+7*(4-1)+6)),""))</f>
        <v>0.4212962963</v>
      </c>
      <c r="AE23" s="28">
        <f>IF($AB23="","",IFERROR((SUMIFS($G$8:$G$38,$A$8:$A$38,"&gt;="&amp;$AI$18+7*(4-1),$A$8:$A$38,"&lt;="&amp;$AI$18+7*(4-1)+6)+SUMIFS('2026年09月'!$G$8:$G$37,'2026年09月'!$A$8:$A$37,"&gt;="&amp;$AI$18+7*(4-1),'2026年09月'!$A$8:$A$37,"&lt;="&amp;$AI$18+7*(4-1)+6))/(SUMIFS($M$8:$M$38,$A$8:$A$38,"&gt;="&amp;$AI$18+7*(4-1),$A$8:$A$38,"&lt;="&amp;$AI$18+7*(4-1)+6)+SUMIFS('2026年09月'!$M$8:$M$37,'2026年09月'!$A$8:$A$37,"&gt;="&amp;$AI$18+7*(4-1),'2026年09月'!$A$8:$A$37,"&lt;="&amp;$AI$18+7*(4-1)+6)),""))</f>
        <v>24586.85714</v>
      </c>
      <c r="AF23" s="43">
        <f>IF($AB23="","",IFERROR((SUMIFS($N$8:$N$38,$A$8:$A$38,"&gt;="&amp;$AI$18+7*(4-1),$A$8:$A$38,"&lt;="&amp;$AI$18+7*(4-1)+6)+SUMIFS('2026年09月'!$N$8:$N$37,'2026年09月'!$A$8:$A$37,"&gt;="&amp;$AI$18+7*(4-1),'2026年09月'!$A$8:$A$37,"&lt;="&amp;$AI$18+7*(4-1)+6))/(SUMIFS($M$8:$M$38,$A$8:$A$38,"&gt;="&amp;$AI$18+7*(4-1),$A$8:$A$38,"&lt;="&amp;$AI$18+7*(4-1)+6)+SUMIFS('2026年09月'!$M$8:$M$37,'2026年09月'!$A$8:$A$37,"&gt;="&amp;$AI$18+7*(4-1),'2026年09月'!$A$8:$A$37,"&lt;="&amp;$AI$18+7*(4-1)+6)),""))</f>
        <v>1.252747253</v>
      </c>
      <c r="AG23" s="31">
        <f>IF($AB23="","",IFERROR((SUMIFS($P$8:$P$38,$A$8:$A$38,"&gt;="&amp;$AI$18+7*(4-1),$A$8:$A$38,"&lt;="&amp;$AI$18+7*(4-1)+6)+SUMIFS('2026年09月'!$P$8:$P$37,'2026年09月'!$A$8:$A$37,"&gt;="&amp;$AI$18+7*(4-1),'2026年09月'!$A$8:$A$37,"&lt;="&amp;$AI$18+7*(4-1)+6))/(SUMIFS($O$8:$O$38,$A$8:$A$38,"&gt;="&amp;$AI$18+7*(4-1),$A$8:$A$38,"&lt;="&amp;$AI$18+7*(4-1)+6)+SUMIFS('2026年09月'!$O$8:$O$37,'2026年09月'!$A$8:$A$37,"&gt;="&amp;$AI$18+7*(4-1),'2026年09月'!$A$8:$A$37,"&lt;="&amp;$AI$18+7*(4-1)+6)),""))</f>
        <v>0.5740740741</v>
      </c>
    </row>
    <row r="24" ht="15.75" customHeight="1">
      <c r="A24" s="14">
        <v>46251.0</v>
      </c>
      <c r="B24" s="15" t="str">
        <f t="shared" si="2"/>
        <v>月</v>
      </c>
      <c r="C24" s="49">
        <v>680000.0</v>
      </c>
      <c r="D24" s="17">
        <f t="shared" si="3"/>
        <v>14180000</v>
      </c>
      <c r="E24" s="49">
        <v>24310.0</v>
      </c>
      <c r="F24" s="49">
        <v>124904.0</v>
      </c>
      <c r="G24" s="17">
        <f t="shared" si="4"/>
        <v>149214</v>
      </c>
      <c r="H24" s="17">
        <f t="shared" si="5"/>
        <v>4264473</v>
      </c>
      <c r="I24" s="18">
        <f t="shared" ref="I24:J24" si="31">IF(G24="","",IFERROR(G24/C24,""))</f>
        <v>0.2194323529</v>
      </c>
      <c r="J24" s="18">
        <f t="shared" si="31"/>
        <v>0.3007385755</v>
      </c>
      <c r="K24" s="17">
        <f t="shared" si="7"/>
        <v>-9915527</v>
      </c>
      <c r="L24" s="19" t="str">
        <f t="shared" si="8"/>
        <v>▲ 遅れ</v>
      </c>
      <c r="M24" s="50">
        <v>8.0</v>
      </c>
      <c r="N24" s="50">
        <v>8.0</v>
      </c>
      <c r="O24" s="50">
        <v>29.0</v>
      </c>
      <c r="P24" s="50">
        <v>10.0</v>
      </c>
      <c r="Q24" s="50">
        <v>13.0</v>
      </c>
      <c r="R24" s="18">
        <f t="shared" si="9"/>
        <v>0.275862069</v>
      </c>
      <c r="S24" s="17">
        <f t="shared" si="10"/>
        <v>18651.75</v>
      </c>
      <c r="T24" s="22">
        <f t="shared" si="11"/>
        <v>1</v>
      </c>
      <c r="U24" s="18">
        <f t="shared" si="12"/>
        <v>0.3448275862</v>
      </c>
      <c r="V24" s="21"/>
      <c r="W24" s="21"/>
      <c r="X24" s="16"/>
      <c r="Y24" s="24"/>
      <c r="AA24" s="30">
        <v>5.0</v>
      </c>
      <c r="AB24" s="42" t="str">
        <f>IF($AI$18+7*(5-1)&gt;$A$38,"",TEXT($AI$18+7*(5-1),"m/d")&amp;"-"&amp;TEXT($AI$18+7*(5-1)+6,"m/d"))</f>
        <v/>
      </c>
      <c r="AC24" s="28" t="str">
        <f>IF($AB24="","",(SUMIFS($G$8:$G$38,$A$8:$A$38,"&gt;="&amp;$AI$18+7*(5-1),$A$8:$A$38,"&lt;="&amp;$AI$18+7*(5-1)+6)+SUMIFS('2026年09月'!$G$8:$G$37,'2026年09月'!$A$8:$A$37,"&gt;="&amp;$AI$18+7*(5-1),'2026年09月'!$A$8:$A$37,"&lt;="&amp;$AI$18+7*(5-1)+6)))</f>
        <v/>
      </c>
      <c r="AD24" s="31" t="str">
        <f>IF($AB24="","",IFERROR((SUMIFS($M$8:$M$38,$A$8:$A$38,"&gt;="&amp;$AI$18+7*(5-1),$A$8:$A$38,"&lt;="&amp;$AI$18+7*(5-1)+6)+SUMIFS('2026年09月'!$M$8:$M$37,'2026年09月'!$A$8:$A$37,"&gt;="&amp;$AI$18+7*(5-1),'2026年09月'!$A$8:$A$37,"&lt;="&amp;$AI$18+7*(5-1)+6))/(SUMIFS($O$8:$O$38,$A$8:$A$38,"&gt;="&amp;$AI$18+7*(5-1),$A$8:$A$38,"&lt;="&amp;$AI$18+7*(5-1)+6)+SUMIFS('2026年09月'!$O$8:$O$37,'2026年09月'!$A$8:$A$37,"&gt;="&amp;$AI$18+7*(5-1),'2026年09月'!$A$8:$A$37,"&lt;="&amp;$AI$18+7*(5-1)+6)),""))</f>
        <v/>
      </c>
      <c r="AE24" s="28" t="str">
        <f>IF($AB24="","",IFERROR((SUMIFS($G$8:$G$38,$A$8:$A$38,"&gt;="&amp;$AI$18+7*(5-1),$A$8:$A$38,"&lt;="&amp;$AI$18+7*(5-1)+6)+SUMIFS('2026年09月'!$G$8:$G$37,'2026年09月'!$A$8:$A$37,"&gt;="&amp;$AI$18+7*(5-1),'2026年09月'!$A$8:$A$37,"&lt;="&amp;$AI$18+7*(5-1)+6))/(SUMIFS($M$8:$M$38,$A$8:$A$38,"&gt;="&amp;$AI$18+7*(5-1),$A$8:$A$38,"&lt;="&amp;$AI$18+7*(5-1)+6)+SUMIFS('2026年09月'!$M$8:$M$37,'2026年09月'!$A$8:$A$37,"&gt;="&amp;$AI$18+7*(5-1),'2026年09月'!$A$8:$A$37,"&lt;="&amp;$AI$18+7*(5-1)+6)),""))</f>
        <v/>
      </c>
      <c r="AF24" s="43" t="str">
        <f>IF($AB24="","",IFERROR((SUMIFS($N$8:$N$38,$A$8:$A$38,"&gt;="&amp;$AI$18+7*(5-1),$A$8:$A$38,"&lt;="&amp;$AI$18+7*(5-1)+6)+SUMIFS('2026年09月'!$N$8:$N$37,'2026年09月'!$A$8:$A$37,"&gt;="&amp;$AI$18+7*(5-1),'2026年09月'!$A$8:$A$37,"&lt;="&amp;$AI$18+7*(5-1)+6))/(SUMIFS($M$8:$M$38,$A$8:$A$38,"&gt;="&amp;$AI$18+7*(5-1),$A$8:$A$38,"&lt;="&amp;$AI$18+7*(5-1)+6)+SUMIFS('2026年09月'!$M$8:$M$37,'2026年09月'!$A$8:$A$37,"&gt;="&amp;$AI$18+7*(5-1),'2026年09月'!$A$8:$A$37,"&lt;="&amp;$AI$18+7*(5-1)+6)),""))</f>
        <v/>
      </c>
      <c r="AG24" s="31" t="str">
        <f>IF($AB24="","",IFERROR((SUMIFS($P$8:$P$38,$A$8:$A$38,"&gt;="&amp;$AI$18+7*(5-1),$A$8:$A$38,"&lt;="&amp;$AI$18+7*(5-1)+6)+SUMIFS('2026年09月'!$P$8:$P$37,'2026年09月'!$A$8:$A$37,"&gt;="&amp;$AI$18+7*(5-1),'2026年09月'!$A$8:$A$37,"&lt;="&amp;$AI$18+7*(5-1)+6))/(SUMIFS($O$8:$O$38,$A$8:$A$38,"&gt;="&amp;$AI$18+7*(5-1),$A$8:$A$38,"&lt;="&amp;$AI$18+7*(5-1)+6)+SUMIFS('2026年09月'!$O$8:$O$37,'2026年09月'!$A$8:$A$37,"&gt;="&amp;$AI$18+7*(5-1),'2026年09月'!$A$8:$A$37,"&lt;="&amp;$AI$18+7*(5-1)+6)),""))</f>
        <v/>
      </c>
    </row>
    <row r="25" ht="15.75" customHeight="1">
      <c r="A25" s="32">
        <v>46252.0</v>
      </c>
      <c r="B25" s="23" t="str">
        <f t="shared" si="2"/>
        <v>火</v>
      </c>
      <c r="C25" s="49">
        <v>680000.0</v>
      </c>
      <c r="D25" s="25">
        <f t="shared" si="3"/>
        <v>14860000</v>
      </c>
      <c r="E25" s="49">
        <v>3570.0</v>
      </c>
      <c r="F25" s="49">
        <v>159541.0</v>
      </c>
      <c r="G25" s="25">
        <f t="shared" si="4"/>
        <v>163111</v>
      </c>
      <c r="H25" s="25">
        <f t="shared" si="5"/>
        <v>4427584</v>
      </c>
      <c r="I25" s="27">
        <f t="shared" ref="I25:J25" si="32">IF(G25="","",IFERROR(G25/C25,""))</f>
        <v>0.2398691176</v>
      </c>
      <c r="J25" s="27">
        <f t="shared" si="32"/>
        <v>0.2979531629</v>
      </c>
      <c r="K25" s="25">
        <f t="shared" si="7"/>
        <v>-10432416</v>
      </c>
      <c r="L25" s="33" t="str">
        <f t="shared" si="8"/>
        <v>▲ 遅れ</v>
      </c>
      <c r="M25" s="50">
        <v>9.0</v>
      </c>
      <c r="N25" s="50">
        <v>10.0</v>
      </c>
      <c r="O25" s="50">
        <v>15.0</v>
      </c>
      <c r="P25" s="50">
        <v>8.0</v>
      </c>
      <c r="Q25" s="50">
        <v>15.0</v>
      </c>
      <c r="R25" s="27">
        <f t="shared" si="9"/>
        <v>0.6</v>
      </c>
      <c r="S25" s="25">
        <f t="shared" si="10"/>
        <v>18123.44444</v>
      </c>
      <c r="T25" s="34">
        <f t="shared" si="11"/>
        <v>1.111111111</v>
      </c>
      <c r="U25" s="27">
        <f t="shared" si="12"/>
        <v>0.5333333333</v>
      </c>
      <c r="V25" s="21"/>
      <c r="W25" s="50">
        <v>43764.0</v>
      </c>
      <c r="X25" s="16"/>
      <c r="Y25" s="24"/>
      <c r="AA25" s="30">
        <v>6.0</v>
      </c>
      <c r="AB25" s="42" t="str">
        <f>IF($AI$18+7*(6-1)&gt;$A$38,"",TEXT($AI$18+7*(6-1),"m/d")&amp;"-"&amp;TEXT($AI$18+7*(6-1)+6,"m/d"))</f>
        <v/>
      </c>
      <c r="AC25" s="28" t="str">
        <f>IF($AB25="","",(SUMIFS($G$8:$G$38,$A$8:$A$38,"&gt;="&amp;$AI$18+7*(6-1),$A$8:$A$38,"&lt;="&amp;$AI$18+7*(6-1)+6)+SUMIFS('2026年09月'!$G$8:$G$37,'2026年09月'!$A$8:$A$37,"&gt;="&amp;$AI$18+7*(6-1),'2026年09月'!$A$8:$A$37,"&lt;="&amp;$AI$18+7*(6-1)+6)))</f>
        <v/>
      </c>
      <c r="AD25" s="31" t="str">
        <f>IF($AB25="","",IFERROR((SUMIFS($M$8:$M$38,$A$8:$A$38,"&gt;="&amp;$AI$18+7*(6-1),$A$8:$A$38,"&lt;="&amp;$AI$18+7*(6-1)+6)+SUMIFS('2026年09月'!$M$8:$M$37,'2026年09月'!$A$8:$A$37,"&gt;="&amp;$AI$18+7*(6-1),'2026年09月'!$A$8:$A$37,"&lt;="&amp;$AI$18+7*(6-1)+6))/(SUMIFS($O$8:$O$38,$A$8:$A$38,"&gt;="&amp;$AI$18+7*(6-1),$A$8:$A$38,"&lt;="&amp;$AI$18+7*(6-1)+6)+SUMIFS('2026年09月'!$O$8:$O$37,'2026年09月'!$A$8:$A$37,"&gt;="&amp;$AI$18+7*(6-1),'2026年09月'!$A$8:$A$37,"&lt;="&amp;$AI$18+7*(6-1)+6)),""))</f>
        <v/>
      </c>
      <c r="AE25" s="28" t="str">
        <f>IF($AB25="","",IFERROR((SUMIFS($G$8:$G$38,$A$8:$A$38,"&gt;="&amp;$AI$18+7*(6-1),$A$8:$A$38,"&lt;="&amp;$AI$18+7*(6-1)+6)+SUMIFS('2026年09月'!$G$8:$G$37,'2026年09月'!$A$8:$A$37,"&gt;="&amp;$AI$18+7*(6-1),'2026年09月'!$A$8:$A$37,"&lt;="&amp;$AI$18+7*(6-1)+6))/(SUMIFS($M$8:$M$38,$A$8:$A$38,"&gt;="&amp;$AI$18+7*(6-1),$A$8:$A$38,"&lt;="&amp;$AI$18+7*(6-1)+6)+SUMIFS('2026年09月'!$M$8:$M$37,'2026年09月'!$A$8:$A$37,"&gt;="&amp;$AI$18+7*(6-1),'2026年09月'!$A$8:$A$37,"&lt;="&amp;$AI$18+7*(6-1)+6)),""))</f>
        <v/>
      </c>
      <c r="AF25" s="43" t="str">
        <f>IF($AB25="","",IFERROR((SUMIFS($N$8:$N$38,$A$8:$A$38,"&gt;="&amp;$AI$18+7*(6-1),$A$8:$A$38,"&lt;="&amp;$AI$18+7*(6-1)+6)+SUMIFS('2026年09月'!$N$8:$N$37,'2026年09月'!$A$8:$A$37,"&gt;="&amp;$AI$18+7*(6-1),'2026年09月'!$A$8:$A$37,"&lt;="&amp;$AI$18+7*(6-1)+6))/(SUMIFS($M$8:$M$38,$A$8:$A$38,"&gt;="&amp;$AI$18+7*(6-1),$A$8:$A$38,"&lt;="&amp;$AI$18+7*(6-1)+6)+SUMIFS('2026年09月'!$M$8:$M$37,'2026年09月'!$A$8:$A$37,"&gt;="&amp;$AI$18+7*(6-1),'2026年09月'!$A$8:$A$37,"&lt;="&amp;$AI$18+7*(6-1)+6)),""))</f>
        <v/>
      </c>
      <c r="AG25" s="31" t="str">
        <f>IF($AB25="","",IFERROR((SUMIFS($P$8:$P$38,$A$8:$A$38,"&gt;="&amp;$AI$18+7*(6-1),$A$8:$A$38,"&lt;="&amp;$AI$18+7*(6-1)+6)+SUMIFS('2026年09月'!$P$8:$P$37,'2026年09月'!$A$8:$A$37,"&gt;="&amp;$AI$18+7*(6-1),'2026年09月'!$A$8:$A$37,"&lt;="&amp;$AI$18+7*(6-1)+6))/(SUMIFS($O$8:$O$38,$A$8:$A$38,"&gt;="&amp;$AI$18+7*(6-1),$A$8:$A$38,"&lt;="&amp;$AI$18+7*(6-1)+6)+SUMIFS('2026年09月'!$O$8:$O$37,'2026年09月'!$A$8:$A$37,"&gt;="&amp;$AI$18+7*(6-1),'2026年09月'!$A$8:$A$37,"&lt;="&amp;$AI$18+7*(6-1)+6)),""))</f>
        <v/>
      </c>
    </row>
    <row r="26" ht="15.75" customHeight="1">
      <c r="A26" s="14">
        <v>46253.0</v>
      </c>
      <c r="B26" s="15" t="str">
        <f t="shared" si="2"/>
        <v>水</v>
      </c>
      <c r="C26" s="49">
        <v>680000.0</v>
      </c>
      <c r="D26" s="17">
        <f t="shared" si="3"/>
        <v>15540000</v>
      </c>
      <c r="E26" s="49">
        <v>142246.0</v>
      </c>
      <c r="F26" s="49">
        <v>173512.0</v>
      </c>
      <c r="G26" s="17">
        <f t="shared" si="4"/>
        <v>315758</v>
      </c>
      <c r="H26" s="17">
        <f t="shared" si="5"/>
        <v>4743342</v>
      </c>
      <c r="I26" s="18">
        <f t="shared" ref="I26:J26" si="33">IF(G26="","",IFERROR(G26/C26,""))</f>
        <v>0.46435</v>
      </c>
      <c r="J26" s="18">
        <f t="shared" si="33"/>
        <v>0.3052343629</v>
      </c>
      <c r="K26" s="17">
        <f t="shared" si="7"/>
        <v>-10796658</v>
      </c>
      <c r="L26" s="19" t="str">
        <f t="shared" si="8"/>
        <v>▲ 遅れ</v>
      </c>
      <c r="M26" s="50">
        <v>15.0</v>
      </c>
      <c r="N26" s="50">
        <v>16.0</v>
      </c>
      <c r="O26" s="50">
        <v>31.0</v>
      </c>
      <c r="P26" s="50">
        <v>24.0</v>
      </c>
      <c r="Q26" s="50">
        <v>31.0</v>
      </c>
      <c r="R26" s="18">
        <f t="shared" si="9"/>
        <v>0.4838709677</v>
      </c>
      <c r="S26" s="17">
        <f t="shared" si="10"/>
        <v>21050.53333</v>
      </c>
      <c r="T26" s="22">
        <f t="shared" si="11"/>
        <v>1.066666667</v>
      </c>
      <c r="U26" s="18">
        <f t="shared" si="12"/>
        <v>0.7741935484</v>
      </c>
      <c r="V26" s="21"/>
      <c r="W26" s="50">
        <v>43764.0</v>
      </c>
      <c r="X26" s="16"/>
      <c r="Y26" s="24"/>
      <c r="AA26" s="39" t="s">
        <v>126</v>
      </c>
    </row>
    <row r="27" ht="15.75" customHeight="1">
      <c r="A27" s="32">
        <v>46254.0</v>
      </c>
      <c r="B27" s="23" t="str">
        <f t="shared" si="2"/>
        <v>木</v>
      </c>
      <c r="C27" s="49">
        <v>680000.0</v>
      </c>
      <c r="D27" s="25">
        <f t="shared" si="3"/>
        <v>16220000</v>
      </c>
      <c r="E27" s="49">
        <v>113773.0</v>
      </c>
      <c r="F27" s="49">
        <v>331755.0</v>
      </c>
      <c r="G27" s="25">
        <f t="shared" si="4"/>
        <v>445528</v>
      </c>
      <c r="H27" s="25">
        <f t="shared" si="5"/>
        <v>5188870</v>
      </c>
      <c r="I27" s="27">
        <f t="shared" ref="I27:J27" si="34">IF(G27="","",IFERROR(G27/C27,""))</f>
        <v>0.6551882353</v>
      </c>
      <c r="J27" s="27">
        <f t="shared" si="34"/>
        <v>0.319905672</v>
      </c>
      <c r="K27" s="25">
        <f t="shared" si="7"/>
        <v>-11031130</v>
      </c>
      <c r="L27" s="33" t="str">
        <f t="shared" si="8"/>
        <v>▲ 遅れ</v>
      </c>
      <c r="M27" s="50">
        <v>16.0</v>
      </c>
      <c r="N27" s="50">
        <v>19.0</v>
      </c>
      <c r="O27" s="50">
        <v>33.0</v>
      </c>
      <c r="P27" s="50">
        <v>17.0</v>
      </c>
      <c r="Q27" s="50">
        <v>31.0</v>
      </c>
      <c r="R27" s="27">
        <f t="shared" si="9"/>
        <v>0.4848484848</v>
      </c>
      <c r="S27" s="25">
        <f t="shared" si="10"/>
        <v>27845.5</v>
      </c>
      <c r="T27" s="34">
        <f t="shared" si="11"/>
        <v>1.1875</v>
      </c>
      <c r="U27" s="27">
        <f t="shared" si="12"/>
        <v>0.5151515152</v>
      </c>
      <c r="V27" s="21"/>
      <c r="W27" s="21"/>
      <c r="X27" s="16"/>
      <c r="Y27" s="24"/>
      <c r="AA27" s="39" t="s">
        <v>127</v>
      </c>
    </row>
    <row r="28" ht="15.75" customHeight="1">
      <c r="A28" s="14">
        <v>46255.0</v>
      </c>
      <c r="B28" s="15" t="str">
        <f t="shared" si="2"/>
        <v>金</v>
      </c>
      <c r="C28" s="49">
        <v>680000.0</v>
      </c>
      <c r="D28" s="17">
        <f t="shared" si="3"/>
        <v>16900000</v>
      </c>
      <c r="E28" s="49">
        <v>87995.0</v>
      </c>
      <c r="F28" s="49">
        <v>214961.0</v>
      </c>
      <c r="G28" s="17">
        <f t="shared" si="4"/>
        <v>302956</v>
      </c>
      <c r="H28" s="17">
        <f t="shared" si="5"/>
        <v>5491826</v>
      </c>
      <c r="I28" s="18">
        <f t="shared" ref="I28:J28" si="35">IF(G28="","",IFERROR(G28/C28,""))</f>
        <v>0.4455235294</v>
      </c>
      <c r="J28" s="18">
        <f t="shared" si="35"/>
        <v>0.3249601183</v>
      </c>
      <c r="K28" s="17">
        <f t="shared" si="7"/>
        <v>-11408174</v>
      </c>
      <c r="L28" s="19" t="str">
        <f t="shared" si="8"/>
        <v>▲ 遅れ</v>
      </c>
      <c r="M28" s="50">
        <v>17.0</v>
      </c>
      <c r="N28" s="50">
        <v>17.0</v>
      </c>
      <c r="O28" s="50">
        <v>28.0</v>
      </c>
      <c r="P28" s="50">
        <v>17.0</v>
      </c>
      <c r="Q28" s="50">
        <v>24.0</v>
      </c>
      <c r="R28" s="18">
        <f t="shared" si="9"/>
        <v>0.6071428571</v>
      </c>
      <c r="S28" s="17">
        <f t="shared" si="10"/>
        <v>17820.94118</v>
      </c>
      <c r="T28" s="22">
        <f t="shared" si="11"/>
        <v>1</v>
      </c>
      <c r="U28" s="18">
        <f t="shared" si="12"/>
        <v>0.6071428571</v>
      </c>
      <c r="V28" s="21"/>
      <c r="W28" s="50">
        <v>43744.0</v>
      </c>
      <c r="X28" s="16"/>
      <c r="Y28" s="24"/>
      <c r="AA28" s="39" t="s">
        <v>128</v>
      </c>
    </row>
    <row r="29" ht="15.75" customHeight="1">
      <c r="A29" s="32">
        <v>46256.0</v>
      </c>
      <c r="B29" s="23" t="str">
        <f t="shared" si="2"/>
        <v>土</v>
      </c>
      <c r="C29" s="49">
        <v>920000.0</v>
      </c>
      <c r="D29" s="25">
        <f t="shared" si="3"/>
        <v>17820000</v>
      </c>
      <c r="E29" s="49">
        <v>47620.0</v>
      </c>
      <c r="F29" s="49">
        <v>176584.0</v>
      </c>
      <c r="G29" s="25">
        <f t="shared" si="4"/>
        <v>224204</v>
      </c>
      <c r="H29" s="25">
        <f t="shared" si="5"/>
        <v>5716030</v>
      </c>
      <c r="I29" s="27">
        <f t="shared" ref="I29:J29" si="36">IF(G29="","",IFERROR(G29/C29,""))</f>
        <v>0.2437</v>
      </c>
      <c r="J29" s="27">
        <f t="shared" si="36"/>
        <v>0.3207648709</v>
      </c>
      <c r="K29" s="25">
        <f t="shared" si="7"/>
        <v>-12103970</v>
      </c>
      <c r="L29" s="33" t="str">
        <f t="shared" si="8"/>
        <v>▲ 遅れ</v>
      </c>
      <c r="M29" s="50">
        <v>11.0</v>
      </c>
      <c r="N29" s="50">
        <v>12.0</v>
      </c>
      <c r="O29" s="50">
        <v>23.0</v>
      </c>
      <c r="P29" s="50">
        <v>16.0</v>
      </c>
      <c r="Q29" s="50">
        <v>24.0</v>
      </c>
      <c r="R29" s="27">
        <f t="shared" si="9"/>
        <v>0.4782608696</v>
      </c>
      <c r="S29" s="25">
        <f t="shared" si="10"/>
        <v>20382.18182</v>
      </c>
      <c r="T29" s="34">
        <f t="shared" si="11"/>
        <v>1.090909091</v>
      </c>
      <c r="U29" s="27">
        <f t="shared" si="12"/>
        <v>0.6956521739</v>
      </c>
      <c r="V29" s="21"/>
      <c r="W29" s="50">
        <v>43742.0</v>
      </c>
      <c r="X29" s="16"/>
      <c r="Y29" s="24"/>
    </row>
    <row r="30" ht="15.75" customHeight="1">
      <c r="A30" s="14">
        <v>46257.0</v>
      </c>
      <c r="B30" s="15" t="str">
        <f t="shared" si="2"/>
        <v>日</v>
      </c>
      <c r="C30" s="49">
        <v>920000.0</v>
      </c>
      <c r="D30" s="17">
        <f t="shared" si="3"/>
        <v>18740000</v>
      </c>
      <c r="E30" s="49">
        <v>101380.0</v>
      </c>
      <c r="F30" s="49">
        <v>241728.0</v>
      </c>
      <c r="G30" s="17">
        <f t="shared" si="4"/>
        <v>343108</v>
      </c>
      <c r="H30" s="17">
        <f t="shared" si="5"/>
        <v>6059138</v>
      </c>
      <c r="I30" s="18">
        <f t="shared" ref="I30:J30" si="37">IF(G30="","",IFERROR(G30/C30,""))</f>
        <v>0.3729434783</v>
      </c>
      <c r="J30" s="18">
        <f t="shared" si="37"/>
        <v>0.3233264674</v>
      </c>
      <c r="K30" s="17">
        <f t="shared" si="7"/>
        <v>-12680862</v>
      </c>
      <c r="L30" s="19" t="str">
        <f t="shared" si="8"/>
        <v>▲ 遅れ</v>
      </c>
      <c r="M30" s="50">
        <v>15.0</v>
      </c>
      <c r="N30" s="50">
        <v>15.0</v>
      </c>
      <c r="O30" s="50">
        <v>37.0</v>
      </c>
      <c r="P30" s="50">
        <v>18.0</v>
      </c>
      <c r="Q30" s="50">
        <v>25.0</v>
      </c>
      <c r="R30" s="18">
        <f t="shared" si="9"/>
        <v>0.4054054054</v>
      </c>
      <c r="S30" s="17">
        <f t="shared" si="10"/>
        <v>22873.86667</v>
      </c>
      <c r="T30" s="22">
        <f t="shared" si="11"/>
        <v>1</v>
      </c>
      <c r="U30" s="18">
        <f t="shared" si="12"/>
        <v>0.4864864865</v>
      </c>
      <c r="V30" s="21"/>
      <c r="W30" s="50">
        <v>43735.0</v>
      </c>
      <c r="X30" s="16"/>
      <c r="Y30" s="24"/>
    </row>
    <row r="31" ht="15.75" customHeight="1">
      <c r="A31" s="32">
        <v>46258.0</v>
      </c>
      <c r="B31" s="23" t="str">
        <f t="shared" si="2"/>
        <v>月</v>
      </c>
      <c r="C31" s="49">
        <v>680000.0</v>
      </c>
      <c r="D31" s="25">
        <f t="shared" si="3"/>
        <v>19420000</v>
      </c>
      <c r="E31" s="49">
        <v>120050.0</v>
      </c>
      <c r="F31" s="49">
        <v>94285.0</v>
      </c>
      <c r="G31" s="25">
        <f t="shared" si="4"/>
        <v>214335</v>
      </c>
      <c r="H31" s="25">
        <f t="shared" si="5"/>
        <v>6273473</v>
      </c>
      <c r="I31" s="27">
        <f t="shared" ref="I31:J31" si="38">IF(G31="","",IFERROR(G31/C31,""))</f>
        <v>0.3151985294</v>
      </c>
      <c r="J31" s="27">
        <f t="shared" si="38"/>
        <v>0.3230418641</v>
      </c>
      <c r="K31" s="25">
        <f t="shared" si="7"/>
        <v>-13146527</v>
      </c>
      <c r="L31" s="33" t="str">
        <f t="shared" si="8"/>
        <v>▲ 遅れ</v>
      </c>
      <c r="M31" s="50">
        <v>8.0</v>
      </c>
      <c r="N31" s="50">
        <v>10.0</v>
      </c>
      <c r="O31" s="50">
        <v>23.0</v>
      </c>
      <c r="P31" s="50">
        <v>14.0</v>
      </c>
      <c r="Q31" s="50">
        <v>23.0</v>
      </c>
      <c r="R31" s="27">
        <f t="shared" si="9"/>
        <v>0.347826087</v>
      </c>
      <c r="S31" s="25">
        <f t="shared" si="10"/>
        <v>26791.875</v>
      </c>
      <c r="T31" s="34">
        <f t="shared" si="11"/>
        <v>1.25</v>
      </c>
      <c r="U31" s="27">
        <f t="shared" si="12"/>
        <v>0.6086956522</v>
      </c>
      <c r="V31" s="21"/>
      <c r="W31" s="50">
        <v>43715.0</v>
      </c>
      <c r="X31" s="16"/>
      <c r="Y31" s="24"/>
    </row>
    <row r="32" ht="15.75" customHeight="1">
      <c r="A32" s="14">
        <v>46259.0</v>
      </c>
      <c r="B32" s="15" t="str">
        <f t="shared" si="2"/>
        <v>火</v>
      </c>
      <c r="C32" s="49">
        <v>680000.0</v>
      </c>
      <c r="D32" s="17">
        <f t="shared" si="3"/>
        <v>20100000</v>
      </c>
      <c r="E32" s="49">
        <v>67700.0</v>
      </c>
      <c r="F32" s="49">
        <v>274844.0</v>
      </c>
      <c r="G32" s="17">
        <f t="shared" si="4"/>
        <v>342544</v>
      </c>
      <c r="H32" s="17">
        <f t="shared" si="5"/>
        <v>6616017</v>
      </c>
      <c r="I32" s="18">
        <f t="shared" ref="I32:J32" si="39">IF(G32="","",IFERROR(G32/C32,""))</f>
        <v>0.5037411765</v>
      </c>
      <c r="J32" s="18">
        <f t="shared" si="39"/>
        <v>0.3291550746</v>
      </c>
      <c r="K32" s="17">
        <f t="shared" si="7"/>
        <v>-13483983</v>
      </c>
      <c r="L32" s="19" t="str">
        <f t="shared" si="8"/>
        <v>▲ 遅れ</v>
      </c>
      <c r="M32" s="50">
        <v>13.0</v>
      </c>
      <c r="N32" s="50">
        <v>14.0</v>
      </c>
      <c r="O32" s="50">
        <v>22.0</v>
      </c>
      <c r="P32" s="50">
        <v>19.0</v>
      </c>
      <c r="Q32" s="50">
        <v>43.0</v>
      </c>
      <c r="R32" s="18">
        <f t="shared" si="9"/>
        <v>0.5909090909</v>
      </c>
      <c r="S32" s="17">
        <f t="shared" si="10"/>
        <v>26349.53846</v>
      </c>
      <c r="T32" s="22">
        <f t="shared" si="11"/>
        <v>1.076923077</v>
      </c>
      <c r="U32" s="18">
        <f t="shared" si="12"/>
        <v>0.8636363636</v>
      </c>
      <c r="V32" s="21"/>
      <c r="W32" s="50">
        <v>43702.0</v>
      </c>
      <c r="X32" s="16"/>
      <c r="Y32" s="24"/>
    </row>
    <row r="33" ht="15.75" customHeight="1">
      <c r="A33" s="32">
        <v>46260.0</v>
      </c>
      <c r="B33" s="23" t="str">
        <f t="shared" si="2"/>
        <v>水</v>
      </c>
      <c r="C33" s="49">
        <v>680000.0</v>
      </c>
      <c r="D33" s="25">
        <f t="shared" si="3"/>
        <v>20780000</v>
      </c>
      <c r="E33" s="49">
        <v>242210.0</v>
      </c>
      <c r="F33" s="49">
        <v>253087.0</v>
      </c>
      <c r="G33" s="25">
        <f t="shared" si="4"/>
        <v>495297</v>
      </c>
      <c r="H33" s="25">
        <f t="shared" si="5"/>
        <v>7111314</v>
      </c>
      <c r="I33" s="27">
        <f t="shared" ref="I33:J33" si="40">IF(G33="","",IFERROR(G33/C33,""))</f>
        <v>0.7283779412</v>
      </c>
      <c r="J33" s="27">
        <f t="shared" si="40"/>
        <v>0.342219153</v>
      </c>
      <c r="K33" s="25">
        <f t="shared" si="7"/>
        <v>-13668686</v>
      </c>
      <c r="L33" s="33" t="str">
        <f t="shared" si="8"/>
        <v>▲ 遅れ</v>
      </c>
      <c r="M33" s="50">
        <v>15.0</v>
      </c>
      <c r="N33" s="50">
        <v>29.0</v>
      </c>
      <c r="O33" s="50">
        <v>43.0</v>
      </c>
      <c r="P33" s="50">
        <v>22.0</v>
      </c>
      <c r="Q33" s="50">
        <v>33.0</v>
      </c>
      <c r="R33" s="27">
        <f t="shared" si="9"/>
        <v>0.3488372093</v>
      </c>
      <c r="S33" s="25">
        <f t="shared" si="10"/>
        <v>33019.8</v>
      </c>
      <c r="T33" s="34">
        <f t="shared" si="11"/>
        <v>1.933333333</v>
      </c>
      <c r="U33" s="27">
        <f t="shared" si="12"/>
        <v>0.511627907</v>
      </c>
      <c r="V33" s="21"/>
      <c r="W33" s="50">
        <v>43692.0</v>
      </c>
      <c r="X33" s="16"/>
      <c r="Y33" s="24"/>
    </row>
    <row r="34" ht="15.75" customHeight="1">
      <c r="A34" s="14">
        <v>46261.0</v>
      </c>
      <c r="B34" s="15" t="str">
        <f t="shared" si="2"/>
        <v>木</v>
      </c>
      <c r="C34" s="49">
        <v>680000.0</v>
      </c>
      <c r="D34" s="17">
        <f t="shared" si="3"/>
        <v>21460000</v>
      </c>
      <c r="E34" s="49">
        <v>87276.0</v>
      </c>
      <c r="F34" s="49">
        <v>141853.0</v>
      </c>
      <c r="G34" s="17">
        <f t="shared" si="4"/>
        <v>229129</v>
      </c>
      <c r="H34" s="17">
        <f t="shared" si="5"/>
        <v>7340443</v>
      </c>
      <c r="I34" s="18">
        <f t="shared" ref="I34:J34" si="41">IF(G34="","",IFERROR(G34/C34,""))</f>
        <v>0.3369544118</v>
      </c>
      <c r="J34" s="18">
        <f t="shared" si="41"/>
        <v>0.3420523299</v>
      </c>
      <c r="K34" s="17">
        <f t="shared" si="7"/>
        <v>-14119557</v>
      </c>
      <c r="L34" s="19" t="str">
        <f t="shared" si="8"/>
        <v>▲ 遅れ</v>
      </c>
      <c r="M34" s="50">
        <v>8.0</v>
      </c>
      <c r="N34" s="50">
        <v>12.0</v>
      </c>
      <c r="O34" s="50">
        <v>27.0</v>
      </c>
      <c r="P34" s="50">
        <v>15.0</v>
      </c>
      <c r="Q34" s="50">
        <v>28.0</v>
      </c>
      <c r="R34" s="18">
        <f t="shared" si="9"/>
        <v>0.2962962963</v>
      </c>
      <c r="S34" s="17">
        <f t="shared" si="10"/>
        <v>28641.125</v>
      </c>
      <c r="T34" s="22">
        <f t="shared" si="11"/>
        <v>1.5</v>
      </c>
      <c r="U34" s="18">
        <f t="shared" si="12"/>
        <v>0.5555555556</v>
      </c>
      <c r="V34" s="21"/>
      <c r="W34" s="50">
        <v>43690.0</v>
      </c>
      <c r="X34" s="16"/>
      <c r="Y34" s="24"/>
    </row>
    <row r="35" ht="15.75" customHeight="1">
      <c r="A35" s="32">
        <v>46262.0</v>
      </c>
      <c r="B35" s="23" t="str">
        <f t="shared" si="2"/>
        <v>金</v>
      </c>
      <c r="C35" s="49">
        <v>680000.0</v>
      </c>
      <c r="D35" s="25">
        <f t="shared" si="3"/>
        <v>22140000</v>
      </c>
      <c r="E35" s="49">
        <v>87770.0</v>
      </c>
      <c r="F35" s="49">
        <v>222852.0</v>
      </c>
      <c r="G35" s="25">
        <f t="shared" si="4"/>
        <v>310622</v>
      </c>
      <c r="H35" s="25">
        <f t="shared" si="5"/>
        <v>7651065</v>
      </c>
      <c r="I35" s="27">
        <f t="shared" ref="I35:J35" si="42">IF(G35="","",IFERROR(G35/C35,""))</f>
        <v>0.4567970588</v>
      </c>
      <c r="J35" s="27">
        <f t="shared" si="42"/>
        <v>0.3455765583</v>
      </c>
      <c r="K35" s="25">
        <f t="shared" si="7"/>
        <v>-14488935</v>
      </c>
      <c r="L35" s="33" t="str">
        <f t="shared" si="8"/>
        <v>▲ 遅れ</v>
      </c>
      <c r="M35" s="50">
        <v>14.0</v>
      </c>
      <c r="N35" s="50">
        <v>15.0</v>
      </c>
      <c r="O35" s="50">
        <v>36.0</v>
      </c>
      <c r="P35" s="50">
        <v>17.0</v>
      </c>
      <c r="Q35" s="50">
        <v>22.0</v>
      </c>
      <c r="R35" s="27">
        <f t="shared" si="9"/>
        <v>0.3888888889</v>
      </c>
      <c r="S35" s="25">
        <f t="shared" si="10"/>
        <v>22187.28571</v>
      </c>
      <c r="T35" s="34">
        <f t="shared" si="11"/>
        <v>1.071428571</v>
      </c>
      <c r="U35" s="27">
        <f t="shared" si="12"/>
        <v>0.4722222222</v>
      </c>
      <c r="V35" s="21"/>
      <c r="W35" s="50">
        <v>43674.0</v>
      </c>
      <c r="X35" s="16"/>
      <c r="Y35" s="24"/>
    </row>
    <row r="36" ht="15.75" customHeight="1">
      <c r="A36" s="14">
        <v>46263.0</v>
      </c>
      <c r="B36" s="15" t="str">
        <f t="shared" si="2"/>
        <v>土</v>
      </c>
      <c r="C36" s="49">
        <v>920000.0</v>
      </c>
      <c r="D36" s="17">
        <f t="shared" si="3"/>
        <v>23060000</v>
      </c>
      <c r="E36" s="49">
        <v>45590.0</v>
      </c>
      <c r="F36" s="49">
        <v>382542.0</v>
      </c>
      <c r="G36" s="17">
        <f t="shared" si="4"/>
        <v>428132</v>
      </c>
      <c r="H36" s="17">
        <f t="shared" si="5"/>
        <v>8079197</v>
      </c>
      <c r="I36" s="18">
        <f t="shared" ref="I36:J36" si="43">IF(G36="","",IFERROR(G36/C36,""))</f>
        <v>0.4653608696</v>
      </c>
      <c r="J36" s="18">
        <f t="shared" si="43"/>
        <v>0.350355464</v>
      </c>
      <c r="K36" s="17">
        <f t="shared" si="7"/>
        <v>-14980803</v>
      </c>
      <c r="L36" s="19" t="str">
        <f t="shared" si="8"/>
        <v>▲ 遅れ</v>
      </c>
      <c r="M36" s="50">
        <v>21.0</v>
      </c>
      <c r="N36" s="50">
        <v>22.0</v>
      </c>
      <c r="O36" s="50">
        <v>31.0</v>
      </c>
      <c r="P36" s="50">
        <v>20.0</v>
      </c>
      <c r="Q36" s="50">
        <v>30.0</v>
      </c>
      <c r="R36" s="18">
        <f t="shared" si="9"/>
        <v>0.6774193548</v>
      </c>
      <c r="S36" s="17">
        <f t="shared" si="10"/>
        <v>20387.2381</v>
      </c>
      <c r="T36" s="22">
        <f t="shared" si="11"/>
        <v>1.047619048</v>
      </c>
      <c r="U36" s="18">
        <f t="shared" si="12"/>
        <v>0.6451612903</v>
      </c>
      <c r="V36" s="21"/>
      <c r="W36" s="50">
        <v>43662.0</v>
      </c>
      <c r="X36" s="16"/>
      <c r="Y36" s="24"/>
    </row>
    <row r="37" ht="15.75" customHeight="1">
      <c r="A37" s="32">
        <v>46264.0</v>
      </c>
      <c r="B37" s="23" t="str">
        <f t="shared" si="2"/>
        <v>日</v>
      </c>
      <c r="C37" s="49">
        <v>920000.0</v>
      </c>
      <c r="D37" s="25">
        <f t="shared" si="3"/>
        <v>23980000</v>
      </c>
      <c r="E37" s="49">
        <v>93589.0</v>
      </c>
      <c r="F37" s="49">
        <v>260204.0</v>
      </c>
      <c r="G37" s="25">
        <f t="shared" si="4"/>
        <v>353793</v>
      </c>
      <c r="H37" s="25">
        <f t="shared" si="5"/>
        <v>8432990</v>
      </c>
      <c r="I37" s="27">
        <f t="shared" ref="I37:J37" si="44">IF(G37="","",IFERROR(G37/C37,""))</f>
        <v>0.3845576087</v>
      </c>
      <c r="J37" s="27">
        <f t="shared" si="44"/>
        <v>0.3516676397</v>
      </c>
      <c r="K37" s="25">
        <f t="shared" si="7"/>
        <v>-15547010</v>
      </c>
      <c r="L37" s="33" t="str">
        <f t="shared" si="8"/>
        <v>▲ 遅れ</v>
      </c>
      <c r="M37" s="50">
        <v>16.0</v>
      </c>
      <c r="N37" s="50">
        <v>18.0</v>
      </c>
      <c r="O37" s="50">
        <v>33.0</v>
      </c>
      <c r="P37" s="50">
        <v>23.0</v>
      </c>
      <c r="Q37" s="50">
        <v>43.0</v>
      </c>
      <c r="R37" s="27">
        <f t="shared" si="9"/>
        <v>0.4848484848</v>
      </c>
      <c r="S37" s="25">
        <f t="shared" si="10"/>
        <v>22112.0625</v>
      </c>
      <c r="T37" s="34">
        <f t="shared" si="11"/>
        <v>1.125</v>
      </c>
      <c r="U37" s="27">
        <f t="shared" si="12"/>
        <v>0.696969697</v>
      </c>
      <c r="V37" s="21"/>
      <c r="W37" s="50">
        <v>43651.0</v>
      </c>
      <c r="X37" s="16"/>
      <c r="Y37" s="24"/>
    </row>
    <row r="38" ht="15.75" customHeight="1">
      <c r="A38" s="14">
        <v>46265.0</v>
      </c>
      <c r="B38" s="15" t="str">
        <f t="shared" si="2"/>
        <v>月</v>
      </c>
      <c r="C38" s="49">
        <v>680000.0</v>
      </c>
      <c r="D38" s="17">
        <f t="shared" si="3"/>
        <v>24660000</v>
      </c>
      <c r="E38" s="49">
        <v>21890.0</v>
      </c>
      <c r="F38" s="49">
        <v>55997.0</v>
      </c>
      <c r="G38" s="17">
        <f t="shared" si="4"/>
        <v>77887</v>
      </c>
      <c r="H38" s="17">
        <f t="shared" si="5"/>
        <v>8510877</v>
      </c>
      <c r="I38" s="18">
        <f t="shared" ref="I38:J38" si="45">IF(G38="","",IFERROR(G38/C38,""))</f>
        <v>0.1145397059</v>
      </c>
      <c r="J38" s="18">
        <f t="shared" si="45"/>
        <v>0.3451288321</v>
      </c>
      <c r="K38" s="17">
        <f t="shared" si="7"/>
        <v>-16149123</v>
      </c>
      <c r="L38" s="19" t="str">
        <f t="shared" si="8"/>
        <v>▲ 遅れ</v>
      </c>
      <c r="M38" s="50">
        <v>4.0</v>
      </c>
      <c r="N38" s="50">
        <v>4.0</v>
      </c>
      <c r="O38" s="50">
        <v>24.0</v>
      </c>
      <c r="P38" s="50">
        <v>8.0</v>
      </c>
      <c r="Q38" s="50">
        <v>12.0</v>
      </c>
      <c r="R38" s="18">
        <f t="shared" si="9"/>
        <v>0.1666666667</v>
      </c>
      <c r="S38" s="17">
        <f t="shared" si="10"/>
        <v>19471.75</v>
      </c>
      <c r="T38" s="22">
        <f t="shared" si="11"/>
        <v>1</v>
      </c>
      <c r="U38" s="18">
        <f t="shared" si="12"/>
        <v>0.3333333333</v>
      </c>
      <c r="V38" s="21"/>
      <c r="W38" s="50">
        <v>43638.0</v>
      </c>
      <c r="X38" s="16"/>
      <c r="Y38" s="24"/>
    </row>
    <row r="39" ht="15.75" customHeight="1">
      <c r="A39" s="45" t="s">
        <v>97</v>
      </c>
      <c r="B39" s="35"/>
      <c r="C39" s="36">
        <f>SUM(C8:C38)</f>
        <v>24660000</v>
      </c>
      <c r="D39" s="36">
        <f>C39</f>
        <v>24660000</v>
      </c>
      <c r="E39" s="36">
        <f t="shared" ref="E39:G39" si="46">SUM(E8:E38)</f>
        <v>2195605</v>
      </c>
      <c r="F39" s="36">
        <f t="shared" si="46"/>
        <v>6315272</v>
      </c>
      <c r="G39" s="36">
        <f t="shared" si="46"/>
        <v>8510877</v>
      </c>
      <c r="H39" s="36">
        <f>G39</f>
        <v>8510877</v>
      </c>
      <c r="I39" s="37">
        <f>IFERROR(G39/C39,"")</f>
        <v>0.3451288321</v>
      </c>
      <c r="J39" s="37">
        <f>IFERROR(G39/C39,"")</f>
        <v>0.3451288321</v>
      </c>
      <c r="K39" s="36">
        <f>G39-C39</f>
        <v>-16149123</v>
      </c>
      <c r="L39" s="46"/>
      <c r="M39" s="38">
        <f t="shared" ref="M39:Q39" si="47">SUM(M8:M38)</f>
        <v>386</v>
      </c>
      <c r="N39" s="38">
        <f t="shared" si="47"/>
        <v>432</v>
      </c>
      <c r="O39" s="38">
        <f t="shared" si="47"/>
        <v>971</v>
      </c>
      <c r="P39" s="38">
        <f t="shared" si="47"/>
        <v>529</v>
      </c>
      <c r="Q39" s="38">
        <f t="shared" si="47"/>
        <v>806</v>
      </c>
      <c r="R39" s="37">
        <f t="shared" si="9"/>
        <v>0.3975283213</v>
      </c>
      <c r="S39" s="36">
        <f t="shared" si="10"/>
        <v>22048.90415</v>
      </c>
      <c r="T39" s="47">
        <f t="shared" si="11"/>
        <v>1.119170984</v>
      </c>
      <c r="U39" s="37">
        <f t="shared" si="12"/>
        <v>0.5447991761</v>
      </c>
      <c r="V39" s="38">
        <f>SUM(V8:V38)</f>
        <v>0</v>
      </c>
      <c r="W39" s="38">
        <f>IFERROR(LOOKUP(9.99E+307,W8:W38),"")</f>
        <v>43638</v>
      </c>
      <c r="X39" s="36">
        <f>SUM(X8:X38)</f>
        <v>0</v>
      </c>
      <c r="Y39" s="48" t="s">
        <v>107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57"/>
    <col customWidth="1" min="4" max="4" width="13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112</v>
      </c>
      <c r="H3" s="6"/>
      <c r="I3" s="5" t="s">
        <v>8</v>
      </c>
      <c r="J3" s="6"/>
      <c r="K3" s="5" t="s">
        <v>9</v>
      </c>
      <c r="L3" s="6"/>
    </row>
    <row r="4">
      <c r="A4" s="7">
        <f>IF('設定'!$B$13="",SUM(C8:C37),'設定'!$B$13)</f>
        <v>23000000</v>
      </c>
      <c r="B4" s="6"/>
      <c r="C4" s="8">
        <f>SUM(G8:G37)</f>
        <v>7801176</v>
      </c>
      <c r="D4" s="6"/>
      <c r="E4" s="9">
        <f>IFERROR(C4/A4,0)</f>
        <v>0.3391815652</v>
      </c>
      <c r="F4" s="6"/>
      <c r="G4" s="10">
        <f>COUNTIF(G8:G37,"&gt;0")</f>
        <v>30</v>
      </c>
      <c r="H4" s="6"/>
      <c r="I4" s="8">
        <f>A4-C4</f>
        <v>15198824</v>
      </c>
      <c r="J4" s="6"/>
      <c r="K4" s="8">
        <f>IF((30-G4)&gt;0,(A4-C4)/(30-G4),0)</f>
        <v>0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SUM(C8:C37)</f>
        <v>23200000</v>
      </c>
      <c r="B6" s="6"/>
      <c r="C6" s="8">
        <f>IFERROR(C4/G4*30,0)</f>
        <v>7801176</v>
      </c>
      <c r="D6" s="6"/>
      <c r="E6" s="9">
        <f>IFERROR(M38/O38,0)</f>
        <v>0.3913043478</v>
      </c>
      <c r="F6" s="6"/>
      <c r="G6" s="8">
        <f>IFERROR(G38/M38,0)</f>
        <v>23426.95495</v>
      </c>
      <c r="H6" s="6"/>
      <c r="I6" s="11">
        <f>IFERROR(N38/M38,0)</f>
        <v>1.108108108</v>
      </c>
      <c r="J6" s="6"/>
      <c r="K6" s="9">
        <f>IFERROR(P38/O38,0)</f>
        <v>0.5170387779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46266.0</v>
      </c>
      <c r="B8" s="15" t="str">
        <f t="shared" ref="B8:B37" si="2">MID("日月火水木金土",WEEKDAY(A8),1)</f>
        <v>火</v>
      </c>
      <c r="C8" s="49">
        <v>700000.0</v>
      </c>
      <c r="D8" s="17">
        <f t="shared" ref="D8:D37" si="3">SUM($C$8:C8)</f>
        <v>700000</v>
      </c>
      <c r="E8" s="49">
        <v>0.0</v>
      </c>
      <c r="F8" s="49">
        <v>332076.0</v>
      </c>
      <c r="G8" s="17">
        <f t="shared" ref="G8:G37" si="4">IF(COUNT(E8:F8)=0,"",SUM(E8:F8))</f>
        <v>332076</v>
      </c>
      <c r="H8" s="17">
        <f t="shared" ref="H8:H37" si="5">IF(G8="","",SUM($G$8:G8))</f>
        <v>332076</v>
      </c>
      <c r="I8" s="18">
        <f t="shared" ref="I8:J8" si="1">IF(G8="","",IFERROR(G8/C8,""))</f>
        <v>0.4743942857</v>
      </c>
      <c r="J8" s="18">
        <f t="shared" si="1"/>
        <v>0.4743942857</v>
      </c>
      <c r="K8" s="17">
        <f t="shared" ref="K8:K37" si="7">IF(H8="","",IF(D8=0,"",H8-D8))</f>
        <v>-367924</v>
      </c>
      <c r="L8" s="19" t="str">
        <f t="shared" ref="L8:L37" si="8">IF(G8="","—",IF(D8=0,"予算未入力",IF(H8&gt;=D8,"◎ ペース内","▲ 遅れ")))</f>
        <v>▲ 遅れ</v>
      </c>
      <c r="M8" s="50">
        <v>15.0</v>
      </c>
      <c r="N8" s="50">
        <v>15.0</v>
      </c>
      <c r="O8" s="50">
        <v>26.0</v>
      </c>
      <c r="P8" s="50">
        <v>20.0</v>
      </c>
      <c r="Q8" s="50">
        <v>29.0</v>
      </c>
      <c r="R8" s="18">
        <f t="shared" ref="R8:R38" si="9">IFERROR(M8/O8,"")</f>
        <v>0.5769230769</v>
      </c>
      <c r="S8" s="17">
        <f t="shared" ref="S8:S38" si="10">IFERROR(G8/M8,"")</f>
        <v>22138.4</v>
      </c>
      <c r="T8" s="22">
        <f t="shared" ref="T8:T38" si="11">IFERROR(N8/M8,"")</f>
        <v>1</v>
      </c>
      <c r="U8" s="18">
        <f t="shared" ref="U8:U38" si="12">IFERROR(P8/O8,"")</f>
        <v>0.7692307692</v>
      </c>
      <c r="V8" s="21"/>
      <c r="W8" s="50">
        <v>43625.0</v>
      </c>
      <c r="X8" s="16"/>
      <c r="Y8" s="24"/>
      <c r="AA8" s="26" t="s">
        <v>48</v>
      </c>
      <c r="AB8" s="28">
        <f t="shared" ref="AB8:AB14" si="13">IFERROR(AVERAGEIFS($G$8:$G$37,$B$8:$B$37,AA8,$G$8:$G$37,"&gt;0"),0)</f>
        <v>206532.25</v>
      </c>
      <c r="AC8" s="30">
        <f t="shared" ref="AC8:AC14" si="14">COUNTIFS($B$8:$B$37,AA8,$G$8:$G$37,"&gt;0")</f>
        <v>4</v>
      </c>
      <c r="AD8" s="31">
        <f t="shared" ref="AD8:AD14" si="15">IFERROR(SUMIF($B$8:$B$37,AA8,$M$8:$M$37)/SUMIF($B$8:$B$37,AA8,$O$8:$O$37),0)</f>
        <v>0.3434343434</v>
      </c>
      <c r="AE8" s="28">
        <f t="shared" ref="AE8:AE14" si="16">IFERROR(SUMIF($B$8:$B$37,AA8,$G$8:$G$37)/SUMIF($B$8:$B$37,AA8,$M$8:$M$37),0)</f>
        <v>24297.91176</v>
      </c>
    </row>
    <row r="9">
      <c r="A9" s="32">
        <v>46267.0</v>
      </c>
      <c r="B9" s="23" t="str">
        <f t="shared" si="2"/>
        <v>水</v>
      </c>
      <c r="C9" s="49">
        <v>700000.0</v>
      </c>
      <c r="D9" s="25">
        <f t="shared" si="3"/>
        <v>1400000</v>
      </c>
      <c r="E9" s="49">
        <v>47510.0</v>
      </c>
      <c r="F9" s="49">
        <v>157050.0</v>
      </c>
      <c r="G9" s="25">
        <f t="shared" si="4"/>
        <v>204560</v>
      </c>
      <c r="H9" s="25">
        <f t="shared" si="5"/>
        <v>536636</v>
      </c>
      <c r="I9" s="27">
        <f t="shared" ref="I9:J9" si="6">IF(G9="","",IFERROR(G9/C9,""))</f>
        <v>0.2922285714</v>
      </c>
      <c r="J9" s="27">
        <f t="shared" si="6"/>
        <v>0.3833114286</v>
      </c>
      <c r="K9" s="25">
        <f t="shared" si="7"/>
        <v>-863364</v>
      </c>
      <c r="L9" s="33" t="str">
        <f t="shared" si="8"/>
        <v>▲ 遅れ</v>
      </c>
      <c r="M9" s="50">
        <v>9.0</v>
      </c>
      <c r="N9" s="50">
        <v>9.0</v>
      </c>
      <c r="O9" s="50">
        <v>35.0</v>
      </c>
      <c r="P9" s="50">
        <v>16.0</v>
      </c>
      <c r="Q9" s="50">
        <v>20.0</v>
      </c>
      <c r="R9" s="27">
        <f t="shared" si="9"/>
        <v>0.2571428571</v>
      </c>
      <c r="S9" s="25">
        <f t="shared" si="10"/>
        <v>22728.88889</v>
      </c>
      <c r="T9" s="34">
        <f t="shared" si="11"/>
        <v>1</v>
      </c>
      <c r="U9" s="27">
        <f t="shared" si="12"/>
        <v>0.4571428571</v>
      </c>
      <c r="V9" s="21"/>
      <c r="W9" s="50">
        <v>43612.0</v>
      </c>
      <c r="X9" s="16"/>
      <c r="Y9" s="24"/>
      <c r="AA9" s="26" t="s">
        <v>58</v>
      </c>
      <c r="AB9" s="28">
        <f t="shared" si="13"/>
        <v>263238.8</v>
      </c>
      <c r="AC9" s="30">
        <f t="shared" si="14"/>
        <v>5</v>
      </c>
      <c r="AD9" s="31">
        <f t="shared" si="15"/>
        <v>0.4100719424</v>
      </c>
      <c r="AE9" s="28">
        <f t="shared" si="16"/>
        <v>23091.12281</v>
      </c>
    </row>
    <row r="10">
      <c r="A10" s="14">
        <v>46268.0</v>
      </c>
      <c r="B10" s="15" t="str">
        <f t="shared" si="2"/>
        <v>木</v>
      </c>
      <c r="C10" s="49">
        <v>700000.0</v>
      </c>
      <c r="D10" s="17">
        <f t="shared" si="3"/>
        <v>2100000</v>
      </c>
      <c r="E10" s="49">
        <v>23810.0</v>
      </c>
      <c r="F10" s="49">
        <v>22586.0</v>
      </c>
      <c r="G10" s="17">
        <f t="shared" si="4"/>
        <v>46396</v>
      </c>
      <c r="H10" s="17">
        <f t="shared" si="5"/>
        <v>583032</v>
      </c>
      <c r="I10" s="18">
        <f t="shared" ref="I10:J10" si="17">IF(G10="","",IFERROR(G10/C10,""))</f>
        <v>0.06628</v>
      </c>
      <c r="J10" s="18">
        <f t="shared" si="17"/>
        <v>0.2776342857</v>
      </c>
      <c r="K10" s="17">
        <f t="shared" si="7"/>
        <v>-1516968</v>
      </c>
      <c r="L10" s="19" t="str">
        <f t="shared" si="8"/>
        <v>▲ 遅れ</v>
      </c>
      <c r="M10" s="50">
        <v>2.0</v>
      </c>
      <c r="N10" s="50">
        <v>2.0</v>
      </c>
      <c r="O10" s="50">
        <v>19.0</v>
      </c>
      <c r="P10" s="50">
        <v>5.0</v>
      </c>
      <c r="Q10" s="50">
        <v>6.0</v>
      </c>
      <c r="R10" s="18">
        <f t="shared" si="9"/>
        <v>0.1052631579</v>
      </c>
      <c r="S10" s="17">
        <f t="shared" si="10"/>
        <v>23198</v>
      </c>
      <c r="T10" s="22">
        <f t="shared" si="11"/>
        <v>1</v>
      </c>
      <c r="U10" s="18">
        <f t="shared" si="12"/>
        <v>0.2631578947</v>
      </c>
      <c r="V10" s="21"/>
      <c r="W10" s="50">
        <v>43598.0</v>
      </c>
      <c r="X10" s="16"/>
      <c r="Y10" s="24"/>
      <c r="AA10" s="26" t="s">
        <v>61</v>
      </c>
      <c r="AB10" s="28">
        <f t="shared" si="13"/>
        <v>231380.6</v>
      </c>
      <c r="AC10" s="30">
        <f t="shared" si="14"/>
        <v>5</v>
      </c>
      <c r="AD10" s="31">
        <f t="shared" si="15"/>
        <v>0.3405797101</v>
      </c>
      <c r="AE10" s="28">
        <f t="shared" si="16"/>
        <v>24614.95745</v>
      </c>
    </row>
    <row r="11">
      <c r="A11" s="32">
        <v>46269.0</v>
      </c>
      <c r="B11" s="23" t="str">
        <f t="shared" si="2"/>
        <v>金</v>
      </c>
      <c r="C11" s="49">
        <v>700000.0</v>
      </c>
      <c r="D11" s="25">
        <f t="shared" si="3"/>
        <v>2800000</v>
      </c>
      <c r="E11" s="49">
        <v>85520.0</v>
      </c>
      <c r="F11" s="49">
        <v>81146.0</v>
      </c>
      <c r="G11" s="25">
        <f t="shared" si="4"/>
        <v>166666</v>
      </c>
      <c r="H11" s="25">
        <f t="shared" si="5"/>
        <v>749698</v>
      </c>
      <c r="I11" s="27">
        <f t="shared" ref="I11:J11" si="18">IF(G11="","",IFERROR(G11/C11,""))</f>
        <v>0.2380942857</v>
      </c>
      <c r="J11" s="27">
        <f t="shared" si="18"/>
        <v>0.2677492857</v>
      </c>
      <c r="K11" s="25">
        <f t="shared" si="7"/>
        <v>-2050302</v>
      </c>
      <c r="L11" s="33" t="str">
        <f t="shared" si="8"/>
        <v>▲ 遅れ</v>
      </c>
      <c r="M11" s="50">
        <v>8.0</v>
      </c>
      <c r="N11" s="50">
        <v>8.0</v>
      </c>
      <c r="O11" s="50">
        <v>19.0</v>
      </c>
      <c r="P11" s="50">
        <v>12.0</v>
      </c>
      <c r="Q11" s="50">
        <v>17.0</v>
      </c>
      <c r="R11" s="27">
        <f t="shared" si="9"/>
        <v>0.4210526316</v>
      </c>
      <c r="S11" s="25">
        <f t="shared" si="10"/>
        <v>20833.25</v>
      </c>
      <c r="T11" s="34">
        <f t="shared" si="11"/>
        <v>1</v>
      </c>
      <c r="U11" s="27">
        <f t="shared" si="12"/>
        <v>0.6315789474</v>
      </c>
      <c r="V11" s="21"/>
      <c r="W11" s="50">
        <v>43588.0</v>
      </c>
      <c r="X11" s="16"/>
      <c r="Y11" s="24"/>
      <c r="AA11" s="26" t="s">
        <v>64</v>
      </c>
      <c r="AB11" s="28">
        <f t="shared" si="13"/>
        <v>190067.5</v>
      </c>
      <c r="AC11" s="30">
        <f t="shared" si="14"/>
        <v>4</v>
      </c>
      <c r="AD11" s="31">
        <f t="shared" si="15"/>
        <v>0.3827160494</v>
      </c>
      <c r="AE11" s="28">
        <f t="shared" si="16"/>
        <v>24524.83871</v>
      </c>
    </row>
    <row r="12">
      <c r="A12" s="14">
        <v>46270.0</v>
      </c>
      <c r="B12" s="15" t="str">
        <f t="shared" si="2"/>
        <v>土</v>
      </c>
      <c r="C12" s="49">
        <v>800000.0</v>
      </c>
      <c r="D12" s="17">
        <f t="shared" si="3"/>
        <v>3600000</v>
      </c>
      <c r="E12" s="49">
        <v>69730.0</v>
      </c>
      <c r="F12" s="49">
        <v>235474.0</v>
      </c>
      <c r="G12" s="17">
        <f t="shared" si="4"/>
        <v>305204</v>
      </c>
      <c r="H12" s="17">
        <f t="shared" si="5"/>
        <v>1054902</v>
      </c>
      <c r="I12" s="18">
        <f t="shared" ref="I12:J12" si="19">IF(G12="","",IFERROR(G12/C12,""))</f>
        <v>0.381505</v>
      </c>
      <c r="J12" s="18">
        <f t="shared" si="19"/>
        <v>0.2930283333</v>
      </c>
      <c r="K12" s="17">
        <f t="shared" si="7"/>
        <v>-2545098</v>
      </c>
      <c r="L12" s="19" t="str">
        <f t="shared" si="8"/>
        <v>▲ 遅れ</v>
      </c>
      <c r="M12" s="50">
        <v>14.0</v>
      </c>
      <c r="N12" s="50">
        <v>13.0</v>
      </c>
      <c r="O12" s="50">
        <v>37.0</v>
      </c>
      <c r="P12" s="50">
        <v>18.0</v>
      </c>
      <c r="Q12" s="50">
        <v>34.0</v>
      </c>
      <c r="R12" s="18">
        <f t="shared" si="9"/>
        <v>0.3783783784</v>
      </c>
      <c r="S12" s="17">
        <f t="shared" si="10"/>
        <v>21800.28571</v>
      </c>
      <c r="T12" s="22">
        <f t="shared" si="11"/>
        <v>0.9285714286</v>
      </c>
      <c r="U12" s="18">
        <f t="shared" si="12"/>
        <v>0.4864864865</v>
      </c>
      <c r="V12" s="21"/>
      <c r="W12" s="50">
        <v>43569.0</v>
      </c>
      <c r="X12" s="16"/>
      <c r="Y12" s="24"/>
      <c r="AA12" s="26" t="s">
        <v>67</v>
      </c>
      <c r="AB12" s="28">
        <f t="shared" si="13"/>
        <v>222692</v>
      </c>
      <c r="AC12" s="30">
        <f t="shared" si="14"/>
        <v>4</v>
      </c>
      <c r="AD12" s="31">
        <f t="shared" si="15"/>
        <v>0.3223140496</v>
      </c>
      <c r="AE12" s="28">
        <f t="shared" si="16"/>
        <v>22840.20513</v>
      </c>
    </row>
    <row r="13">
      <c r="A13" s="32">
        <v>46271.0</v>
      </c>
      <c r="B13" s="23" t="str">
        <f t="shared" si="2"/>
        <v>日</v>
      </c>
      <c r="C13" s="49">
        <v>900000.0</v>
      </c>
      <c r="D13" s="25">
        <f t="shared" si="3"/>
        <v>4500000</v>
      </c>
      <c r="E13" s="49">
        <v>101840.0</v>
      </c>
      <c r="F13" s="49">
        <v>89422.0</v>
      </c>
      <c r="G13" s="25">
        <f t="shared" si="4"/>
        <v>191262</v>
      </c>
      <c r="H13" s="25">
        <f t="shared" si="5"/>
        <v>1246164</v>
      </c>
      <c r="I13" s="27">
        <f t="shared" ref="I13:J13" si="20">IF(G13="","",IFERROR(G13/C13,""))</f>
        <v>0.2125133333</v>
      </c>
      <c r="J13" s="27">
        <f t="shared" si="20"/>
        <v>0.2769253333</v>
      </c>
      <c r="K13" s="25">
        <f t="shared" si="7"/>
        <v>-3253836</v>
      </c>
      <c r="L13" s="33" t="str">
        <f t="shared" si="8"/>
        <v>▲ 遅れ</v>
      </c>
      <c r="M13" s="50">
        <v>7.0</v>
      </c>
      <c r="N13" s="50">
        <v>8.0</v>
      </c>
      <c r="O13" s="50">
        <v>19.0</v>
      </c>
      <c r="P13" s="50">
        <v>9.0</v>
      </c>
      <c r="Q13" s="50">
        <v>19.0</v>
      </c>
      <c r="R13" s="27">
        <f t="shared" si="9"/>
        <v>0.3684210526</v>
      </c>
      <c r="S13" s="25">
        <f t="shared" si="10"/>
        <v>27323.14286</v>
      </c>
      <c r="T13" s="34">
        <f t="shared" si="11"/>
        <v>1.142857143</v>
      </c>
      <c r="U13" s="27">
        <f t="shared" si="12"/>
        <v>0.4736842105</v>
      </c>
      <c r="V13" s="21"/>
      <c r="W13" s="50">
        <v>43556.0</v>
      </c>
      <c r="X13" s="16"/>
      <c r="Y13" s="24"/>
      <c r="AA13" s="26" t="s">
        <v>69</v>
      </c>
      <c r="AB13" s="28">
        <f t="shared" si="13"/>
        <v>394442.5</v>
      </c>
      <c r="AC13" s="30">
        <f t="shared" si="14"/>
        <v>4</v>
      </c>
      <c r="AD13" s="31">
        <f t="shared" si="15"/>
        <v>0.4733333333</v>
      </c>
      <c r="AE13" s="28">
        <f t="shared" si="16"/>
        <v>22222.11268</v>
      </c>
    </row>
    <row r="14">
      <c r="A14" s="14">
        <v>46272.0</v>
      </c>
      <c r="B14" s="15" t="str">
        <f t="shared" si="2"/>
        <v>月</v>
      </c>
      <c r="C14" s="49">
        <v>700000.0</v>
      </c>
      <c r="D14" s="17">
        <f t="shared" si="3"/>
        <v>5200000</v>
      </c>
      <c r="E14" s="49">
        <v>37440.0</v>
      </c>
      <c r="F14" s="49">
        <v>130278.0</v>
      </c>
      <c r="G14" s="17">
        <f t="shared" si="4"/>
        <v>167718</v>
      </c>
      <c r="H14" s="17">
        <f t="shared" si="5"/>
        <v>1413882</v>
      </c>
      <c r="I14" s="18">
        <f t="shared" ref="I14:J14" si="21">IF(G14="","",IFERROR(G14/C14,""))</f>
        <v>0.2395971429</v>
      </c>
      <c r="J14" s="18">
        <f t="shared" si="21"/>
        <v>0.2719003846</v>
      </c>
      <c r="K14" s="17">
        <f t="shared" si="7"/>
        <v>-3786118</v>
      </c>
      <c r="L14" s="19" t="str">
        <f t="shared" si="8"/>
        <v>▲ 遅れ</v>
      </c>
      <c r="M14" s="50">
        <v>9.0</v>
      </c>
      <c r="N14" s="50">
        <v>9.0</v>
      </c>
      <c r="O14" s="50">
        <v>21.0</v>
      </c>
      <c r="P14" s="50">
        <v>12.0</v>
      </c>
      <c r="Q14" s="50">
        <v>17.0</v>
      </c>
      <c r="R14" s="18">
        <f t="shared" si="9"/>
        <v>0.4285714286</v>
      </c>
      <c r="S14" s="17">
        <f t="shared" si="10"/>
        <v>18635.33333</v>
      </c>
      <c r="T14" s="22">
        <f t="shared" si="11"/>
        <v>1</v>
      </c>
      <c r="U14" s="18">
        <f t="shared" si="12"/>
        <v>0.5714285714</v>
      </c>
      <c r="V14" s="21"/>
      <c r="W14" s="50">
        <v>43547.0</v>
      </c>
      <c r="X14" s="16"/>
      <c r="Y14" s="24"/>
      <c r="AA14" s="26" t="s">
        <v>71</v>
      </c>
      <c r="AB14" s="28">
        <f t="shared" si="13"/>
        <v>318285.5</v>
      </c>
      <c r="AC14" s="30">
        <f t="shared" si="14"/>
        <v>4</v>
      </c>
      <c r="AD14" s="31">
        <f t="shared" si="15"/>
        <v>0.4390243902</v>
      </c>
      <c r="AE14" s="28">
        <f t="shared" si="16"/>
        <v>23576.7037</v>
      </c>
    </row>
    <row r="15">
      <c r="A15" s="32">
        <v>46273.0</v>
      </c>
      <c r="B15" s="23" t="str">
        <f t="shared" si="2"/>
        <v>火</v>
      </c>
      <c r="C15" s="49">
        <v>700000.0</v>
      </c>
      <c r="D15" s="25">
        <f t="shared" si="3"/>
        <v>5900000</v>
      </c>
      <c r="E15" s="49">
        <v>26010.0</v>
      </c>
      <c r="F15" s="49">
        <v>169786.0</v>
      </c>
      <c r="G15" s="25">
        <f t="shared" si="4"/>
        <v>195796</v>
      </c>
      <c r="H15" s="25">
        <f t="shared" si="5"/>
        <v>1609678</v>
      </c>
      <c r="I15" s="27">
        <f t="shared" ref="I15:J15" si="22">IF(G15="","",IFERROR(G15/C15,""))</f>
        <v>0.2797085714</v>
      </c>
      <c r="J15" s="27">
        <f t="shared" si="22"/>
        <v>0.2728267797</v>
      </c>
      <c r="K15" s="25">
        <f t="shared" si="7"/>
        <v>-4290322</v>
      </c>
      <c r="L15" s="33" t="str">
        <f t="shared" si="8"/>
        <v>▲ 遅れ</v>
      </c>
      <c r="M15" s="50">
        <v>8.0</v>
      </c>
      <c r="N15" s="50">
        <v>9.0</v>
      </c>
      <c r="O15" s="50">
        <v>21.0</v>
      </c>
      <c r="P15" s="50">
        <v>12.0</v>
      </c>
      <c r="Q15" s="50">
        <v>16.0</v>
      </c>
      <c r="R15" s="27">
        <f t="shared" si="9"/>
        <v>0.380952381</v>
      </c>
      <c r="S15" s="25">
        <f t="shared" si="10"/>
        <v>24474.5</v>
      </c>
      <c r="T15" s="34">
        <f t="shared" si="11"/>
        <v>1.125</v>
      </c>
      <c r="U15" s="27">
        <f t="shared" si="12"/>
        <v>0.5714285714</v>
      </c>
      <c r="V15" s="21"/>
      <c r="W15" s="50">
        <v>43535.0</v>
      </c>
      <c r="X15" s="16"/>
      <c r="Y15" s="24"/>
    </row>
    <row r="16">
      <c r="A16" s="14">
        <v>46274.0</v>
      </c>
      <c r="B16" s="15" t="str">
        <f t="shared" si="2"/>
        <v>水</v>
      </c>
      <c r="C16" s="49">
        <v>700000.0</v>
      </c>
      <c r="D16" s="17">
        <f t="shared" si="3"/>
        <v>6600000</v>
      </c>
      <c r="E16" s="49">
        <v>26010.0</v>
      </c>
      <c r="F16" s="49">
        <v>107660.0</v>
      </c>
      <c r="G16" s="17">
        <f t="shared" si="4"/>
        <v>133670</v>
      </c>
      <c r="H16" s="17">
        <f t="shared" si="5"/>
        <v>1743348</v>
      </c>
      <c r="I16" s="18">
        <f t="shared" ref="I16:J16" si="23">IF(G16="","",IFERROR(G16/C16,""))</f>
        <v>0.1909571429</v>
      </c>
      <c r="J16" s="18">
        <f t="shared" si="23"/>
        <v>0.2641436364</v>
      </c>
      <c r="K16" s="17">
        <f t="shared" si="7"/>
        <v>-4856652</v>
      </c>
      <c r="L16" s="19" t="str">
        <f t="shared" si="8"/>
        <v>▲ 遅れ</v>
      </c>
      <c r="M16" s="50">
        <v>6.0</v>
      </c>
      <c r="N16" s="50">
        <v>6.0</v>
      </c>
      <c r="O16" s="50">
        <v>18.0</v>
      </c>
      <c r="P16" s="50">
        <v>6.0</v>
      </c>
      <c r="Q16" s="50">
        <v>11.0</v>
      </c>
      <c r="R16" s="18">
        <f t="shared" si="9"/>
        <v>0.3333333333</v>
      </c>
      <c r="S16" s="17">
        <f t="shared" si="10"/>
        <v>22278.33333</v>
      </c>
      <c r="T16" s="22">
        <f t="shared" si="11"/>
        <v>1</v>
      </c>
      <c r="U16" s="18">
        <f t="shared" si="12"/>
        <v>0.3333333333</v>
      </c>
      <c r="V16" s="21"/>
      <c r="W16" s="21"/>
      <c r="X16" s="16"/>
      <c r="Y16" s="24"/>
      <c r="AA16" s="39" t="s">
        <v>75</v>
      </c>
    </row>
    <row r="17">
      <c r="A17" s="32">
        <v>46275.0</v>
      </c>
      <c r="B17" s="23" t="str">
        <f t="shared" si="2"/>
        <v>木</v>
      </c>
      <c r="C17" s="49">
        <v>700000.0</v>
      </c>
      <c r="D17" s="25">
        <f t="shared" si="3"/>
        <v>7300000</v>
      </c>
      <c r="E17" s="49">
        <v>23810.0</v>
      </c>
      <c r="F17" s="49">
        <v>86607.0</v>
      </c>
      <c r="G17" s="25">
        <f t="shared" si="4"/>
        <v>110417</v>
      </c>
      <c r="H17" s="25">
        <f t="shared" si="5"/>
        <v>1853765</v>
      </c>
      <c r="I17" s="27">
        <f t="shared" ref="I17:J17" si="24">IF(G17="","",IFERROR(G17/C17,""))</f>
        <v>0.1577385714</v>
      </c>
      <c r="J17" s="27">
        <f t="shared" si="24"/>
        <v>0.253940411</v>
      </c>
      <c r="K17" s="25">
        <f t="shared" si="7"/>
        <v>-5446235</v>
      </c>
      <c r="L17" s="33" t="str">
        <f t="shared" si="8"/>
        <v>▲ 遅れ</v>
      </c>
      <c r="M17" s="50">
        <v>5.0</v>
      </c>
      <c r="N17" s="50">
        <v>5.0</v>
      </c>
      <c r="O17" s="50">
        <v>21.0</v>
      </c>
      <c r="P17" s="50">
        <v>8.0</v>
      </c>
      <c r="Q17" s="50">
        <v>14.0</v>
      </c>
      <c r="R17" s="27">
        <f t="shared" si="9"/>
        <v>0.2380952381</v>
      </c>
      <c r="S17" s="25">
        <f t="shared" si="10"/>
        <v>22083.4</v>
      </c>
      <c r="T17" s="34">
        <f t="shared" si="11"/>
        <v>1</v>
      </c>
      <c r="U17" s="27">
        <f t="shared" si="12"/>
        <v>0.380952381</v>
      </c>
      <c r="V17" s="21"/>
      <c r="W17" s="50">
        <v>43500.0</v>
      </c>
      <c r="X17" s="16"/>
      <c r="Y17" s="24"/>
    </row>
    <row r="18">
      <c r="A18" s="14">
        <v>46276.0</v>
      </c>
      <c r="B18" s="15" t="str">
        <f t="shared" si="2"/>
        <v>金</v>
      </c>
      <c r="C18" s="49">
        <v>700000.0</v>
      </c>
      <c r="D18" s="17">
        <f t="shared" si="3"/>
        <v>8000000</v>
      </c>
      <c r="E18" s="49">
        <v>59330.0</v>
      </c>
      <c r="F18" s="49">
        <v>178224.0</v>
      </c>
      <c r="G18" s="17">
        <f t="shared" si="4"/>
        <v>237554</v>
      </c>
      <c r="H18" s="17">
        <f t="shared" si="5"/>
        <v>2091319</v>
      </c>
      <c r="I18" s="18">
        <f t="shared" ref="I18:J18" si="25">IF(G18="","",IFERROR(G18/C18,""))</f>
        <v>0.3393628571</v>
      </c>
      <c r="J18" s="18">
        <f t="shared" si="25"/>
        <v>0.261414875</v>
      </c>
      <c r="K18" s="17">
        <f t="shared" si="7"/>
        <v>-5908681</v>
      </c>
      <c r="L18" s="19" t="str">
        <f t="shared" si="8"/>
        <v>▲ 遅れ</v>
      </c>
      <c r="M18" s="50">
        <v>10.0</v>
      </c>
      <c r="N18" s="50">
        <v>11.0</v>
      </c>
      <c r="O18" s="50">
        <v>39.0</v>
      </c>
      <c r="P18" s="50">
        <v>12.0</v>
      </c>
      <c r="Q18" s="50">
        <v>31.0</v>
      </c>
      <c r="R18" s="18">
        <f t="shared" si="9"/>
        <v>0.2564102564</v>
      </c>
      <c r="S18" s="17">
        <f t="shared" si="10"/>
        <v>23755.4</v>
      </c>
      <c r="T18" s="22">
        <f t="shared" si="11"/>
        <v>1.1</v>
      </c>
      <c r="U18" s="18">
        <f t="shared" si="12"/>
        <v>0.3076923077</v>
      </c>
      <c r="V18" s="21"/>
      <c r="W18" s="50">
        <v>43495.0</v>
      </c>
      <c r="X18" s="16"/>
      <c r="Y18" s="24"/>
      <c r="AA18" s="40" t="s">
        <v>76</v>
      </c>
      <c r="AH18" s="39" t="s">
        <v>117</v>
      </c>
      <c r="AI18" s="41">
        <f>$A$8+MOD(2-WEEKDAY($A$8,2)+7,7)</f>
        <v>46266</v>
      </c>
    </row>
    <row r="19">
      <c r="A19" s="32">
        <v>46277.0</v>
      </c>
      <c r="B19" s="23" t="str">
        <f t="shared" si="2"/>
        <v>土</v>
      </c>
      <c r="C19" s="49">
        <v>800000.0</v>
      </c>
      <c r="D19" s="25">
        <f t="shared" si="3"/>
        <v>8800000</v>
      </c>
      <c r="E19" s="49">
        <v>54730.0</v>
      </c>
      <c r="F19" s="49">
        <v>493516.0</v>
      </c>
      <c r="G19" s="25">
        <f t="shared" si="4"/>
        <v>548246</v>
      </c>
      <c r="H19" s="25">
        <f t="shared" si="5"/>
        <v>2639565</v>
      </c>
      <c r="I19" s="27">
        <f t="shared" ref="I19:J19" si="26">IF(G19="","",IFERROR(G19/C19,""))</f>
        <v>0.6853075</v>
      </c>
      <c r="J19" s="27">
        <f t="shared" si="26"/>
        <v>0.2999505682</v>
      </c>
      <c r="K19" s="25">
        <f t="shared" si="7"/>
        <v>-6160435</v>
      </c>
      <c r="L19" s="33" t="str">
        <f t="shared" si="8"/>
        <v>▲ 遅れ</v>
      </c>
      <c r="M19" s="50">
        <v>24.0</v>
      </c>
      <c r="N19" s="50">
        <v>28.0</v>
      </c>
      <c r="O19" s="50">
        <v>47.0</v>
      </c>
      <c r="P19" s="50">
        <v>21.0</v>
      </c>
      <c r="Q19" s="50">
        <v>70.0</v>
      </c>
      <c r="R19" s="27">
        <f t="shared" si="9"/>
        <v>0.5106382979</v>
      </c>
      <c r="S19" s="25">
        <f t="shared" si="10"/>
        <v>22843.58333</v>
      </c>
      <c r="T19" s="34">
        <f t="shared" si="11"/>
        <v>1.166666667</v>
      </c>
      <c r="U19" s="27">
        <f t="shared" si="12"/>
        <v>0.4468085106</v>
      </c>
      <c r="V19" s="21"/>
      <c r="W19" s="50">
        <v>43472.0</v>
      </c>
      <c r="X19" s="16"/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46278.0</v>
      </c>
      <c r="B20" s="15" t="str">
        <f t="shared" si="2"/>
        <v>日</v>
      </c>
      <c r="C20" s="49">
        <v>900000.0</v>
      </c>
      <c r="D20" s="17">
        <f t="shared" si="3"/>
        <v>9700000</v>
      </c>
      <c r="E20" s="49">
        <v>38820.0</v>
      </c>
      <c r="F20" s="49">
        <v>202456.0</v>
      </c>
      <c r="G20" s="17">
        <f t="shared" si="4"/>
        <v>241276</v>
      </c>
      <c r="H20" s="17">
        <f t="shared" si="5"/>
        <v>2880841</v>
      </c>
      <c r="I20" s="18">
        <f t="shared" ref="I20:J20" si="27">IF(G20="","",IFERROR(G20/C20,""))</f>
        <v>0.2680844444</v>
      </c>
      <c r="J20" s="18">
        <f t="shared" si="27"/>
        <v>0.2969939175</v>
      </c>
      <c r="K20" s="17">
        <f t="shared" si="7"/>
        <v>-6819159</v>
      </c>
      <c r="L20" s="19" t="str">
        <f t="shared" si="8"/>
        <v>▲ 遅れ</v>
      </c>
      <c r="M20" s="50">
        <v>11.0</v>
      </c>
      <c r="N20" s="50">
        <v>11.0</v>
      </c>
      <c r="O20" s="50">
        <v>35.0</v>
      </c>
      <c r="P20" s="50">
        <v>19.0</v>
      </c>
      <c r="Q20" s="50">
        <v>32.0</v>
      </c>
      <c r="R20" s="18">
        <f t="shared" si="9"/>
        <v>0.3142857143</v>
      </c>
      <c r="S20" s="17">
        <f t="shared" si="10"/>
        <v>21934.18182</v>
      </c>
      <c r="T20" s="22">
        <f t="shared" si="11"/>
        <v>1</v>
      </c>
      <c r="U20" s="18">
        <f t="shared" si="12"/>
        <v>0.5428571429</v>
      </c>
      <c r="V20" s="21"/>
      <c r="W20" s="50">
        <v>43448.0</v>
      </c>
      <c r="X20" s="16"/>
      <c r="Y20" s="24"/>
      <c r="AA20" s="30">
        <v>1.0</v>
      </c>
      <c r="AB20" s="42" t="str">
        <f>IF($AI$18+7*(1-1)&gt;$A$37,"",TEXT($AI$18+7*(1-1),"m/d")&amp;"-"&amp;TEXT($AI$18+7*(1-1)+6,"m/d"))</f>
        <v>9/1-9/7</v>
      </c>
      <c r="AC20" s="28">
        <f>IF($AB20="","",(SUMIFS($G$8:$G$37,$A$8:$A$37,"&gt;="&amp;$AI$18+7*(1-1),$A$8:$A$37,"&lt;="&amp;$AI$18+7*(1-1)+6)+SUMIFS('2026年10月'!$G$8:$G$38,'2026年10月'!$A$8:$A$38,"&gt;="&amp;$AI$18+7*(1-1),'2026年10月'!$A$8:$A$38,"&lt;="&amp;$AI$18+7*(1-1)+6)))</f>
        <v>1413882</v>
      </c>
      <c r="AD20" s="31">
        <f>IF($AB20="","",IFERROR((SUMIFS($M$8:$M$37,$A$8:$A$37,"&gt;="&amp;$AI$18+7*(1-1),$A$8:$A$37,"&lt;="&amp;$AI$18+7*(1-1)+6)+SUMIFS('2026年10月'!$M$8:$M$38,'2026年10月'!$A$8:$A$38,"&gt;="&amp;$AI$18+7*(1-1),'2026年10月'!$A$8:$A$38,"&lt;="&amp;$AI$18+7*(1-1)+6))/(SUMIFS($O$8:$O$37,$A$8:$A$37,"&gt;="&amp;$AI$18+7*(1-1),$A$8:$A$37,"&lt;="&amp;$AI$18+7*(1-1)+6)+SUMIFS('2026年10月'!$O$8:$O$38,'2026年10月'!$A$8:$A$38,"&gt;="&amp;$AI$18+7*(1-1),'2026年10月'!$A$8:$A$38,"&lt;="&amp;$AI$18+7*(1-1)+6)),""))</f>
        <v>0.3636363636</v>
      </c>
      <c r="AE20" s="28">
        <f>IF($AB20="","",IFERROR((SUMIFS($G$8:$G$37,$A$8:$A$37,"&gt;="&amp;$AI$18+7*(1-1),$A$8:$A$37,"&lt;="&amp;$AI$18+7*(1-1)+6)+SUMIFS('2026年10月'!$G$8:$G$38,'2026年10月'!$A$8:$A$38,"&gt;="&amp;$AI$18+7*(1-1),'2026年10月'!$A$8:$A$38,"&lt;="&amp;$AI$18+7*(1-1)+6))/(SUMIFS($M$8:$M$37,$A$8:$A$37,"&gt;="&amp;$AI$18+7*(1-1),$A$8:$A$37,"&lt;="&amp;$AI$18+7*(1-1)+6)+SUMIFS('2026年10月'!$M$8:$M$38,'2026年10月'!$A$8:$A$38,"&gt;="&amp;$AI$18+7*(1-1),'2026年10月'!$A$8:$A$38,"&lt;="&amp;$AI$18+7*(1-1)+6)),""))</f>
        <v>22091.90625</v>
      </c>
      <c r="AF20" s="43">
        <f>IF($AB20="","",IFERROR((SUMIFS($N$8:$N$37,$A$8:$A$37,"&gt;="&amp;$AI$18+7*(1-1),$A$8:$A$37,"&lt;="&amp;$AI$18+7*(1-1)+6)+SUMIFS('2026年10月'!$N$8:$N$38,'2026年10月'!$A$8:$A$38,"&gt;="&amp;$AI$18+7*(1-1),'2026年10月'!$A$8:$A$38,"&lt;="&amp;$AI$18+7*(1-1)+6))/(SUMIFS($M$8:$M$37,$A$8:$A$37,"&gt;="&amp;$AI$18+7*(1-1),$A$8:$A$37,"&lt;="&amp;$AI$18+7*(1-1)+6)+SUMIFS('2026年10月'!$M$8:$M$38,'2026年10月'!$A$8:$A$38,"&gt;="&amp;$AI$18+7*(1-1),'2026年10月'!$A$8:$A$38,"&lt;="&amp;$AI$18+7*(1-1)+6)),""))</f>
        <v>1</v>
      </c>
      <c r="AG20" s="31">
        <f>IF($AB20="","",IFERROR((SUMIFS($P$8:$P$37,$A$8:$A$37,"&gt;="&amp;$AI$18+7*(1-1),$A$8:$A$37,"&lt;="&amp;$AI$18+7*(1-1)+6)+SUMIFS('2026年10月'!$P$8:$P$38,'2026年10月'!$A$8:$A$38,"&gt;="&amp;$AI$18+7*(1-1),'2026年10月'!$A$8:$A$38,"&lt;="&amp;$AI$18+7*(1-1)+6))/(SUMIFS($O$8:$O$37,$A$8:$A$37,"&gt;="&amp;$AI$18+7*(1-1),$A$8:$A$37,"&lt;="&amp;$AI$18+7*(1-1)+6)+SUMIFS('2026年10月'!$O$8:$O$38,'2026年10月'!$A$8:$A$38,"&gt;="&amp;$AI$18+7*(1-1),'2026年10月'!$A$8:$A$38,"&lt;="&amp;$AI$18+7*(1-1)+6)),""))</f>
        <v>0.5227272727</v>
      </c>
    </row>
    <row r="21" ht="15.75" customHeight="1">
      <c r="A21" s="32">
        <v>46279.0</v>
      </c>
      <c r="B21" s="23" t="str">
        <f t="shared" si="2"/>
        <v>月</v>
      </c>
      <c r="C21" s="49">
        <v>700000.0</v>
      </c>
      <c r="D21" s="25">
        <f t="shared" si="3"/>
        <v>10400000</v>
      </c>
      <c r="E21" s="49">
        <v>19810.0</v>
      </c>
      <c r="F21" s="49">
        <v>268548.0</v>
      </c>
      <c r="G21" s="25">
        <f t="shared" si="4"/>
        <v>288358</v>
      </c>
      <c r="H21" s="25">
        <f t="shared" si="5"/>
        <v>3169199</v>
      </c>
      <c r="I21" s="27">
        <f t="shared" ref="I21:J21" si="28">IF(G21="","",IFERROR(G21/C21,""))</f>
        <v>0.41194</v>
      </c>
      <c r="J21" s="27">
        <f t="shared" si="28"/>
        <v>0.3047306731</v>
      </c>
      <c r="K21" s="25">
        <f t="shared" si="7"/>
        <v>-7230801</v>
      </c>
      <c r="L21" s="33" t="str">
        <f t="shared" si="8"/>
        <v>▲ 遅れ</v>
      </c>
      <c r="M21" s="50">
        <v>11.0</v>
      </c>
      <c r="N21" s="50">
        <v>12.0</v>
      </c>
      <c r="O21" s="50">
        <v>32.0</v>
      </c>
      <c r="P21" s="50">
        <v>16.0</v>
      </c>
      <c r="Q21" s="50">
        <v>23.0</v>
      </c>
      <c r="R21" s="27">
        <f t="shared" si="9"/>
        <v>0.34375</v>
      </c>
      <c r="S21" s="25">
        <f t="shared" si="10"/>
        <v>26214.36364</v>
      </c>
      <c r="T21" s="34">
        <f t="shared" si="11"/>
        <v>1.090909091</v>
      </c>
      <c r="U21" s="27">
        <f t="shared" si="12"/>
        <v>0.5</v>
      </c>
      <c r="V21" s="21"/>
      <c r="W21" s="50">
        <v>43437.0</v>
      </c>
      <c r="X21" s="16"/>
      <c r="Y21" s="24"/>
      <c r="AA21" s="30">
        <v>2.0</v>
      </c>
      <c r="AB21" s="42" t="str">
        <f>IF($AI$18+7*(2-1)&gt;$A$37,"",TEXT($AI$18+7*(2-1),"m/d")&amp;"-"&amp;TEXT($AI$18+7*(2-1)+6,"m/d"))</f>
        <v>9/8-9/14</v>
      </c>
      <c r="AC21" s="28">
        <f>IF($AB21="","",(SUMIFS($G$8:$G$37,$A$8:$A$37,"&gt;="&amp;$AI$18+7*(2-1),$A$8:$A$37,"&lt;="&amp;$AI$18+7*(2-1)+6)+SUMIFS('2026年10月'!$G$8:$G$38,'2026年10月'!$A$8:$A$38,"&gt;="&amp;$AI$18+7*(2-1),'2026年10月'!$A$8:$A$38,"&lt;="&amp;$AI$18+7*(2-1)+6)))</f>
        <v>1755317</v>
      </c>
      <c r="AD21" s="31">
        <f>IF($AB21="","",IFERROR((SUMIFS($M$8:$M$37,$A$8:$A$37,"&gt;="&amp;$AI$18+7*(2-1),$A$8:$A$37,"&lt;="&amp;$AI$18+7*(2-1)+6)+SUMIFS('2026年10月'!$M$8:$M$38,'2026年10月'!$A$8:$A$38,"&gt;="&amp;$AI$18+7*(2-1),'2026年10月'!$A$8:$A$38,"&lt;="&amp;$AI$18+7*(2-1)+6))/(SUMIFS($O$8:$O$37,$A$8:$A$37,"&gt;="&amp;$AI$18+7*(2-1),$A$8:$A$37,"&lt;="&amp;$AI$18+7*(2-1)+6)+SUMIFS('2026年10月'!$O$8:$O$38,'2026年10月'!$A$8:$A$38,"&gt;="&amp;$AI$18+7*(2-1),'2026年10月'!$A$8:$A$38,"&lt;="&amp;$AI$18+7*(2-1)+6)),""))</f>
        <v>0.3521126761</v>
      </c>
      <c r="AE21" s="28">
        <f>IF($AB21="","",IFERROR((SUMIFS($G$8:$G$37,$A$8:$A$37,"&gt;="&amp;$AI$18+7*(2-1),$A$8:$A$37,"&lt;="&amp;$AI$18+7*(2-1)+6)+SUMIFS('2026年10月'!$G$8:$G$38,'2026年10月'!$A$8:$A$38,"&gt;="&amp;$AI$18+7*(2-1),'2026年10月'!$A$8:$A$38,"&lt;="&amp;$AI$18+7*(2-1)+6))/(SUMIFS($M$8:$M$37,$A$8:$A$37,"&gt;="&amp;$AI$18+7*(2-1),$A$8:$A$37,"&lt;="&amp;$AI$18+7*(2-1)+6)+SUMIFS('2026年10月'!$M$8:$M$38,'2026年10月'!$A$8:$A$38,"&gt;="&amp;$AI$18+7*(2-1),'2026年10月'!$A$8:$A$38,"&lt;="&amp;$AI$18+7*(2-1)+6)),""))</f>
        <v>23404.22667</v>
      </c>
      <c r="AF21" s="43">
        <f>IF($AB21="","",IFERROR((SUMIFS($N$8:$N$37,$A$8:$A$37,"&gt;="&amp;$AI$18+7*(2-1),$A$8:$A$37,"&lt;="&amp;$AI$18+7*(2-1)+6)+SUMIFS('2026年10月'!$N$8:$N$38,'2026年10月'!$A$8:$A$38,"&gt;="&amp;$AI$18+7*(2-1),'2026年10月'!$A$8:$A$38,"&lt;="&amp;$AI$18+7*(2-1)+6))/(SUMIFS($M$8:$M$37,$A$8:$A$37,"&gt;="&amp;$AI$18+7*(2-1),$A$8:$A$37,"&lt;="&amp;$AI$18+7*(2-1)+6)+SUMIFS('2026年10月'!$M$8:$M$38,'2026年10月'!$A$8:$A$38,"&gt;="&amp;$AI$18+7*(2-1),'2026年10月'!$A$8:$A$38,"&lt;="&amp;$AI$18+7*(2-1)+6)),""))</f>
        <v>1.093333333</v>
      </c>
      <c r="AG21" s="31">
        <f>IF($AB21="","",IFERROR((SUMIFS($P$8:$P$37,$A$8:$A$37,"&gt;="&amp;$AI$18+7*(2-1),$A$8:$A$37,"&lt;="&amp;$AI$18+7*(2-1)+6)+SUMIFS('2026年10月'!$P$8:$P$38,'2026年10月'!$A$8:$A$38,"&gt;="&amp;$AI$18+7*(2-1),'2026年10月'!$A$8:$A$38,"&lt;="&amp;$AI$18+7*(2-1)+6))/(SUMIFS($O$8:$O$37,$A$8:$A$37,"&gt;="&amp;$AI$18+7*(2-1),$A$8:$A$37,"&lt;="&amp;$AI$18+7*(2-1)+6)+SUMIFS('2026年10月'!$O$8:$O$38,'2026年10月'!$A$8:$A$38,"&gt;="&amp;$AI$18+7*(2-1),'2026年10月'!$A$8:$A$38,"&lt;="&amp;$AI$18+7*(2-1)+6)),""))</f>
        <v>0.441314554</v>
      </c>
    </row>
    <row r="22" ht="15.75" customHeight="1">
      <c r="A22" s="14">
        <v>46280.0</v>
      </c>
      <c r="B22" s="15" t="str">
        <f t="shared" si="2"/>
        <v>火</v>
      </c>
      <c r="C22" s="49">
        <v>700000.0</v>
      </c>
      <c r="D22" s="17">
        <f t="shared" si="3"/>
        <v>11100000</v>
      </c>
      <c r="E22" s="49">
        <v>23810.0</v>
      </c>
      <c r="F22" s="49">
        <v>203798.0</v>
      </c>
      <c r="G22" s="17">
        <f t="shared" si="4"/>
        <v>227608</v>
      </c>
      <c r="H22" s="17">
        <f t="shared" si="5"/>
        <v>3396807</v>
      </c>
      <c r="I22" s="18">
        <f t="shared" ref="I22:J22" si="29">IF(G22="","",IFERROR(G22/C22,""))</f>
        <v>0.3251542857</v>
      </c>
      <c r="J22" s="18">
        <f t="shared" si="29"/>
        <v>0.3060186486</v>
      </c>
      <c r="K22" s="17">
        <f t="shared" si="7"/>
        <v>-7703193</v>
      </c>
      <c r="L22" s="19" t="str">
        <f t="shared" si="8"/>
        <v>▲ 遅れ</v>
      </c>
      <c r="M22" s="50">
        <v>10.0</v>
      </c>
      <c r="N22" s="50">
        <v>10.0</v>
      </c>
      <c r="O22" s="50">
        <v>23.0</v>
      </c>
      <c r="P22" s="50">
        <v>11.0</v>
      </c>
      <c r="Q22" s="50">
        <v>21.0</v>
      </c>
      <c r="R22" s="18">
        <f t="shared" si="9"/>
        <v>0.4347826087</v>
      </c>
      <c r="S22" s="17">
        <f t="shared" si="10"/>
        <v>22760.8</v>
      </c>
      <c r="T22" s="22">
        <f t="shared" si="11"/>
        <v>1</v>
      </c>
      <c r="U22" s="18">
        <f t="shared" si="12"/>
        <v>0.4782608696</v>
      </c>
      <c r="V22" s="21"/>
      <c r="W22" s="50">
        <v>43388.0</v>
      </c>
      <c r="X22" s="16"/>
      <c r="Y22" s="24"/>
      <c r="AA22" s="30">
        <v>3.0</v>
      </c>
      <c r="AB22" s="42" t="str">
        <f>IF($AI$18+7*(3-1)&gt;$A$37,"",TEXT($AI$18+7*(3-1),"m/d")&amp;"-"&amp;TEXT($AI$18+7*(3-1)+6,"m/d"))</f>
        <v>9/15-9/21</v>
      </c>
      <c r="AC22" s="28">
        <f>IF($AB22="","",(SUMIFS($G$8:$G$37,$A$8:$A$37,"&gt;="&amp;$AI$18+7*(3-1),$A$8:$A$37,"&lt;="&amp;$AI$18+7*(3-1)+6)+SUMIFS('2026年10月'!$G$8:$G$38,'2026年10月'!$A$8:$A$38,"&gt;="&amp;$AI$18+7*(3-1),'2026年10月'!$A$8:$A$38,"&lt;="&amp;$AI$18+7*(3-1)+6)))</f>
        <v>1914347</v>
      </c>
      <c r="AD22" s="31">
        <f>IF($AB22="","",IFERROR((SUMIFS($M$8:$M$37,$A$8:$A$37,"&gt;="&amp;$AI$18+7*(3-1),$A$8:$A$37,"&lt;="&amp;$AI$18+7*(3-1)+6)+SUMIFS('2026年10月'!$M$8:$M$38,'2026年10月'!$A$8:$A$38,"&gt;="&amp;$AI$18+7*(3-1),'2026年10月'!$A$8:$A$38,"&lt;="&amp;$AI$18+7*(3-1)+6))/(SUMIFS($O$8:$O$37,$A$8:$A$37,"&gt;="&amp;$AI$18+7*(3-1),$A$8:$A$37,"&lt;="&amp;$AI$18+7*(3-1)+6)+SUMIFS('2026年10月'!$O$8:$O$38,'2026年10月'!$A$8:$A$38,"&gt;="&amp;$AI$18+7*(3-1),'2026年10月'!$A$8:$A$38,"&lt;="&amp;$AI$18+7*(3-1)+6)),""))</f>
        <v>0.4581005587</v>
      </c>
      <c r="AE22" s="28">
        <f>IF($AB22="","",IFERROR((SUMIFS($G$8:$G$37,$A$8:$A$37,"&gt;="&amp;$AI$18+7*(3-1),$A$8:$A$37,"&lt;="&amp;$AI$18+7*(3-1)+6)+SUMIFS('2026年10月'!$G$8:$G$38,'2026年10月'!$A$8:$A$38,"&gt;="&amp;$AI$18+7*(3-1),'2026年10月'!$A$8:$A$38,"&lt;="&amp;$AI$18+7*(3-1)+6))/(SUMIFS($M$8:$M$37,$A$8:$A$37,"&gt;="&amp;$AI$18+7*(3-1),$A$8:$A$37,"&lt;="&amp;$AI$18+7*(3-1)+6)+SUMIFS('2026年10月'!$M$8:$M$38,'2026年10月'!$A$8:$A$38,"&gt;="&amp;$AI$18+7*(3-1),'2026年10月'!$A$8:$A$38,"&lt;="&amp;$AI$18+7*(3-1)+6)),""))</f>
        <v>23345.69512</v>
      </c>
      <c r="AF22" s="43">
        <f>IF($AB22="","",IFERROR((SUMIFS($N$8:$N$37,$A$8:$A$37,"&gt;="&amp;$AI$18+7*(3-1),$A$8:$A$37,"&lt;="&amp;$AI$18+7*(3-1)+6)+SUMIFS('2026年10月'!$N$8:$N$38,'2026年10月'!$A$8:$A$38,"&gt;="&amp;$AI$18+7*(3-1),'2026年10月'!$A$8:$A$38,"&lt;="&amp;$AI$18+7*(3-1)+6))/(SUMIFS($M$8:$M$37,$A$8:$A$37,"&gt;="&amp;$AI$18+7*(3-1),$A$8:$A$37,"&lt;="&amp;$AI$18+7*(3-1)+6)+SUMIFS('2026年10月'!$M$8:$M$38,'2026年10月'!$A$8:$A$38,"&gt;="&amp;$AI$18+7*(3-1),'2026年10月'!$A$8:$A$38,"&lt;="&amp;$AI$18+7*(3-1)+6)),""))</f>
        <v>1.134146341</v>
      </c>
      <c r="AG22" s="31">
        <f>IF($AB22="","",IFERROR((SUMIFS($P$8:$P$37,$A$8:$A$37,"&gt;="&amp;$AI$18+7*(3-1),$A$8:$A$37,"&lt;="&amp;$AI$18+7*(3-1)+6)+SUMIFS('2026年10月'!$P$8:$P$38,'2026年10月'!$A$8:$A$38,"&gt;="&amp;$AI$18+7*(3-1),'2026年10月'!$A$8:$A$38,"&lt;="&amp;$AI$18+7*(3-1)+6))/(SUMIFS($O$8:$O$37,$A$8:$A$37,"&gt;="&amp;$AI$18+7*(3-1),$A$8:$A$37,"&lt;="&amp;$AI$18+7*(3-1)+6)+SUMIFS('2026年10月'!$O$8:$O$38,'2026年10月'!$A$8:$A$38,"&gt;="&amp;$AI$18+7*(3-1),'2026年10月'!$A$8:$A$38,"&lt;="&amp;$AI$18+7*(3-1)+6)),""))</f>
        <v>0.6089385475</v>
      </c>
    </row>
    <row r="23" ht="15.75" customHeight="1">
      <c r="A23" s="32">
        <v>46281.0</v>
      </c>
      <c r="B23" s="23" t="str">
        <f t="shared" si="2"/>
        <v>水</v>
      </c>
      <c r="C23" s="49">
        <v>700000.0</v>
      </c>
      <c r="D23" s="25">
        <f t="shared" si="3"/>
        <v>11800000</v>
      </c>
      <c r="E23" s="49">
        <v>0.0</v>
      </c>
      <c r="F23" s="49">
        <v>209691.0</v>
      </c>
      <c r="G23" s="25">
        <f t="shared" si="4"/>
        <v>209691</v>
      </c>
      <c r="H23" s="25">
        <f t="shared" si="5"/>
        <v>3606498</v>
      </c>
      <c r="I23" s="27">
        <f t="shared" ref="I23:J23" si="30">IF(G23="","",IFERROR(G23/C23,""))</f>
        <v>0.2995585714</v>
      </c>
      <c r="J23" s="27">
        <f t="shared" si="30"/>
        <v>0.3056354237</v>
      </c>
      <c r="K23" s="25">
        <f t="shared" si="7"/>
        <v>-8193502</v>
      </c>
      <c r="L23" s="33" t="str">
        <f t="shared" si="8"/>
        <v>▲ 遅れ</v>
      </c>
      <c r="M23" s="50">
        <v>9.0</v>
      </c>
      <c r="N23" s="50">
        <v>12.0</v>
      </c>
      <c r="O23" s="50">
        <v>18.0</v>
      </c>
      <c r="P23" s="50">
        <v>13.0</v>
      </c>
      <c r="Q23" s="50">
        <v>24.0</v>
      </c>
      <c r="R23" s="27">
        <f t="shared" si="9"/>
        <v>0.5</v>
      </c>
      <c r="S23" s="25">
        <f t="shared" si="10"/>
        <v>23299</v>
      </c>
      <c r="T23" s="34">
        <f t="shared" si="11"/>
        <v>1.333333333</v>
      </c>
      <c r="U23" s="27">
        <f t="shared" si="12"/>
        <v>0.7222222222</v>
      </c>
      <c r="V23" s="21"/>
      <c r="W23" s="21"/>
      <c r="X23" s="16"/>
      <c r="Y23" s="24"/>
      <c r="AA23" s="30">
        <v>4.0</v>
      </c>
      <c r="AB23" s="42" t="str">
        <f>IF($AI$18+7*(4-1)&gt;$A$37,"",TEXT($AI$18+7*(4-1),"m/d")&amp;"-"&amp;TEXT($AI$18+7*(4-1)+6,"m/d"))</f>
        <v>9/22-9/28</v>
      </c>
      <c r="AC23" s="28">
        <f>IF($AB23="","",(SUMIFS($G$8:$G$37,$A$8:$A$37,"&gt;="&amp;$AI$18+7*(4-1),$A$8:$A$37,"&lt;="&amp;$AI$18+7*(4-1)+6)+SUMIFS('2026年10月'!$G$8:$G$38,'2026年10月'!$A$8:$A$38,"&gt;="&amp;$AI$18+7*(4-1),'2026年10月'!$A$8:$A$38,"&lt;="&amp;$AI$18+7*(4-1)+6)))</f>
        <v>2190507</v>
      </c>
      <c r="AD23" s="31">
        <f>IF($AB23="","",IFERROR((SUMIFS($M$8:$M$37,$A$8:$A$37,"&gt;="&amp;$AI$18+7*(4-1),$A$8:$A$37,"&lt;="&amp;$AI$18+7*(4-1)+6)+SUMIFS('2026年10月'!$M$8:$M$38,'2026年10月'!$A$8:$A$38,"&gt;="&amp;$AI$18+7*(4-1),'2026年10月'!$A$8:$A$38,"&lt;="&amp;$AI$18+7*(4-1)+6))/(SUMIFS($O$8:$O$37,$A$8:$A$37,"&gt;="&amp;$AI$18+7*(4-1),$A$8:$A$37,"&lt;="&amp;$AI$18+7*(4-1)+6)+SUMIFS('2026年10月'!$O$8:$O$38,'2026年10月'!$A$8:$A$38,"&gt;="&amp;$AI$18+7*(4-1),'2026年10月'!$A$8:$A$38,"&lt;="&amp;$AI$18+7*(4-1)+6)),""))</f>
        <v>0.4151785714</v>
      </c>
      <c r="AE23" s="28">
        <f>IF($AB23="","",IFERROR((SUMIFS($G$8:$G$37,$A$8:$A$37,"&gt;="&amp;$AI$18+7*(4-1),$A$8:$A$37,"&lt;="&amp;$AI$18+7*(4-1)+6)+SUMIFS('2026年10月'!$G$8:$G$38,'2026年10月'!$A$8:$A$38,"&gt;="&amp;$AI$18+7*(4-1),'2026年10月'!$A$8:$A$38,"&lt;="&amp;$AI$18+7*(4-1)+6))/(SUMIFS($M$8:$M$37,$A$8:$A$37,"&gt;="&amp;$AI$18+7*(4-1),$A$8:$A$37,"&lt;="&amp;$AI$18+7*(4-1)+6)+SUMIFS('2026年10月'!$M$8:$M$38,'2026年10月'!$A$8:$A$38,"&gt;="&amp;$AI$18+7*(4-1),'2026年10月'!$A$8:$A$38,"&lt;="&amp;$AI$18+7*(4-1)+6)),""))</f>
        <v>23553.83871</v>
      </c>
      <c r="AF23" s="43">
        <f>IF($AB23="","",IFERROR((SUMIFS($N$8:$N$37,$A$8:$A$37,"&gt;="&amp;$AI$18+7*(4-1),$A$8:$A$37,"&lt;="&amp;$AI$18+7*(4-1)+6)+SUMIFS('2026年10月'!$N$8:$N$38,'2026年10月'!$A$8:$A$38,"&gt;="&amp;$AI$18+7*(4-1),'2026年10月'!$A$8:$A$38,"&lt;="&amp;$AI$18+7*(4-1)+6))/(SUMIFS($M$8:$M$37,$A$8:$A$37,"&gt;="&amp;$AI$18+7*(4-1),$A$8:$A$37,"&lt;="&amp;$AI$18+7*(4-1)+6)+SUMIFS('2026年10月'!$M$8:$M$38,'2026年10月'!$A$8:$A$38,"&gt;="&amp;$AI$18+7*(4-1),'2026年10月'!$A$8:$A$38,"&lt;="&amp;$AI$18+7*(4-1)+6)),""))</f>
        <v>1.129032258</v>
      </c>
      <c r="AG23" s="31">
        <f>IF($AB23="","",IFERROR((SUMIFS($P$8:$P$37,$A$8:$A$37,"&gt;="&amp;$AI$18+7*(4-1),$A$8:$A$37,"&lt;="&amp;$AI$18+7*(4-1)+6)+SUMIFS('2026年10月'!$P$8:$P$38,'2026年10月'!$A$8:$A$38,"&gt;="&amp;$AI$18+7*(4-1),'2026年10月'!$A$8:$A$38,"&lt;="&amp;$AI$18+7*(4-1)+6))/(SUMIFS($O$8:$O$37,$A$8:$A$37,"&gt;="&amp;$AI$18+7*(4-1),$A$8:$A$37,"&lt;="&amp;$AI$18+7*(4-1)+6)+SUMIFS('2026年10月'!$O$8:$O$38,'2026年10月'!$A$8:$A$38,"&gt;="&amp;$AI$18+7*(4-1),'2026年10月'!$A$8:$A$38,"&lt;="&amp;$AI$18+7*(4-1)+6)),""))</f>
        <v>0.5223214286</v>
      </c>
    </row>
    <row r="24" ht="15.75" customHeight="1">
      <c r="A24" s="14">
        <v>46282.0</v>
      </c>
      <c r="B24" s="15" t="str">
        <f t="shared" si="2"/>
        <v>木</v>
      </c>
      <c r="C24" s="49">
        <v>700000.0</v>
      </c>
      <c r="D24" s="17">
        <f t="shared" si="3"/>
        <v>12500000</v>
      </c>
      <c r="E24" s="49">
        <v>98440.0</v>
      </c>
      <c r="F24" s="49">
        <v>112872.0</v>
      </c>
      <c r="G24" s="17">
        <f t="shared" si="4"/>
        <v>211312</v>
      </c>
      <c r="H24" s="17">
        <f t="shared" si="5"/>
        <v>3817810</v>
      </c>
      <c r="I24" s="18">
        <f t="shared" ref="I24:J24" si="31">IF(G24="","",IFERROR(G24/C24,""))</f>
        <v>0.3018742857</v>
      </c>
      <c r="J24" s="18">
        <f t="shared" si="31"/>
        <v>0.3054248</v>
      </c>
      <c r="K24" s="17">
        <f t="shared" si="7"/>
        <v>-8682190</v>
      </c>
      <c r="L24" s="19" t="str">
        <f t="shared" si="8"/>
        <v>▲ 遅れ</v>
      </c>
      <c r="M24" s="50">
        <v>9.0</v>
      </c>
      <c r="N24" s="50">
        <v>10.0</v>
      </c>
      <c r="O24" s="50">
        <v>19.0</v>
      </c>
      <c r="P24" s="50">
        <v>11.0</v>
      </c>
      <c r="Q24" s="50">
        <v>16.0</v>
      </c>
      <c r="R24" s="18">
        <f t="shared" si="9"/>
        <v>0.4736842105</v>
      </c>
      <c r="S24" s="17">
        <f t="shared" si="10"/>
        <v>23479.11111</v>
      </c>
      <c r="T24" s="22">
        <f t="shared" si="11"/>
        <v>1.111111111</v>
      </c>
      <c r="U24" s="18">
        <f t="shared" si="12"/>
        <v>0.5789473684</v>
      </c>
      <c r="V24" s="21"/>
      <c r="W24" s="50">
        <v>43374.0</v>
      </c>
      <c r="X24" s="16"/>
      <c r="Y24" s="24"/>
      <c r="AA24" s="30">
        <v>5.0</v>
      </c>
      <c r="AB24" s="42" t="str">
        <f>IF($AI$18+7*(5-1)&gt;$A$37,"",TEXT($AI$18+7*(5-1),"m/d")&amp;"-"&amp;TEXT($AI$18+7*(5-1)+6,"m/d"))</f>
        <v>9/29-10/5</v>
      </c>
      <c r="AC24" s="28">
        <f>IF($AB24="","",(SUMIFS($G$8:$G$37,$A$8:$A$37,"&gt;="&amp;$AI$18+7*(5-1),$A$8:$A$37,"&lt;="&amp;$AI$18+7*(5-1)+6)+SUMIFS('2026年10月'!$G$8:$G$38,'2026年10月'!$A$8:$A$38,"&gt;="&amp;$AI$18+7*(5-1),'2026年10月'!$A$8:$A$38,"&lt;="&amp;$AI$18+7*(5-1)+6)))</f>
        <v>1680169</v>
      </c>
      <c r="AD24" s="31">
        <f>IF($AB24="","",IFERROR((SUMIFS($M$8:$M$37,$A$8:$A$37,"&gt;="&amp;$AI$18+7*(5-1),$A$8:$A$37,"&lt;="&amp;$AI$18+7*(5-1)+6)+SUMIFS('2026年10月'!$M$8:$M$38,'2026年10月'!$A$8:$A$38,"&gt;="&amp;$AI$18+7*(5-1),'2026年10月'!$A$8:$A$38,"&lt;="&amp;$AI$18+7*(5-1)+6))/(SUMIFS($O$8:$O$37,$A$8:$A$37,"&gt;="&amp;$AI$18+7*(5-1),$A$8:$A$37,"&lt;="&amp;$AI$18+7*(5-1)+6)+SUMIFS('2026年10月'!$O$8:$O$38,'2026年10月'!$A$8:$A$38,"&gt;="&amp;$AI$18+7*(5-1),'2026年10月'!$A$8:$A$38,"&lt;="&amp;$AI$18+7*(5-1)+6)),""))</f>
        <v>0.3349282297</v>
      </c>
      <c r="AE24" s="28">
        <f>IF($AB24="","",IFERROR((SUMIFS($G$8:$G$37,$A$8:$A$37,"&gt;="&amp;$AI$18+7*(5-1),$A$8:$A$37,"&lt;="&amp;$AI$18+7*(5-1)+6)+SUMIFS('2026年10月'!$G$8:$G$38,'2026年10月'!$A$8:$A$38,"&gt;="&amp;$AI$18+7*(5-1),'2026年10月'!$A$8:$A$38,"&lt;="&amp;$AI$18+7*(5-1)+6))/(SUMIFS($M$8:$M$37,$A$8:$A$37,"&gt;="&amp;$AI$18+7*(5-1),$A$8:$A$37,"&lt;="&amp;$AI$18+7*(5-1)+6)+SUMIFS('2026年10月'!$M$8:$M$38,'2026年10月'!$A$8:$A$38,"&gt;="&amp;$AI$18+7*(5-1),'2026年10月'!$A$8:$A$38,"&lt;="&amp;$AI$18+7*(5-1)+6)),""))</f>
        <v>24002.41429</v>
      </c>
      <c r="AF24" s="43">
        <f>IF($AB24="","",IFERROR((SUMIFS($N$8:$N$37,$A$8:$A$37,"&gt;="&amp;$AI$18+7*(5-1),$A$8:$A$37,"&lt;="&amp;$AI$18+7*(5-1)+6)+SUMIFS('2026年10月'!$N$8:$N$38,'2026年10月'!$A$8:$A$38,"&gt;="&amp;$AI$18+7*(5-1),'2026年10月'!$A$8:$A$38,"&lt;="&amp;$AI$18+7*(5-1)+6))/(SUMIFS($M$8:$M$37,$A$8:$A$37,"&gt;="&amp;$AI$18+7*(5-1),$A$8:$A$37,"&lt;="&amp;$AI$18+7*(5-1)+6)+SUMIFS('2026年10月'!$M$8:$M$38,'2026年10月'!$A$8:$A$38,"&gt;="&amp;$AI$18+7*(5-1),'2026年10月'!$A$8:$A$38,"&lt;="&amp;$AI$18+7*(5-1)+6)),""))</f>
        <v>1.171428571</v>
      </c>
      <c r="AG24" s="31">
        <f>IF($AB24="","",IFERROR((SUMIFS($P$8:$P$37,$A$8:$A$37,"&gt;="&amp;$AI$18+7*(5-1),$A$8:$A$37,"&lt;="&amp;$AI$18+7*(5-1)+6)+SUMIFS('2026年10月'!$P$8:$P$38,'2026年10月'!$A$8:$A$38,"&gt;="&amp;$AI$18+7*(5-1),'2026年10月'!$A$8:$A$38,"&lt;="&amp;$AI$18+7*(5-1)+6))/(SUMIFS($O$8:$O$37,$A$8:$A$37,"&gt;="&amp;$AI$18+7*(5-1),$A$8:$A$37,"&lt;="&amp;$AI$18+7*(5-1)+6)+SUMIFS('2026年10月'!$O$8:$O$38,'2026年10月'!$A$8:$A$38,"&gt;="&amp;$AI$18+7*(5-1),'2026年10月'!$A$8:$A$38,"&lt;="&amp;$AI$18+7*(5-1)+6)),""))</f>
        <v>0.4832535885</v>
      </c>
    </row>
    <row r="25" ht="15.75" customHeight="1">
      <c r="A25" s="32">
        <v>46283.0</v>
      </c>
      <c r="B25" s="23" t="str">
        <f t="shared" si="2"/>
        <v>金</v>
      </c>
      <c r="C25" s="49">
        <v>700000.0</v>
      </c>
      <c r="D25" s="25">
        <f t="shared" si="3"/>
        <v>13200000</v>
      </c>
      <c r="E25" s="49">
        <v>42120.0</v>
      </c>
      <c r="F25" s="49">
        <v>238308.0</v>
      </c>
      <c r="G25" s="25">
        <f t="shared" si="4"/>
        <v>280428</v>
      </c>
      <c r="H25" s="25">
        <f t="shared" si="5"/>
        <v>4098238</v>
      </c>
      <c r="I25" s="27">
        <f t="shared" ref="I25:J25" si="32">IF(G25="","",IFERROR(G25/C25,""))</f>
        <v>0.4006114286</v>
      </c>
      <c r="J25" s="27">
        <f t="shared" si="32"/>
        <v>0.3104725758</v>
      </c>
      <c r="K25" s="25">
        <f t="shared" si="7"/>
        <v>-9101762</v>
      </c>
      <c r="L25" s="33" t="str">
        <f t="shared" si="8"/>
        <v>▲ 遅れ</v>
      </c>
      <c r="M25" s="50">
        <v>11.0</v>
      </c>
      <c r="N25" s="50">
        <v>13.0</v>
      </c>
      <c r="O25" s="50">
        <v>29.0</v>
      </c>
      <c r="P25" s="50">
        <v>17.0</v>
      </c>
      <c r="Q25" s="50">
        <v>33.0</v>
      </c>
      <c r="R25" s="27">
        <f t="shared" si="9"/>
        <v>0.3793103448</v>
      </c>
      <c r="S25" s="25">
        <f t="shared" si="10"/>
        <v>25493.45455</v>
      </c>
      <c r="T25" s="34">
        <f t="shared" si="11"/>
        <v>1.181818182</v>
      </c>
      <c r="U25" s="27">
        <f t="shared" si="12"/>
        <v>0.5862068966</v>
      </c>
      <c r="V25" s="21"/>
      <c r="W25" s="50">
        <v>43359.0</v>
      </c>
      <c r="X25" s="16"/>
      <c r="Y25" s="24"/>
      <c r="AA25" s="30">
        <v>6.0</v>
      </c>
      <c r="AB25" s="42" t="str">
        <f>IF($AI$18+7*(6-1)&gt;$A$37,"",TEXT($AI$18+7*(6-1),"m/d")&amp;"-"&amp;TEXT($AI$18+7*(6-1)+6,"m/d"))</f>
        <v/>
      </c>
      <c r="AC25" s="28" t="str">
        <f>IF($AB25="","",(SUMIFS($G$8:$G$37,$A$8:$A$37,"&gt;="&amp;$AI$18+7*(6-1),$A$8:$A$37,"&lt;="&amp;$AI$18+7*(6-1)+6)+SUMIFS('2026年10月'!$G$8:$G$38,'2026年10月'!$A$8:$A$38,"&gt;="&amp;$AI$18+7*(6-1),'2026年10月'!$A$8:$A$38,"&lt;="&amp;$AI$18+7*(6-1)+6)))</f>
        <v/>
      </c>
      <c r="AD25" s="31" t="str">
        <f>IF($AB25="","",IFERROR((SUMIFS($M$8:$M$37,$A$8:$A$37,"&gt;="&amp;$AI$18+7*(6-1),$A$8:$A$37,"&lt;="&amp;$AI$18+7*(6-1)+6)+SUMIFS('2026年10月'!$M$8:$M$38,'2026年10月'!$A$8:$A$38,"&gt;="&amp;$AI$18+7*(6-1),'2026年10月'!$A$8:$A$38,"&lt;="&amp;$AI$18+7*(6-1)+6))/(SUMIFS($O$8:$O$37,$A$8:$A$37,"&gt;="&amp;$AI$18+7*(6-1),$A$8:$A$37,"&lt;="&amp;$AI$18+7*(6-1)+6)+SUMIFS('2026年10月'!$O$8:$O$38,'2026年10月'!$A$8:$A$38,"&gt;="&amp;$AI$18+7*(6-1),'2026年10月'!$A$8:$A$38,"&lt;="&amp;$AI$18+7*(6-1)+6)),""))</f>
        <v/>
      </c>
      <c r="AE25" s="28" t="str">
        <f>IF($AB25="","",IFERROR((SUMIFS($G$8:$G$37,$A$8:$A$37,"&gt;="&amp;$AI$18+7*(6-1),$A$8:$A$37,"&lt;="&amp;$AI$18+7*(6-1)+6)+SUMIFS('2026年10月'!$G$8:$G$38,'2026年10月'!$A$8:$A$38,"&gt;="&amp;$AI$18+7*(6-1),'2026年10月'!$A$8:$A$38,"&lt;="&amp;$AI$18+7*(6-1)+6))/(SUMIFS($M$8:$M$37,$A$8:$A$37,"&gt;="&amp;$AI$18+7*(6-1),$A$8:$A$37,"&lt;="&amp;$AI$18+7*(6-1)+6)+SUMIFS('2026年10月'!$M$8:$M$38,'2026年10月'!$A$8:$A$38,"&gt;="&amp;$AI$18+7*(6-1),'2026年10月'!$A$8:$A$38,"&lt;="&amp;$AI$18+7*(6-1)+6)),""))</f>
        <v/>
      </c>
      <c r="AF25" s="43" t="str">
        <f>IF($AB25="","",IFERROR((SUMIFS($N$8:$N$37,$A$8:$A$37,"&gt;="&amp;$AI$18+7*(6-1),$A$8:$A$37,"&lt;="&amp;$AI$18+7*(6-1)+6)+SUMIFS('2026年10月'!$N$8:$N$38,'2026年10月'!$A$8:$A$38,"&gt;="&amp;$AI$18+7*(6-1),'2026年10月'!$A$8:$A$38,"&lt;="&amp;$AI$18+7*(6-1)+6))/(SUMIFS($M$8:$M$37,$A$8:$A$37,"&gt;="&amp;$AI$18+7*(6-1),$A$8:$A$37,"&lt;="&amp;$AI$18+7*(6-1)+6)+SUMIFS('2026年10月'!$M$8:$M$38,'2026年10月'!$A$8:$A$38,"&gt;="&amp;$AI$18+7*(6-1),'2026年10月'!$A$8:$A$38,"&lt;="&amp;$AI$18+7*(6-1)+6)),""))</f>
        <v/>
      </c>
      <c r="AG25" s="31" t="str">
        <f>IF($AB25="","",IFERROR((SUMIFS($P$8:$P$37,$A$8:$A$37,"&gt;="&amp;$AI$18+7*(6-1),$A$8:$A$37,"&lt;="&amp;$AI$18+7*(6-1)+6)+SUMIFS('2026年10月'!$P$8:$P$38,'2026年10月'!$A$8:$A$38,"&gt;="&amp;$AI$18+7*(6-1),'2026年10月'!$A$8:$A$38,"&lt;="&amp;$AI$18+7*(6-1)+6))/(SUMIFS($O$8:$O$37,$A$8:$A$37,"&gt;="&amp;$AI$18+7*(6-1),$A$8:$A$37,"&lt;="&amp;$AI$18+7*(6-1)+6)+SUMIFS('2026年10月'!$O$8:$O$38,'2026年10月'!$A$8:$A$38,"&gt;="&amp;$AI$18+7*(6-1),'2026年10月'!$A$8:$A$38,"&lt;="&amp;$AI$18+7*(6-1)+6)),""))</f>
        <v/>
      </c>
    </row>
    <row r="26" ht="15.75" customHeight="1">
      <c r="A26" s="14">
        <v>46284.0</v>
      </c>
      <c r="B26" s="15" t="str">
        <f t="shared" si="2"/>
        <v>土</v>
      </c>
      <c r="C26" s="49">
        <v>900000.0</v>
      </c>
      <c r="D26" s="17">
        <f t="shared" si="3"/>
        <v>14100000</v>
      </c>
      <c r="E26" s="49">
        <v>105938.0</v>
      </c>
      <c r="F26" s="49">
        <v>239384.0</v>
      </c>
      <c r="G26" s="17">
        <f t="shared" si="4"/>
        <v>345322</v>
      </c>
      <c r="H26" s="17">
        <f t="shared" si="5"/>
        <v>4443560</v>
      </c>
      <c r="I26" s="18">
        <f t="shared" ref="I26:J26" si="33">IF(G26="","",IFERROR(G26/C26,""))</f>
        <v>0.3836911111</v>
      </c>
      <c r="J26" s="18">
        <f t="shared" si="33"/>
        <v>0.3151460993</v>
      </c>
      <c r="K26" s="17">
        <f t="shared" si="7"/>
        <v>-9656440</v>
      </c>
      <c r="L26" s="19" t="str">
        <f t="shared" si="8"/>
        <v>▲ 遅れ</v>
      </c>
      <c r="M26" s="50">
        <v>16.0</v>
      </c>
      <c r="N26" s="50">
        <v>17.0</v>
      </c>
      <c r="O26" s="50">
        <v>39.0</v>
      </c>
      <c r="P26" s="50">
        <v>23.0</v>
      </c>
      <c r="Q26" s="50">
        <v>36.0</v>
      </c>
      <c r="R26" s="18">
        <f t="shared" si="9"/>
        <v>0.4102564103</v>
      </c>
      <c r="S26" s="17">
        <f t="shared" si="10"/>
        <v>21582.625</v>
      </c>
      <c r="T26" s="22">
        <f t="shared" si="11"/>
        <v>1.0625</v>
      </c>
      <c r="U26" s="18">
        <f t="shared" si="12"/>
        <v>0.5897435897</v>
      </c>
      <c r="V26" s="21"/>
      <c r="W26" s="50">
        <v>43339.0</v>
      </c>
      <c r="X26" s="16"/>
      <c r="Y26" s="24"/>
      <c r="AA26" s="39" t="s">
        <v>123</v>
      </c>
    </row>
    <row r="27" ht="15.75" customHeight="1">
      <c r="A27" s="32">
        <v>46285.0</v>
      </c>
      <c r="B27" s="23" t="str">
        <f t="shared" si="2"/>
        <v>日</v>
      </c>
      <c r="C27" s="49">
        <v>900000.0</v>
      </c>
      <c r="D27" s="25">
        <f t="shared" si="3"/>
        <v>15000000</v>
      </c>
      <c r="E27" s="49">
        <v>138850.0</v>
      </c>
      <c r="F27" s="49">
        <v>280609.0</v>
      </c>
      <c r="G27" s="25">
        <f t="shared" si="4"/>
        <v>419459</v>
      </c>
      <c r="H27" s="25">
        <f t="shared" si="5"/>
        <v>4863019</v>
      </c>
      <c r="I27" s="27">
        <f t="shared" ref="I27:J27" si="34">IF(G27="","",IFERROR(G27/C27,""))</f>
        <v>0.4660655556</v>
      </c>
      <c r="J27" s="27">
        <f t="shared" si="34"/>
        <v>0.3242012667</v>
      </c>
      <c r="K27" s="25">
        <f t="shared" si="7"/>
        <v>-10136981</v>
      </c>
      <c r="L27" s="33" t="str">
        <f t="shared" si="8"/>
        <v>▲ 遅れ</v>
      </c>
      <c r="M27" s="50">
        <v>19.0</v>
      </c>
      <c r="N27" s="50">
        <v>21.0</v>
      </c>
      <c r="O27" s="50">
        <v>32.0</v>
      </c>
      <c r="P27" s="50">
        <v>22.0</v>
      </c>
      <c r="Q27" s="50">
        <v>33.0</v>
      </c>
      <c r="R27" s="27">
        <f t="shared" si="9"/>
        <v>0.59375</v>
      </c>
      <c r="S27" s="25">
        <f t="shared" si="10"/>
        <v>22076.78947</v>
      </c>
      <c r="T27" s="34">
        <f t="shared" si="11"/>
        <v>1.105263158</v>
      </c>
      <c r="U27" s="27">
        <f t="shared" si="12"/>
        <v>0.6875</v>
      </c>
      <c r="V27" s="21"/>
      <c r="W27" s="50">
        <v>43327.0</v>
      </c>
      <c r="X27" s="16"/>
      <c r="Y27" s="24"/>
      <c r="AA27" s="39" t="s">
        <v>124</v>
      </c>
    </row>
    <row r="28" ht="15.75" customHeight="1">
      <c r="A28" s="14">
        <v>46286.0</v>
      </c>
      <c r="B28" s="15" t="str">
        <f t="shared" si="2"/>
        <v>月</v>
      </c>
      <c r="C28" s="49">
        <v>900000.0</v>
      </c>
      <c r="D28" s="17">
        <f t="shared" si="3"/>
        <v>15900000</v>
      </c>
      <c r="E28" s="49">
        <v>44508.0</v>
      </c>
      <c r="F28" s="49">
        <v>176019.0</v>
      </c>
      <c r="G28" s="17">
        <f t="shared" si="4"/>
        <v>220527</v>
      </c>
      <c r="H28" s="17">
        <f t="shared" si="5"/>
        <v>5083546</v>
      </c>
      <c r="I28" s="18">
        <f t="shared" ref="I28:J28" si="35">IF(G28="","",IFERROR(G28/C28,""))</f>
        <v>0.24503</v>
      </c>
      <c r="J28" s="18">
        <f t="shared" si="35"/>
        <v>0.3197198742</v>
      </c>
      <c r="K28" s="17">
        <f t="shared" si="7"/>
        <v>-10816454</v>
      </c>
      <c r="L28" s="19" t="str">
        <f t="shared" si="8"/>
        <v>▲ 遅れ</v>
      </c>
      <c r="M28" s="50">
        <v>8.0</v>
      </c>
      <c r="N28" s="50">
        <v>10.0</v>
      </c>
      <c r="O28" s="50">
        <v>19.0</v>
      </c>
      <c r="P28" s="50">
        <v>12.0</v>
      </c>
      <c r="Q28" s="50">
        <v>17.0</v>
      </c>
      <c r="R28" s="18">
        <f t="shared" si="9"/>
        <v>0.4210526316</v>
      </c>
      <c r="S28" s="17">
        <f t="shared" si="10"/>
        <v>27565.875</v>
      </c>
      <c r="T28" s="22">
        <f t="shared" si="11"/>
        <v>1.25</v>
      </c>
      <c r="U28" s="18">
        <f t="shared" si="12"/>
        <v>0.6315789474</v>
      </c>
      <c r="V28" s="21"/>
      <c r="W28" s="50">
        <v>43305.0</v>
      </c>
      <c r="X28" s="16"/>
      <c r="Y28" s="24"/>
      <c r="AA28" s="39" t="s">
        <v>125</v>
      </c>
    </row>
    <row r="29" ht="15.75" customHeight="1">
      <c r="A29" s="32">
        <v>46287.0</v>
      </c>
      <c r="B29" s="23" t="str">
        <f t="shared" si="2"/>
        <v>火</v>
      </c>
      <c r="C29" s="49">
        <v>900000.0</v>
      </c>
      <c r="D29" s="25">
        <f t="shared" si="3"/>
        <v>16800000</v>
      </c>
      <c r="E29" s="49">
        <v>123322.0</v>
      </c>
      <c r="F29" s="49">
        <v>223534.0</v>
      </c>
      <c r="G29" s="25">
        <f t="shared" si="4"/>
        <v>346856</v>
      </c>
      <c r="H29" s="25">
        <f t="shared" si="5"/>
        <v>5430402</v>
      </c>
      <c r="I29" s="27">
        <f t="shared" ref="I29:J29" si="36">IF(G29="","",IFERROR(G29/C29,""))</f>
        <v>0.3853955556</v>
      </c>
      <c r="J29" s="27">
        <f t="shared" si="36"/>
        <v>0.3232382143</v>
      </c>
      <c r="K29" s="25">
        <f t="shared" si="7"/>
        <v>-11369598</v>
      </c>
      <c r="L29" s="33" t="str">
        <f t="shared" si="8"/>
        <v>▲ 遅れ</v>
      </c>
      <c r="M29" s="50">
        <v>16.0</v>
      </c>
      <c r="N29" s="50">
        <v>20.0</v>
      </c>
      <c r="O29" s="50">
        <v>35.0</v>
      </c>
      <c r="P29" s="50">
        <v>17.0</v>
      </c>
      <c r="Q29" s="50">
        <v>36.0</v>
      </c>
      <c r="R29" s="27">
        <f t="shared" si="9"/>
        <v>0.4571428571</v>
      </c>
      <c r="S29" s="25">
        <f t="shared" si="10"/>
        <v>21678.5</v>
      </c>
      <c r="T29" s="34">
        <f t="shared" si="11"/>
        <v>1.25</v>
      </c>
      <c r="U29" s="27">
        <f t="shared" si="12"/>
        <v>0.4857142857</v>
      </c>
      <c r="V29" s="21"/>
      <c r="W29" s="50">
        <v>43282.0</v>
      </c>
      <c r="X29" s="16"/>
      <c r="Y29" s="24"/>
    </row>
    <row r="30" ht="15.75" customHeight="1">
      <c r="A30" s="14">
        <v>46288.0</v>
      </c>
      <c r="B30" s="15" t="str">
        <f t="shared" si="2"/>
        <v>水</v>
      </c>
      <c r="C30" s="49">
        <v>900000.0</v>
      </c>
      <c r="D30" s="17">
        <f t="shared" si="3"/>
        <v>17700000</v>
      </c>
      <c r="E30" s="49">
        <v>71930.0</v>
      </c>
      <c r="F30" s="49">
        <v>223787.0</v>
      </c>
      <c r="G30" s="17">
        <f t="shared" si="4"/>
        <v>295717</v>
      </c>
      <c r="H30" s="17">
        <f t="shared" si="5"/>
        <v>5726119</v>
      </c>
      <c r="I30" s="18">
        <f t="shared" ref="I30:J30" si="37">IF(G30="","",IFERROR(G30/C30,""))</f>
        <v>0.3285744444</v>
      </c>
      <c r="J30" s="18">
        <f t="shared" si="37"/>
        <v>0.323509548</v>
      </c>
      <c r="K30" s="17">
        <f t="shared" si="7"/>
        <v>-11973881</v>
      </c>
      <c r="L30" s="19" t="str">
        <f t="shared" si="8"/>
        <v>▲ 遅れ</v>
      </c>
      <c r="M30" s="50">
        <v>12.0</v>
      </c>
      <c r="N30" s="50">
        <v>13.0</v>
      </c>
      <c r="O30" s="50">
        <v>42.0</v>
      </c>
      <c r="P30" s="50">
        <v>15.0</v>
      </c>
      <c r="Q30" s="50">
        <v>29.0</v>
      </c>
      <c r="R30" s="18">
        <f t="shared" si="9"/>
        <v>0.2857142857</v>
      </c>
      <c r="S30" s="17">
        <f t="shared" si="10"/>
        <v>24643.08333</v>
      </c>
      <c r="T30" s="22">
        <f t="shared" si="11"/>
        <v>1.083333333</v>
      </c>
      <c r="U30" s="18">
        <f t="shared" si="12"/>
        <v>0.3571428571</v>
      </c>
      <c r="V30" s="21"/>
      <c r="W30" s="21"/>
      <c r="X30" s="16"/>
      <c r="Y30" s="24"/>
    </row>
    <row r="31" ht="15.75" customHeight="1">
      <c r="A31" s="32">
        <v>46289.0</v>
      </c>
      <c r="B31" s="23" t="str">
        <f t="shared" si="2"/>
        <v>木</v>
      </c>
      <c r="C31" s="49">
        <v>750000.0</v>
      </c>
      <c r="D31" s="25">
        <f t="shared" si="3"/>
        <v>18450000</v>
      </c>
      <c r="E31" s="49">
        <v>67778.0</v>
      </c>
      <c r="F31" s="49">
        <v>324367.0</v>
      </c>
      <c r="G31" s="25">
        <f t="shared" si="4"/>
        <v>392145</v>
      </c>
      <c r="H31" s="25">
        <f t="shared" si="5"/>
        <v>6118264</v>
      </c>
      <c r="I31" s="27">
        <f t="shared" ref="I31:J31" si="38">IF(G31="","",IFERROR(G31/C31,""))</f>
        <v>0.52286</v>
      </c>
      <c r="J31" s="27">
        <f t="shared" si="38"/>
        <v>0.3316132249</v>
      </c>
      <c r="K31" s="25">
        <f t="shared" si="7"/>
        <v>-12331736</v>
      </c>
      <c r="L31" s="33" t="str">
        <f t="shared" si="8"/>
        <v>▲ 遅れ</v>
      </c>
      <c r="M31" s="50">
        <v>15.0</v>
      </c>
      <c r="N31" s="50">
        <v>18.0</v>
      </c>
      <c r="O31" s="50">
        <v>22.0</v>
      </c>
      <c r="P31" s="50">
        <v>16.0</v>
      </c>
      <c r="Q31" s="50">
        <v>32.0</v>
      </c>
      <c r="R31" s="27">
        <f t="shared" si="9"/>
        <v>0.6818181818</v>
      </c>
      <c r="S31" s="25">
        <f t="shared" si="10"/>
        <v>26143</v>
      </c>
      <c r="T31" s="34">
        <f t="shared" si="11"/>
        <v>1.2</v>
      </c>
      <c r="U31" s="27">
        <f t="shared" si="12"/>
        <v>0.7272727273</v>
      </c>
      <c r="V31" s="21"/>
      <c r="W31" s="50">
        <v>43260.0</v>
      </c>
      <c r="X31" s="16"/>
      <c r="Y31" s="24"/>
    </row>
    <row r="32" ht="15.75" customHeight="1">
      <c r="A32" s="14">
        <v>46290.0</v>
      </c>
      <c r="B32" s="15" t="str">
        <f t="shared" si="2"/>
        <v>金</v>
      </c>
      <c r="C32" s="49">
        <v>750000.0</v>
      </c>
      <c r="D32" s="17">
        <f t="shared" si="3"/>
        <v>19200000</v>
      </c>
      <c r="E32" s="49">
        <v>82962.0</v>
      </c>
      <c r="F32" s="49">
        <v>123158.0</v>
      </c>
      <c r="G32" s="17">
        <f t="shared" si="4"/>
        <v>206120</v>
      </c>
      <c r="H32" s="17">
        <f t="shared" si="5"/>
        <v>6324384</v>
      </c>
      <c r="I32" s="18">
        <f t="shared" ref="I32:J32" si="39">IF(G32="","",IFERROR(G32/C32,""))</f>
        <v>0.2748266667</v>
      </c>
      <c r="J32" s="18">
        <f t="shared" si="39"/>
        <v>0.329395</v>
      </c>
      <c r="K32" s="17">
        <f t="shared" si="7"/>
        <v>-12875616</v>
      </c>
      <c r="L32" s="19" t="str">
        <f t="shared" si="8"/>
        <v>▲ 遅れ</v>
      </c>
      <c r="M32" s="50">
        <v>10.0</v>
      </c>
      <c r="N32" s="50">
        <v>11.0</v>
      </c>
      <c r="O32" s="50">
        <v>34.0</v>
      </c>
      <c r="P32" s="50">
        <v>15.0</v>
      </c>
      <c r="Q32" s="50">
        <v>17.0</v>
      </c>
      <c r="R32" s="18">
        <f t="shared" si="9"/>
        <v>0.2941176471</v>
      </c>
      <c r="S32" s="17">
        <f t="shared" si="10"/>
        <v>20612</v>
      </c>
      <c r="T32" s="22">
        <f t="shared" si="11"/>
        <v>1.1</v>
      </c>
      <c r="U32" s="18">
        <f t="shared" si="12"/>
        <v>0.4411764706</v>
      </c>
      <c r="V32" s="21"/>
      <c r="W32" s="50">
        <v>43252.0</v>
      </c>
      <c r="X32" s="16"/>
      <c r="Y32" s="24"/>
    </row>
    <row r="33" ht="15.75" customHeight="1">
      <c r="A33" s="32">
        <v>46291.0</v>
      </c>
      <c r="B33" s="23" t="str">
        <f t="shared" si="2"/>
        <v>土</v>
      </c>
      <c r="C33" s="49">
        <v>850000.0</v>
      </c>
      <c r="D33" s="25">
        <f t="shared" si="3"/>
        <v>20050000</v>
      </c>
      <c r="E33" s="49">
        <v>95250.0</v>
      </c>
      <c r="F33" s="49">
        <v>283748.0</v>
      </c>
      <c r="G33" s="25">
        <f t="shared" si="4"/>
        <v>378998</v>
      </c>
      <c r="H33" s="25">
        <f t="shared" si="5"/>
        <v>6703382</v>
      </c>
      <c r="I33" s="27">
        <f t="shared" ref="I33:J33" si="40">IF(G33="","",IFERROR(G33/C33,""))</f>
        <v>0.44588</v>
      </c>
      <c r="J33" s="27">
        <f t="shared" si="40"/>
        <v>0.3343332668</v>
      </c>
      <c r="K33" s="25">
        <f t="shared" si="7"/>
        <v>-13346618</v>
      </c>
      <c r="L33" s="33" t="str">
        <f t="shared" si="8"/>
        <v>▲ 遅れ</v>
      </c>
      <c r="M33" s="50">
        <v>17.0</v>
      </c>
      <c r="N33" s="50">
        <v>17.0</v>
      </c>
      <c r="O33" s="50">
        <v>27.0</v>
      </c>
      <c r="P33" s="50">
        <v>19.0</v>
      </c>
      <c r="Q33" s="50">
        <v>32.0</v>
      </c>
      <c r="R33" s="27">
        <f t="shared" si="9"/>
        <v>0.6296296296</v>
      </c>
      <c r="S33" s="25">
        <f t="shared" si="10"/>
        <v>22294</v>
      </c>
      <c r="T33" s="34">
        <f t="shared" si="11"/>
        <v>1</v>
      </c>
      <c r="U33" s="27">
        <f t="shared" si="12"/>
        <v>0.7037037037</v>
      </c>
      <c r="V33" s="21"/>
      <c r="W33" s="50">
        <v>43244.0</v>
      </c>
      <c r="X33" s="16"/>
      <c r="Y33" s="24"/>
    </row>
    <row r="34" ht="15.75" customHeight="1">
      <c r="A34" s="14">
        <v>46292.0</v>
      </c>
      <c r="B34" s="15" t="str">
        <f t="shared" si="2"/>
        <v>日</v>
      </c>
      <c r="C34" s="49">
        <v>900000.0</v>
      </c>
      <c r="D34" s="17">
        <f t="shared" si="3"/>
        <v>20950000</v>
      </c>
      <c r="E34" s="49">
        <v>75130.0</v>
      </c>
      <c r="F34" s="49">
        <v>346015.0</v>
      </c>
      <c r="G34" s="17">
        <f t="shared" si="4"/>
        <v>421145</v>
      </c>
      <c r="H34" s="17">
        <f t="shared" si="5"/>
        <v>7124527</v>
      </c>
      <c r="I34" s="18">
        <f t="shared" ref="I34:J34" si="41">IF(G34="","",IFERROR(G34/C34,""))</f>
        <v>0.4679388889</v>
      </c>
      <c r="J34" s="18">
        <f t="shared" si="41"/>
        <v>0.3400728878</v>
      </c>
      <c r="K34" s="17">
        <f t="shared" si="7"/>
        <v>-13825473</v>
      </c>
      <c r="L34" s="19" t="str">
        <f t="shared" si="8"/>
        <v>▲ 遅れ</v>
      </c>
      <c r="M34" s="50">
        <v>17.0</v>
      </c>
      <c r="N34" s="50">
        <v>20.0</v>
      </c>
      <c r="O34" s="50">
        <v>37.0</v>
      </c>
      <c r="P34" s="50">
        <v>24.0</v>
      </c>
      <c r="Q34" s="50">
        <v>36.0</v>
      </c>
      <c r="R34" s="18">
        <f t="shared" si="9"/>
        <v>0.4594594595</v>
      </c>
      <c r="S34" s="17">
        <f t="shared" si="10"/>
        <v>24773.23529</v>
      </c>
      <c r="T34" s="22">
        <f t="shared" si="11"/>
        <v>1.176470588</v>
      </c>
      <c r="U34" s="18">
        <f t="shared" si="12"/>
        <v>0.6486486486</v>
      </c>
      <c r="V34" s="21"/>
      <c r="W34" s="50">
        <v>43226.0</v>
      </c>
      <c r="X34" s="16"/>
      <c r="Y34" s="24"/>
    </row>
    <row r="35" ht="15.75" customHeight="1">
      <c r="A35" s="32">
        <v>46293.0</v>
      </c>
      <c r="B35" s="23" t="str">
        <f t="shared" si="2"/>
        <v>月</v>
      </c>
      <c r="C35" s="49">
        <v>750000.0</v>
      </c>
      <c r="D35" s="25">
        <f t="shared" si="3"/>
        <v>21700000</v>
      </c>
      <c r="E35" s="49">
        <v>26510.0</v>
      </c>
      <c r="F35" s="49">
        <v>123016.0</v>
      </c>
      <c r="G35" s="25">
        <f t="shared" si="4"/>
        <v>149526</v>
      </c>
      <c r="H35" s="25">
        <f t="shared" si="5"/>
        <v>7274053</v>
      </c>
      <c r="I35" s="27">
        <f t="shared" ref="I35:J35" si="42">IF(G35="","",IFERROR(G35/C35,""))</f>
        <v>0.199368</v>
      </c>
      <c r="J35" s="27">
        <f t="shared" si="42"/>
        <v>0.3352098157</v>
      </c>
      <c r="K35" s="25">
        <f t="shared" si="7"/>
        <v>-14425947</v>
      </c>
      <c r="L35" s="33" t="str">
        <f t="shared" si="8"/>
        <v>▲ 遅れ</v>
      </c>
      <c r="M35" s="50">
        <v>6.0</v>
      </c>
      <c r="N35" s="50">
        <v>6.0</v>
      </c>
      <c r="O35" s="50">
        <v>27.0</v>
      </c>
      <c r="P35" s="50">
        <v>11.0</v>
      </c>
      <c r="Q35" s="50">
        <v>14.0</v>
      </c>
      <c r="R35" s="27">
        <f t="shared" si="9"/>
        <v>0.2222222222</v>
      </c>
      <c r="S35" s="25">
        <f t="shared" si="10"/>
        <v>24921</v>
      </c>
      <c r="T35" s="34">
        <f t="shared" si="11"/>
        <v>1</v>
      </c>
      <c r="U35" s="27">
        <f t="shared" si="12"/>
        <v>0.4074074074</v>
      </c>
      <c r="V35" s="21"/>
      <c r="W35" s="50">
        <v>43205.0</v>
      </c>
      <c r="X35" s="16"/>
      <c r="Y35" s="24"/>
    </row>
    <row r="36" ht="15.75" customHeight="1">
      <c r="A36" s="14">
        <v>46294.0</v>
      </c>
      <c r="B36" s="15" t="str">
        <f t="shared" si="2"/>
        <v>火</v>
      </c>
      <c r="C36" s="49">
        <v>750000.0</v>
      </c>
      <c r="D36" s="17">
        <f t="shared" si="3"/>
        <v>22450000</v>
      </c>
      <c r="E36" s="49">
        <v>41910.0</v>
      </c>
      <c r="F36" s="49">
        <v>171948.0</v>
      </c>
      <c r="G36" s="17">
        <f t="shared" si="4"/>
        <v>213858</v>
      </c>
      <c r="H36" s="17">
        <f t="shared" si="5"/>
        <v>7487911</v>
      </c>
      <c r="I36" s="18">
        <f t="shared" ref="I36:J36" si="43">IF(G36="","",IFERROR(G36/C36,""))</f>
        <v>0.285144</v>
      </c>
      <c r="J36" s="18">
        <f t="shared" si="43"/>
        <v>0.3335372383</v>
      </c>
      <c r="K36" s="17">
        <f t="shared" si="7"/>
        <v>-14962089</v>
      </c>
      <c r="L36" s="19" t="str">
        <f t="shared" si="8"/>
        <v>▲ 遅れ</v>
      </c>
      <c r="M36" s="50">
        <v>8.0</v>
      </c>
      <c r="N36" s="50">
        <v>10.0</v>
      </c>
      <c r="O36" s="50">
        <v>34.0</v>
      </c>
      <c r="P36" s="50">
        <v>14.0</v>
      </c>
      <c r="Q36" s="50">
        <v>16.0</v>
      </c>
      <c r="R36" s="18">
        <f t="shared" si="9"/>
        <v>0.2352941176</v>
      </c>
      <c r="S36" s="17">
        <f t="shared" si="10"/>
        <v>26732.25</v>
      </c>
      <c r="T36" s="22">
        <f t="shared" si="11"/>
        <v>1.25</v>
      </c>
      <c r="U36" s="18">
        <f t="shared" si="12"/>
        <v>0.4117647059</v>
      </c>
      <c r="V36" s="21"/>
      <c r="W36" s="50">
        <v>43197.0</v>
      </c>
      <c r="X36" s="16"/>
      <c r="Y36" s="24"/>
    </row>
    <row r="37" ht="15.75" customHeight="1">
      <c r="A37" s="32">
        <v>46295.0</v>
      </c>
      <c r="B37" s="23" t="str">
        <f t="shared" si="2"/>
        <v>水</v>
      </c>
      <c r="C37" s="49">
        <v>750000.0</v>
      </c>
      <c r="D37" s="25">
        <f t="shared" si="3"/>
        <v>23200000</v>
      </c>
      <c r="E37" s="49">
        <v>30800.0</v>
      </c>
      <c r="F37" s="49">
        <v>282465.0</v>
      </c>
      <c r="G37" s="25">
        <f t="shared" si="4"/>
        <v>313265</v>
      </c>
      <c r="H37" s="25">
        <f t="shared" si="5"/>
        <v>7801176</v>
      </c>
      <c r="I37" s="27">
        <f t="shared" ref="I37:J37" si="44">IF(G37="","",IFERROR(G37/C37,""))</f>
        <v>0.4176866667</v>
      </c>
      <c r="J37" s="27">
        <f t="shared" si="44"/>
        <v>0.3362575862</v>
      </c>
      <c r="K37" s="25">
        <f t="shared" si="7"/>
        <v>-15398824</v>
      </c>
      <c r="L37" s="33" t="str">
        <f t="shared" si="8"/>
        <v>▲ 遅れ</v>
      </c>
      <c r="M37" s="50">
        <v>11.0</v>
      </c>
      <c r="N37" s="50">
        <v>15.0</v>
      </c>
      <c r="O37" s="50">
        <v>25.0</v>
      </c>
      <c r="P37" s="50">
        <v>14.0</v>
      </c>
      <c r="Q37" s="50">
        <v>28.0</v>
      </c>
      <c r="R37" s="27">
        <f t="shared" si="9"/>
        <v>0.44</v>
      </c>
      <c r="S37" s="25">
        <f t="shared" si="10"/>
        <v>28478.63636</v>
      </c>
      <c r="T37" s="34">
        <f t="shared" si="11"/>
        <v>1.363636364</v>
      </c>
      <c r="U37" s="27">
        <f t="shared" si="12"/>
        <v>0.56</v>
      </c>
      <c r="V37" s="21"/>
      <c r="W37" s="50">
        <v>43191.0</v>
      </c>
      <c r="X37" s="16"/>
      <c r="Y37" s="24"/>
    </row>
    <row r="38" ht="15.75" customHeight="1">
      <c r="A38" s="45" t="s">
        <v>97</v>
      </c>
      <c r="B38" s="35"/>
      <c r="C38" s="36">
        <f>SUM(C8:C37)</f>
        <v>23200000</v>
      </c>
      <c r="D38" s="36">
        <f>C38</f>
        <v>23200000</v>
      </c>
      <c r="E38" s="36">
        <f t="shared" ref="E38:G38" si="45">SUM(E8:E37)</f>
        <v>1683628</v>
      </c>
      <c r="F38" s="36">
        <f t="shared" si="45"/>
        <v>6117548</v>
      </c>
      <c r="G38" s="36">
        <f t="shared" si="45"/>
        <v>7801176</v>
      </c>
      <c r="H38" s="36">
        <f>G38</f>
        <v>7801176</v>
      </c>
      <c r="I38" s="37">
        <f>IFERROR(G38/C38,"")</f>
        <v>0.3362575862</v>
      </c>
      <c r="J38" s="37">
        <f>IFERROR(G38/C38,"")</f>
        <v>0.3362575862</v>
      </c>
      <c r="K38" s="36">
        <f>G38-C38</f>
        <v>-15398824</v>
      </c>
      <c r="L38" s="46"/>
      <c r="M38" s="38">
        <f t="shared" ref="M38:Q38" si="46">SUM(M8:M37)</f>
        <v>333</v>
      </c>
      <c r="N38" s="38">
        <f t="shared" si="46"/>
        <v>369</v>
      </c>
      <c r="O38" s="38">
        <f t="shared" si="46"/>
        <v>851</v>
      </c>
      <c r="P38" s="38">
        <f t="shared" si="46"/>
        <v>440</v>
      </c>
      <c r="Q38" s="38">
        <f t="shared" si="46"/>
        <v>759</v>
      </c>
      <c r="R38" s="37">
        <f t="shared" si="9"/>
        <v>0.3913043478</v>
      </c>
      <c r="S38" s="36">
        <f t="shared" si="10"/>
        <v>23426.95495</v>
      </c>
      <c r="T38" s="47">
        <f t="shared" si="11"/>
        <v>1.108108108</v>
      </c>
      <c r="U38" s="37">
        <f t="shared" si="12"/>
        <v>0.5170387779</v>
      </c>
      <c r="V38" s="38">
        <f>SUM(V8:V37)</f>
        <v>0</v>
      </c>
      <c r="W38" s="38">
        <f>IFERROR(LOOKUP(9.99E+307,W8:W37),"")</f>
        <v>43191</v>
      </c>
      <c r="X38" s="36">
        <f>SUM(X8:X37)</f>
        <v>0</v>
      </c>
      <c r="Y38" s="48" t="s">
        <v>107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7">
    <cfRule type="expression" dxfId="0" priority="1">
      <formula>AND($G8&lt;&gt;"",$K8&gt;=0)</formula>
    </cfRule>
  </conditionalFormatting>
  <conditionalFormatting sqref="K8:K37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111</v>
      </c>
      <c r="H3" s="6"/>
      <c r="I3" s="5" t="s">
        <v>8</v>
      </c>
      <c r="J3" s="6"/>
      <c r="K3" s="5" t="s">
        <v>9</v>
      </c>
      <c r="L3" s="6"/>
    </row>
    <row r="4">
      <c r="A4" s="7">
        <f>IF('設定'!$B$14="",SUM(C8:C38),'設定'!$B$14)</f>
        <v>19000000</v>
      </c>
      <c r="B4" s="6"/>
      <c r="C4" s="8">
        <f>SUM(G8:G38)</f>
        <v>5177709</v>
      </c>
      <c r="D4" s="6"/>
      <c r="E4" s="9">
        <f>IFERROR(C4/A4,0)</f>
        <v>0.272511</v>
      </c>
      <c r="F4" s="6"/>
      <c r="G4" s="10">
        <f>COUNTIF(G8:G38,"&gt;0")</f>
        <v>18</v>
      </c>
      <c r="H4" s="6"/>
      <c r="I4" s="8">
        <f>A4-C4</f>
        <v>13822291</v>
      </c>
      <c r="J4" s="6"/>
      <c r="K4" s="8">
        <f>IF((31-G4)&gt;0,(A4-C4)/(31-G4),0)</f>
        <v>1063253.154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SUM(C8:C38)</f>
        <v>0</v>
      </c>
      <c r="B6" s="6"/>
      <c r="C6" s="8">
        <f>IFERROR(C4/G4*31,0)</f>
        <v>8917165.5</v>
      </c>
      <c r="D6" s="6"/>
      <c r="E6" s="9">
        <f>IFERROR(M39/O39,0)</f>
        <v>0.37</v>
      </c>
      <c r="F6" s="6"/>
      <c r="G6" s="8">
        <f>IFERROR(G39/M39,0)</f>
        <v>23323.01351</v>
      </c>
      <c r="H6" s="6"/>
      <c r="I6" s="11">
        <f>IFERROR(N39/M39,0)</f>
        <v>1.171171171</v>
      </c>
      <c r="J6" s="6"/>
      <c r="K6" s="9">
        <f>IFERROR(P39/O39,0)</f>
        <v>0.4916666667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46296.0</v>
      </c>
      <c r="B8" s="15" t="str">
        <f t="shared" ref="B8:B38" si="2">MID("日月火水木金土",WEEKDAY(A8),1)</f>
        <v>木</v>
      </c>
      <c r="C8" s="16"/>
      <c r="D8" s="17">
        <f t="shared" ref="D8:D38" si="3">SUM($C$8:C8)</f>
        <v>0</v>
      </c>
      <c r="E8" s="49">
        <v>26620.0</v>
      </c>
      <c r="F8" s="49">
        <v>24310.0</v>
      </c>
      <c r="G8" s="17">
        <f t="shared" ref="G8:G38" si="4">IF(COUNT(E8:F8)=0,"",SUM(E8:F8))</f>
        <v>50930</v>
      </c>
      <c r="H8" s="17">
        <f t="shared" ref="H8:H38" si="5">IF(G8="","",SUM($G$8:G8))</f>
        <v>50930</v>
      </c>
      <c r="I8" s="18" t="str">
        <f t="shared" ref="I8:J8" si="1">IF(G8="","",IFERROR(G8/C8,""))</f>
        <v/>
      </c>
      <c r="J8" s="18" t="str">
        <f t="shared" si="1"/>
        <v/>
      </c>
      <c r="K8" s="17" t="str">
        <f t="shared" ref="K8:K38" si="7">IF(H8="","",IF(D8=0,"",H8-D8))</f>
        <v/>
      </c>
      <c r="L8" s="19" t="str">
        <f t="shared" ref="L8:L38" si="8">IF(G8="","—",IF(D8=0,"予算未入力",IF(H8&gt;=D8,"◎ ペース内","▲ 遅れ")))</f>
        <v>予算未入力</v>
      </c>
      <c r="M8" s="50">
        <v>2.0</v>
      </c>
      <c r="N8" s="50">
        <v>3.0</v>
      </c>
      <c r="O8" s="50">
        <v>25.0</v>
      </c>
      <c r="P8" s="50">
        <v>9.0</v>
      </c>
      <c r="Q8" s="50">
        <v>12.0</v>
      </c>
      <c r="R8" s="18">
        <f t="shared" ref="R8:R39" si="9">IFERROR(M8/O8,"")</f>
        <v>0.08</v>
      </c>
      <c r="S8" s="17">
        <f t="shared" ref="S8:S39" si="10">IFERROR(G8/M8,"")</f>
        <v>25465</v>
      </c>
      <c r="T8" s="22">
        <f t="shared" ref="T8:T39" si="11">IFERROR(N8/M8,"")</f>
        <v>1.5</v>
      </c>
      <c r="U8" s="18">
        <f t="shared" ref="U8:U39" si="12">IFERROR(P8/O8,"")</f>
        <v>0.36</v>
      </c>
      <c r="V8" s="21"/>
      <c r="W8" s="50">
        <v>43184.0</v>
      </c>
      <c r="X8" s="16"/>
      <c r="Y8" s="24"/>
      <c r="AA8" s="26" t="s">
        <v>48</v>
      </c>
      <c r="AB8" s="28">
        <f t="shared" ref="AB8:AB14" si="13">IFERROR(AVERAGEIFS($G$8:$G$38,$B$8:$B$38,AA8,$G$8:$G$38,"&gt;0"),0)</f>
        <v>198689</v>
      </c>
      <c r="AC8" s="30">
        <f t="shared" ref="AC8:AC14" si="14">COUNTIFS($B$8:$B$38,AA8,$G$8:$G$38,"&gt;0")</f>
        <v>2</v>
      </c>
      <c r="AD8" s="31">
        <f t="shared" ref="AD8:AD14" si="15">IFERROR(SUMIF($B$8:$B$38,AA8,$M$8:$M$38)/SUMIF($B$8:$B$38,AA8,$O$8:$O$38),0)</f>
        <v>0.3064516129</v>
      </c>
      <c r="AE8" s="28">
        <f t="shared" ref="AE8:AE14" si="16">IFERROR(SUMIF($B$8:$B$38,AA8,$G$8:$G$38)/SUMIF($B$8:$B$38,AA8,$M$8:$M$38),0)</f>
        <v>20914.63158</v>
      </c>
    </row>
    <row r="9">
      <c r="A9" s="32">
        <v>46297.0</v>
      </c>
      <c r="B9" s="23" t="str">
        <f t="shared" si="2"/>
        <v>金</v>
      </c>
      <c r="C9" s="16"/>
      <c r="D9" s="25">
        <f t="shared" si="3"/>
        <v>0</v>
      </c>
      <c r="E9" s="49">
        <v>81620.0</v>
      </c>
      <c r="F9" s="49">
        <v>236943.0</v>
      </c>
      <c r="G9" s="25">
        <f t="shared" si="4"/>
        <v>318563</v>
      </c>
      <c r="H9" s="25">
        <f t="shared" si="5"/>
        <v>369493</v>
      </c>
      <c r="I9" s="27" t="str">
        <f t="shared" ref="I9:J9" si="6">IF(G9="","",IFERROR(G9/C9,""))</f>
        <v/>
      </c>
      <c r="J9" s="27" t="str">
        <f t="shared" si="6"/>
        <v/>
      </c>
      <c r="K9" s="25" t="str">
        <f t="shared" si="7"/>
        <v/>
      </c>
      <c r="L9" s="33" t="str">
        <f t="shared" si="8"/>
        <v>予算未入力</v>
      </c>
      <c r="M9" s="50">
        <v>13.0</v>
      </c>
      <c r="N9" s="50">
        <v>17.0</v>
      </c>
      <c r="O9" s="50">
        <v>34.0</v>
      </c>
      <c r="P9" s="50">
        <v>16.0</v>
      </c>
      <c r="Q9" s="50">
        <v>31.0</v>
      </c>
      <c r="R9" s="27">
        <f t="shared" si="9"/>
        <v>0.3823529412</v>
      </c>
      <c r="S9" s="25">
        <f t="shared" si="10"/>
        <v>24504.84615</v>
      </c>
      <c r="T9" s="34">
        <f t="shared" si="11"/>
        <v>1.307692308</v>
      </c>
      <c r="U9" s="27">
        <f t="shared" si="12"/>
        <v>0.4705882353</v>
      </c>
      <c r="V9" s="21"/>
      <c r="W9" s="50">
        <v>43168.0</v>
      </c>
      <c r="X9" s="16"/>
      <c r="Y9" s="24"/>
      <c r="AA9" s="26" t="s">
        <v>58</v>
      </c>
      <c r="AB9" s="28">
        <f t="shared" si="13"/>
        <v>278381.5</v>
      </c>
      <c r="AC9" s="30">
        <f t="shared" si="14"/>
        <v>2</v>
      </c>
      <c r="AD9" s="31">
        <f t="shared" si="15"/>
        <v>0.32</v>
      </c>
      <c r="AE9" s="28">
        <f t="shared" si="16"/>
        <v>23198.45833</v>
      </c>
    </row>
    <row r="10">
      <c r="A10" s="14">
        <v>46298.0</v>
      </c>
      <c r="B10" s="15" t="str">
        <f t="shared" si="2"/>
        <v>土</v>
      </c>
      <c r="C10" s="16"/>
      <c r="D10" s="17">
        <f t="shared" si="3"/>
        <v>0</v>
      </c>
      <c r="E10" s="49">
        <v>48620.0</v>
      </c>
      <c r="F10" s="49">
        <v>272146.0</v>
      </c>
      <c r="G10" s="17">
        <f t="shared" si="4"/>
        <v>320766</v>
      </c>
      <c r="H10" s="17">
        <f t="shared" si="5"/>
        <v>690259</v>
      </c>
      <c r="I10" s="18" t="str">
        <f t="shared" ref="I10:J10" si="17">IF(G10="","",IFERROR(G10/C10,""))</f>
        <v/>
      </c>
      <c r="J10" s="18" t="str">
        <f t="shared" si="17"/>
        <v/>
      </c>
      <c r="K10" s="17" t="str">
        <f t="shared" si="7"/>
        <v/>
      </c>
      <c r="L10" s="19" t="str">
        <f t="shared" si="8"/>
        <v>予算未入力</v>
      </c>
      <c r="M10" s="50">
        <v>14.0</v>
      </c>
      <c r="N10" s="50">
        <v>14.0</v>
      </c>
      <c r="O10" s="50">
        <v>36.0</v>
      </c>
      <c r="P10" s="50">
        <v>19.0</v>
      </c>
      <c r="Q10" s="50">
        <v>29.0</v>
      </c>
      <c r="R10" s="18">
        <f t="shared" si="9"/>
        <v>0.3888888889</v>
      </c>
      <c r="S10" s="17">
        <f t="shared" si="10"/>
        <v>22911.85714</v>
      </c>
      <c r="T10" s="22">
        <f t="shared" si="11"/>
        <v>1</v>
      </c>
      <c r="U10" s="18">
        <f t="shared" si="12"/>
        <v>0.5277777778</v>
      </c>
      <c r="V10" s="21"/>
      <c r="W10" s="50">
        <v>43154.0</v>
      </c>
      <c r="X10" s="16"/>
      <c r="Y10" s="24"/>
      <c r="AA10" s="26" t="s">
        <v>61</v>
      </c>
      <c r="AB10" s="28">
        <f t="shared" si="13"/>
        <v>244144</v>
      </c>
      <c r="AC10" s="30">
        <f t="shared" si="14"/>
        <v>2</v>
      </c>
      <c r="AD10" s="31">
        <f t="shared" si="15"/>
        <v>0.3606557377</v>
      </c>
      <c r="AE10" s="28">
        <f t="shared" si="16"/>
        <v>22194.90909</v>
      </c>
    </row>
    <row r="11">
      <c r="A11" s="32">
        <v>46299.0</v>
      </c>
      <c r="B11" s="23" t="str">
        <f t="shared" si="2"/>
        <v>日</v>
      </c>
      <c r="C11" s="16"/>
      <c r="D11" s="25">
        <f t="shared" si="3"/>
        <v>0</v>
      </c>
      <c r="E11" s="49">
        <v>20542.0</v>
      </c>
      <c r="F11" s="49">
        <v>244411.0</v>
      </c>
      <c r="G11" s="25">
        <f t="shared" si="4"/>
        <v>264953</v>
      </c>
      <c r="H11" s="25">
        <f t="shared" si="5"/>
        <v>955212</v>
      </c>
      <c r="I11" s="27" t="str">
        <f t="shared" ref="I11:J11" si="18">IF(G11="","",IFERROR(G11/C11,""))</f>
        <v/>
      </c>
      <c r="J11" s="27" t="str">
        <f t="shared" si="18"/>
        <v/>
      </c>
      <c r="K11" s="25" t="str">
        <f t="shared" si="7"/>
        <v/>
      </c>
      <c r="L11" s="33" t="str">
        <f t="shared" si="8"/>
        <v>予算未入力</v>
      </c>
      <c r="M11" s="50">
        <v>12.0</v>
      </c>
      <c r="N11" s="50">
        <v>12.0</v>
      </c>
      <c r="O11" s="50">
        <v>28.0</v>
      </c>
      <c r="P11" s="50">
        <v>15.0</v>
      </c>
      <c r="Q11" s="50">
        <v>24.0</v>
      </c>
      <c r="R11" s="27">
        <f t="shared" si="9"/>
        <v>0.4285714286</v>
      </c>
      <c r="S11" s="25">
        <f t="shared" si="10"/>
        <v>22079.41667</v>
      </c>
      <c r="T11" s="34">
        <f t="shared" si="11"/>
        <v>1</v>
      </c>
      <c r="U11" s="27">
        <f t="shared" si="12"/>
        <v>0.5357142857</v>
      </c>
      <c r="V11" s="21"/>
      <c r="W11" s="50">
        <v>43149.0</v>
      </c>
      <c r="X11" s="16"/>
      <c r="Y11" s="24"/>
      <c r="AA11" s="26" t="s">
        <v>64</v>
      </c>
      <c r="AB11" s="28">
        <f t="shared" si="13"/>
        <v>222705.3333</v>
      </c>
      <c r="AC11" s="30">
        <f t="shared" si="14"/>
        <v>3</v>
      </c>
      <c r="AD11" s="31">
        <f t="shared" si="15"/>
        <v>0.3294117647</v>
      </c>
      <c r="AE11" s="28">
        <f t="shared" si="16"/>
        <v>23861.28571</v>
      </c>
    </row>
    <row r="12">
      <c r="A12" s="14">
        <v>46300.0</v>
      </c>
      <c r="B12" s="15" t="str">
        <f t="shared" si="2"/>
        <v>月</v>
      </c>
      <c r="C12" s="16"/>
      <c r="D12" s="17">
        <f t="shared" si="3"/>
        <v>0</v>
      </c>
      <c r="E12" s="49">
        <v>24310.0</v>
      </c>
      <c r="F12" s="49">
        <v>173524.0</v>
      </c>
      <c r="G12" s="17">
        <f t="shared" si="4"/>
        <v>197834</v>
      </c>
      <c r="H12" s="17">
        <f t="shared" si="5"/>
        <v>1153046</v>
      </c>
      <c r="I12" s="18" t="str">
        <f t="shared" ref="I12:J12" si="19">IF(G12="","",IFERROR(G12/C12,""))</f>
        <v/>
      </c>
      <c r="J12" s="18" t="str">
        <f t="shared" si="19"/>
        <v/>
      </c>
      <c r="K12" s="17" t="str">
        <f t="shared" si="7"/>
        <v/>
      </c>
      <c r="L12" s="19" t="str">
        <f t="shared" si="8"/>
        <v>予算未入力</v>
      </c>
      <c r="M12" s="50">
        <v>10.0</v>
      </c>
      <c r="N12" s="50">
        <v>11.0</v>
      </c>
      <c r="O12" s="50">
        <v>27.0</v>
      </c>
      <c r="P12" s="50">
        <v>14.0</v>
      </c>
      <c r="Q12" s="50">
        <v>28.0</v>
      </c>
      <c r="R12" s="18">
        <f t="shared" si="9"/>
        <v>0.3703703704</v>
      </c>
      <c r="S12" s="17">
        <f t="shared" si="10"/>
        <v>19783.4</v>
      </c>
      <c r="T12" s="22">
        <f t="shared" si="11"/>
        <v>1.1</v>
      </c>
      <c r="U12" s="18">
        <f t="shared" si="12"/>
        <v>0.5185185185</v>
      </c>
      <c r="V12" s="21"/>
      <c r="W12" s="50">
        <v>43142.0</v>
      </c>
      <c r="X12" s="16"/>
      <c r="Y12" s="24"/>
      <c r="AA12" s="26" t="s">
        <v>67</v>
      </c>
      <c r="AB12" s="28">
        <f t="shared" si="13"/>
        <v>177712.6667</v>
      </c>
      <c r="AC12" s="30">
        <f t="shared" si="14"/>
        <v>3</v>
      </c>
      <c r="AD12" s="31">
        <f t="shared" si="15"/>
        <v>0.2837837838</v>
      </c>
      <c r="AE12" s="28">
        <f t="shared" si="16"/>
        <v>25387.52381</v>
      </c>
    </row>
    <row r="13">
      <c r="A13" s="32">
        <v>46301.0</v>
      </c>
      <c r="B13" s="23" t="str">
        <f t="shared" si="2"/>
        <v>火</v>
      </c>
      <c r="C13" s="16"/>
      <c r="D13" s="25">
        <f t="shared" si="3"/>
        <v>0</v>
      </c>
      <c r="E13" s="49">
        <v>87566.0</v>
      </c>
      <c r="F13" s="49">
        <v>200858.0</v>
      </c>
      <c r="G13" s="25">
        <f t="shared" si="4"/>
        <v>288424</v>
      </c>
      <c r="H13" s="25">
        <f t="shared" si="5"/>
        <v>1441470</v>
      </c>
      <c r="I13" s="27" t="str">
        <f t="shared" ref="I13:J13" si="20">IF(G13="","",IFERROR(G13/C13,""))</f>
        <v/>
      </c>
      <c r="J13" s="27" t="str">
        <f t="shared" si="20"/>
        <v/>
      </c>
      <c r="K13" s="25" t="str">
        <f t="shared" si="7"/>
        <v/>
      </c>
      <c r="L13" s="33" t="str">
        <f t="shared" si="8"/>
        <v>予算未入力</v>
      </c>
      <c r="M13" s="50">
        <v>12.0</v>
      </c>
      <c r="N13" s="50">
        <v>15.0</v>
      </c>
      <c r="O13" s="50">
        <v>47.0</v>
      </c>
      <c r="P13" s="50">
        <v>23.0</v>
      </c>
      <c r="Q13" s="50">
        <v>32.0</v>
      </c>
      <c r="R13" s="27">
        <f t="shared" si="9"/>
        <v>0.2553191489</v>
      </c>
      <c r="S13" s="25">
        <f t="shared" si="10"/>
        <v>24035.33333</v>
      </c>
      <c r="T13" s="34">
        <f t="shared" si="11"/>
        <v>1.25</v>
      </c>
      <c r="U13" s="27">
        <f t="shared" si="12"/>
        <v>0.4893617021</v>
      </c>
      <c r="V13" s="21"/>
      <c r="W13" s="50">
        <v>43141.0</v>
      </c>
      <c r="X13" s="16"/>
      <c r="Y13" s="24"/>
      <c r="AA13" s="26" t="s">
        <v>69</v>
      </c>
      <c r="AB13" s="28">
        <f t="shared" si="13"/>
        <v>455131.6667</v>
      </c>
      <c r="AC13" s="30">
        <f t="shared" si="14"/>
        <v>3</v>
      </c>
      <c r="AD13" s="31">
        <f t="shared" si="15"/>
        <v>0.4488188976</v>
      </c>
      <c r="AE13" s="28">
        <f t="shared" si="16"/>
        <v>23954.29825</v>
      </c>
    </row>
    <row r="14">
      <c r="A14" s="14">
        <v>46302.0</v>
      </c>
      <c r="B14" s="15" t="str">
        <f t="shared" si="2"/>
        <v>水</v>
      </c>
      <c r="C14" s="16"/>
      <c r="D14" s="17">
        <f t="shared" si="3"/>
        <v>0</v>
      </c>
      <c r="E14" s="49">
        <v>46950.0</v>
      </c>
      <c r="F14" s="49">
        <v>195984.0</v>
      </c>
      <c r="G14" s="17">
        <f t="shared" si="4"/>
        <v>242934</v>
      </c>
      <c r="H14" s="17">
        <f t="shared" si="5"/>
        <v>1684404</v>
      </c>
      <c r="I14" s="18" t="str">
        <f t="shared" ref="I14:J14" si="21">IF(G14="","",IFERROR(G14/C14,""))</f>
        <v/>
      </c>
      <c r="J14" s="18" t="str">
        <f t="shared" si="21"/>
        <v/>
      </c>
      <c r="K14" s="17" t="str">
        <f t="shared" si="7"/>
        <v/>
      </c>
      <c r="L14" s="19" t="str">
        <f t="shared" si="8"/>
        <v>予算未入力</v>
      </c>
      <c r="M14" s="50">
        <v>11.0</v>
      </c>
      <c r="N14" s="50">
        <v>11.0</v>
      </c>
      <c r="O14" s="50">
        <v>30.0</v>
      </c>
      <c r="P14" s="50">
        <v>16.0</v>
      </c>
      <c r="Q14" s="50">
        <v>23.0</v>
      </c>
      <c r="R14" s="18">
        <f t="shared" si="9"/>
        <v>0.3666666667</v>
      </c>
      <c r="S14" s="17">
        <f t="shared" si="10"/>
        <v>22084.90909</v>
      </c>
      <c r="T14" s="22">
        <f t="shared" si="11"/>
        <v>1</v>
      </c>
      <c r="U14" s="18">
        <f t="shared" si="12"/>
        <v>0.5333333333</v>
      </c>
      <c r="V14" s="21"/>
      <c r="W14" s="50">
        <v>43144.0</v>
      </c>
      <c r="X14" s="16"/>
      <c r="Y14" s="24"/>
      <c r="AA14" s="26" t="s">
        <v>71</v>
      </c>
      <c r="AB14" s="28">
        <f t="shared" si="13"/>
        <v>389543.6667</v>
      </c>
      <c r="AC14" s="30">
        <f t="shared" si="14"/>
        <v>3</v>
      </c>
      <c r="AD14" s="31">
        <f t="shared" si="15"/>
        <v>0.4396551724</v>
      </c>
      <c r="AE14" s="28">
        <f t="shared" si="16"/>
        <v>22914.33333</v>
      </c>
    </row>
    <row r="15">
      <c r="A15" s="32">
        <v>46303.0</v>
      </c>
      <c r="B15" s="23" t="str">
        <f t="shared" si="2"/>
        <v>木</v>
      </c>
      <c r="C15" s="16"/>
      <c r="D15" s="25">
        <f t="shared" si="3"/>
        <v>0</v>
      </c>
      <c r="E15" s="49">
        <v>51694.0</v>
      </c>
      <c r="F15" s="49">
        <v>254504.0</v>
      </c>
      <c r="G15" s="25">
        <f t="shared" si="4"/>
        <v>306198</v>
      </c>
      <c r="H15" s="25">
        <f t="shared" si="5"/>
        <v>1990602</v>
      </c>
      <c r="I15" s="27" t="str">
        <f t="shared" ref="I15:J15" si="22">IF(G15="","",IFERROR(G15/C15,""))</f>
        <v/>
      </c>
      <c r="J15" s="27" t="str">
        <f t="shared" si="22"/>
        <v/>
      </c>
      <c r="K15" s="25" t="str">
        <f t="shared" si="7"/>
        <v/>
      </c>
      <c r="L15" s="33" t="str">
        <f t="shared" si="8"/>
        <v>予算未入力</v>
      </c>
      <c r="M15" s="50">
        <v>13.0</v>
      </c>
      <c r="N15" s="50">
        <v>16.0</v>
      </c>
      <c r="O15" s="50">
        <v>27.0</v>
      </c>
      <c r="P15" s="50">
        <v>17.0</v>
      </c>
      <c r="Q15" s="50">
        <v>35.0</v>
      </c>
      <c r="R15" s="27">
        <f t="shared" si="9"/>
        <v>0.4814814815</v>
      </c>
      <c r="S15" s="25">
        <f t="shared" si="10"/>
        <v>23553.69231</v>
      </c>
      <c r="T15" s="34">
        <f t="shared" si="11"/>
        <v>1.230769231</v>
      </c>
      <c r="U15" s="27">
        <f t="shared" si="12"/>
        <v>0.6296296296</v>
      </c>
      <c r="V15" s="21"/>
      <c r="W15" s="50">
        <v>43137.0</v>
      </c>
      <c r="X15" s="16"/>
      <c r="Y15" s="24"/>
    </row>
    <row r="16">
      <c r="A16" s="14">
        <v>46304.0</v>
      </c>
      <c r="B16" s="15" t="str">
        <f t="shared" si="2"/>
        <v>金</v>
      </c>
      <c r="C16" s="16"/>
      <c r="D16" s="17">
        <f t="shared" si="3"/>
        <v>0</v>
      </c>
      <c r="E16" s="49">
        <v>0.0</v>
      </c>
      <c r="F16" s="49">
        <v>78132.0</v>
      </c>
      <c r="G16" s="17">
        <f t="shared" si="4"/>
        <v>78132</v>
      </c>
      <c r="H16" s="17">
        <f t="shared" si="5"/>
        <v>2068734</v>
      </c>
      <c r="I16" s="18" t="str">
        <f t="shared" ref="I16:J16" si="23">IF(G16="","",IFERROR(G16/C16,""))</f>
        <v/>
      </c>
      <c r="J16" s="18" t="str">
        <f t="shared" si="23"/>
        <v/>
      </c>
      <c r="K16" s="17" t="str">
        <f t="shared" si="7"/>
        <v/>
      </c>
      <c r="L16" s="19" t="str">
        <f t="shared" si="8"/>
        <v>予算未入力</v>
      </c>
      <c r="M16" s="50">
        <v>3.0</v>
      </c>
      <c r="N16" s="50">
        <v>4.0</v>
      </c>
      <c r="O16" s="50">
        <v>26.0</v>
      </c>
      <c r="P16" s="50">
        <v>7.0</v>
      </c>
      <c r="Q16" s="50">
        <v>22.0</v>
      </c>
      <c r="R16" s="18">
        <f t="shared" si="9"/>
        <v>0.1153846154</v>
      </c>
      <c r="S16" s="17">
        <f t="shared" si="10"/>
        <v>26044</v>
      </c>
      <c r="T16" s="22">
        <f t="shared" si="11"/>
        <v>1.333333333</v>
      </c>
      <c r="U16" s="18">
        <f t="shared" si="12"/>
        <v>0.2692307692</v>
      </c>
      <c r="V16" s="21"/>
      <c r="W16" s="50">
        <v>43122.0</v>
      </c>
      <c r="X16" s="16"/>
      <c r="Y16" s="24"/>
      <c r="AA16" s="39" t="s">
        <v>75</v>
      </c>
    </row>
    <row r="17">
      <c r="A17" s="32">
        <v>46305.0</v>
      </c>
      <c r="B17" s="23" t="str">
        <f t="shared" si="2"/>
        <v>土</v>
      </c>
      <c r="C17" s="16"/>
      <c r="D17" s="25">
        <f t="shared" si="3"/>
        <v>0</v>
      </c>
      <c r="E17" s="49">
        <v>153380.0</v>
      </c>
      <c r="F17" s="49">
        <v>673695.0</v>
      </c>
      <c r="G17" s="25">
        <f t="shared" si="4"/>
        <v>827075</v>
      </c>
      <c r="H17" s="25">
        <f t="shared" si="5"/>
        <v>2895809</v>
      </c>
      <c r="I17" s="27" t="str">
        <f t="shared" ref="I17:J17" si="24">IF(G17="","",IFERROR(G17/C17,""))</f>
        <v/>
      </c>
      <c r="J17" s="27" t="str">
        <f t="shared" si="24"/>
        <v/>
      </c>
      <c r="K17" s="25" t="str">
        <f t="shared" si="7"/>
        <v/>
      </c>
      <c r="L17" s="33" t="str">
        <f t="shared" si="8"/>
        <v>予算未入力</v>
      </c>
      <c r="M17" s="50">
        <v>32.0</v>
      </c>
      <c r="N17" s="50">
        <v>44.0</v>
      </c>
      <c r="O17" s="50">
        <v>58.0</v>
      </c>
      <c r="P17" s="50">
        <v>35.0</v>
      </c>
      <c r="Q17" s="50">
        <v>58.0</v>
      </c>
      <c r="R17" s="27">
        <f t="shared" si="9"/>
        <v>0.5517241379</v>
      </c>
      <c r="S17" s="25">
        <f t="shared" si="10"/>
        <v>25846.09375</v>
      </c>
      <c r="T17" s="34">
        <f t="shared" si="11"/>
        <v>1.375</v>
      </c>
      <c r="U17" s="27">
        <f t="shared" si="12"/>
        <v>0.6034482759</v>
      </c>
      <c r="V17" s="21"/>
      <c r="W17" s="50">
        <v>43120.0</v>
      </c>
      <c r="X17" s="16"/>
      <c r="Y17" s="24"/>
    </row>
    <row r="18">
      <c r="A18" s="14">
        <v>46306.0</v>
      </c>
      <c r="B18" s="15" t="str">
        <f t="shared" si="2"/>
        <v>日</v>
      </c>
      <c r="C18" s="16"/>
      <c r="D18" s="17">
        <f t="shared" si="3"/>
        <v>0</v>
      </c>
      <c r="E18" s="49">
        <v>24320.0</v>
      </c>
      <c r="F18" s="49">
        <v>490497.0</v>
      </c>
      <c r="G18" s="17">
        <f t="shared" si="4"/>
        <v>514817</v>
      </c>
      <c r="H18" s="17">
        <f t="shared" si="5"/>
        <v>3410626</v>
      </c>
      <c r="I18" s="18" t="str">
        <f t="shared" ref="I18:J18" si="25">IF(G18="","",IFERROR(G18/C18,""))</f>
        <v/>
      </c>
      <c r="J18" s="18" t="str">
        <f t="shared" si="25"/>
        <v/>
      </c>
      <c r="K18" s="17" t="str">
        <f t="shared" si="7"/>
        <v/>
      </c>
      <c r="L18" s="19" t="str">
        <f t="shared" si="8"/>
        <v>予算未入力</v>
      </c>
      <c r="M18" s="50">
        <v>23.0</v>
      </c>
      <c r="N18" s="50">
        <v>24.0</v>
      </c>
      <c r="O18" s="50">
        <v>54.0</v>
      </c>
      <c r="P18" s="50">
        <v>28.0</v>
      </c>
      <c r="Q18" s="50">
        <v>41.0</v>
      </c>
      <c r="R18" s="18">
        <f t="shared" si="9"/>
        <v>0.4259259259</v>
      </c>
      <c r="S18" s="17">
        <f t="shared" si="10"/>
        <v>22383.34783</v>
      </c>
      <c r="T18" s="22">
        <f t="shared" si="11"/>
        <v>1.043478261</v>
      </c>
      <c r="U18" s="18">
        <f t="shared" si="12"/>
        <v>0.5185185185</v>
      </c>
      <c r="V18" s="21"/>
      <c r="W18" s="50">
        <v>43105.0</v>
      </c>
      <c r="X18" s="16"/>
      <c r="Y18" s="24"/>
      <c r="AA18" s="40" t="s">
        <v>189</v>
      </c>
      <c r="AH18" s="39" t="s">
        <v>116</v>
      </c>
      <c r="AI18" s="41">
        <f>$A$8+MOD(1-WEEKDAY($A$8,2)+7,7)</f>
        <v>46300</v>
      </c>
    </row>
    <row r="19">
      <c r="A19" s="32">
        <v>46307.0</v>
      </c>
      <c r="B19" s="23" t="str">
        <f t="shared" si="2"/>
        <v>月</v>
      </c>
      <c r="C19" s="16"/>
      <c r="D19" s="25">
        <f t="shared" si="3"/>
        <v>0</v>
      </c>
      <c r="E19" s="49">
        <v>24310.0</v>
      </c>
      <c r="F19" s="49">
        <v>175234.0</v>
      </c>
      <c r="G19" s="25">
        <f t="shared" si="4"/>
        <v>199544</v>
      </c>
      <c r="H19" s="25">
        <f t="shared" si="5"/>
        <v>3610170</v>
      </c>
      <c r="I19" s="27" t="str">
        <f t="shared" ref="I19:J19" si="26">IF(G19="","",IFERROR(G19/C19,""))</f>
        <v/>
      </c>
      <c r="J19" s="27" t="str">
        <f t="shared" si="26"/>
        <v/>
      </c>
      <c r="K19" s="25" t="str">
        <f t="shared" si="7"/>
        <v/>
      </c>
      <c r="L19" s="33" t="str">
        <f t="shared" si="8"/>
        <v>予算未入力</v>
      </c>
      <c r="M19" s="50">
        <v>9.0</v>
      </c>
      <c r="N19" s="50">
        <v>9.0</v>
      </c>
      <c r="O19" s="50">
        <v>35.0</v>
      </c>
      <c r="P19" s="50">
        <v>15.0</v>
      </c>
      <c r="Q19" s="50">
        <v>23.0</v>
      </c>
      <c r="R19" s="27">
        <f t="shared" si="9"/>
        <v>0.2571428571</v>
      </c>
      <c r="S19" s="25">
        <f t="shared" si="10"/>
        <v>22171.55556</v>
      </c>
      <c r="T19" s="34">
        <f t="shared" si="11"/>
        <v>1</v>
      </c>
      <c r="U19" s="27">
        <f t="shared" si="12"/>
        <v>0.4285714286</v>
      </c>
      <c r="V19" s="21"/>
      <c r="W19" s="50">
        <v>43091.0</v>
      </c>
      <c r="X19" s="16"/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46308.0</v>
      </c>
      <c r="B20" s="15" t="str">
        <f t="shared" si="2"/>
        <v>火</v>
      </c>
      <c r="C20" s="16"/>
      <c r="D20" s="17">
        <f t="shared" si="3"/>
        <v>0</v>
      </c>
      <c r="E20" s="49">
        <v>24310.0</v>
      </c>
      <c r="F20" s="49">
        <v>244029.0</v>
      </c>
      <c r="G20" s="17">
        <f t="shared" si="4"/>
        <v>268339</v>
      </c>
      <c r="H20" s="17">
        <f t="shared" si="5"/>
        <v>3878509</v>
      </c>
      <c r="I20" s="18" t="str">
        <f t="shared" ref="I20:J20" si="27">IF(G20="","",IFERROR(G20/C20,""))</f>
        <v/>
      </c>
      <c r="J20" s="18" t="str">
        <f t="shared" si="27"/>
        <v/>
      </c>
      <c r="K20" s="17" t="str">
        <f t="shared" si="7"/>
        <v/>
      </c>
      <c r="L20" s="19" t="str">
        <f t="shared" si="8"/>
        <v>予算未入力</v>
      </c>
      <c r="M20" s="50">
        <v>12.0</v>
      </c>
      <c r="N20" s="50">
        <v>15.0</v>
      </c>
      <c r="O20" s="50">
        <v>28.0</v>
      </c>
      <c r="P20" s="50">
        <v>16.0</v>
      </c>
      <c r="Q20" s="50">
        <v>25.0</v>
      </c>
      <c r="R20" s="18">
        <f t="shared" si="9"/>
        <v>0.4285714286</v>
      </c>
      <c r="S20" s="17">
        <f t="shared" si="10"/>
        <v>22361.58333</v>
      </c>
      <c r="T20" s="22">
        <f t="shared" si="11"/>
        <v>1.25</v>
      </c>
      <c r="U20" s="18">
        <f t="shared" si="12"/>
        <v>0.5714285714</v>
      </c>
      <c r="V20" s="21"/>
      <c r="W20" s="51">
        <v>43077.0</v>
      </c>
      <c r="X20" s="16"/>
      <c r="Y20" s="24"/>
      <c r="AA20" s="30">
        <v>1.0</v>
      </c>
      <c r="AB20" s="42" t="str">
        <f>IF($AI$18+7*(1-1)&gt;$A$38,"",TEXT($AI$18+7*(1-1),"m/d")&amp;"-"&amp;TEXT($AI$18+7*(1-1)+6,"m/d"))</f>
        <v>10/5-10/11</v>
      </c>
      <c r="AC20" s="28">
        <f>IF($AB20="","",(SUMIFS($G$8:$G$38,$A$8:$A$38,"&gt;="&amp;$AI$18+7*(1-1),$A$8:$A$38,"&lt;="&amp;$AI$18+7*(1-1)+6)+SUMIFS('2026年11月'!$G$8:$G$37,'2026年11月'!$A$8:$A$37,"&gt;="&amp;$AI$18+7*(1-1),'2026年11月'!$A$8:$A$37,"&lt;="&amp;$AI$18+7*(1-1)+6)))</f>
        <v>2455414</v>
      </c>
      <c r="AD20" s="31">
        <f>IF($AB20="","",IFERROR((SUMIFS($M$8:$M$38,$A$8:$A$38,"&gt;="&amp;$AI$18+7*(1-1),$A$8:$A$38,"&lt;="&amp;$AI$18+7*(1-1)+6)+SUMIFS('2026年11月'!$M$8:$M$37,'2026年11月'!$A$8:$A$37,"&gt;="&amp;$AI$18+7*(1-1),'2026年11月'!$A$8:$A$37,"&lt;="&amp;$AI$18+7*(1-1)+6))/(SUMIFS($O$8:$O$38,$A$8:$A$38,"&gt;="&amp;$AI$18+7*(1-1),$A$8:$A$38,"&lt;="&amp;$AI$18+7*(1-1)+6)+SUMIFS('2026年11月'!$O$8:$O$37,'2026年11月'!$A$8:$A$37,"&gt;="&amp;$AI$18+7*(1-1),'2026年11月'!$A$8:$A$37,"&lt;="&amp;$AI$18+7*(1-1)+6)),""))</f>
        <v>0.3866171004</v>
      </c>
      <c r="AE20" s="28">
        <f>IF($AB20="","",IFERROR((SUMIFS($G$8:$G$38,$A$8:$A$38,"&gt;="&amp;$AI$18+7*(1-1),$A$8:$A$38,"&lt;="&amp;$AI$18+7*(1-1)+6)+SUMIFS('2026年11月'!$G$8:$G$37,'2026年11月'!$A$8:$A$37,"&gt;="&amp;$AI$18+7*(1-1),'2026年11月'!$A$8:$A$37,"&lt;="&amp;$AI$18+7*(1-1)+6))/(SUMIFS($M$8:$M$38,$A$8:$A$38,"&gt;="&amp;$AI$18+7*(1-1),$A$8:$A$38,"&lt;="&amp;$AI$18+7*(1-1)+6)+SUMIFS('2026年11月'!$M$8:$M$37,'2026年11月'!$A$8:$A$37,"&gt;="&amp;$AI$18+7*(1-1),'2026年11月'!$A$8:$A$37,"&lt;="&amp;$AI$18+7*(1-1)+6)),""))</f>
        <v>23609.75</v>
      </c>
      <c r="AF20" s="43">
        <f>IF($AB20="","",IFERROR((SUMIFS($N$8:$N$38,$A$8:$A$38,"&gt;="&amp;$AI$18+7*(1-1),$A$8:$A$38,"&lt;="&amp;$AI$18+7*(1-1)+6)+SUMIFS('2026年11月'!$N$8:$N$37,'2026年11月'!$A$8:$A$37,"&gt;="&amp;$AI$18+7*(1-1),'2026年11月'!$A$8:$A$37,"&lt;="&amp;$AI$18+7*(1-1)+6))/(SUMIFS($M$8:$M$38,$A$8:$A$38,"&gt;="&amp;$AI$18+7*(1-1),$A$8:$A$38,"&lt;="&amp;$AI$18+7*(1-1)+6)+SUMIFS('2026年11月'!$M$8:$M$37,'2026年11月'!$A$8:$A$37,"&gt;="&amp;$AI$18+7*(1-1),'2026年11月'!$A$8:$A$37,"&lt;="&amp;$AI$18+7*(1-1)+6)),""))</f>
        <v>1.201923077</v>
      </c>
      <c r="AG20" s="31">
        <f>IF($AB20="","",IFERROR((SUMIFS($P$8:$P$38,$A$8:$A$38,"&gt;="&amp;$AI$18+7*(1-1),$A$8:$A$38,"&lt;="&amp;$AI$18+7*(1-1)+6)+SUMIFS('2026年11月'!$P$8:$P$37,'2026年11月'!$A$8:$A$37,"&gt;="&amp;$AI$18+7*(1-1),'2026年11月'!$A$8:$A$37,"&lt;="&amp;$AI$18+7*(1-1)+6))/(SUMIFS($O$8:$O$38,$A$8:$A$38,"&gt;="&amp;$AI$18+7*(1-1),$A$8:$A$38,"&lt;="&amp;$AI$18+7*(1-1)+6)+SUMIFS('2026年11月'!$O$8:$O$37,'2026年11月'!$A$8:$A$37,"&gt;="&amp;$AI$18+7*(1-1),'2026年11月'!$A$8:$A$37,"&lt;="&amp;$AI$18+7*(1-1)+6)),""))</f>
        <v>0.5204460967</v>
      </c>
    </row>
    <row r="21" ht="15.75" customHeight="1">
      <c r="A21" s="32">
        <v>46309.0</v>
      </c>
      <c r="B21" s="23" t="str">
        <f t="shared" si="2"/>
        <v>水</v>
      </c>
      <c r="C21" s="16"/>
      <c r="D21" s="25">
        <f t="shared" si="3"/>
        <v>0</v>
      </c>
      <c r="E21" s="49">
        <v>70620.0</v>
      </c>
      <c r="F21" s="49">
        <v>174734.0</v>
      </c>
      <c r="G21" s="25">
        <f t="shared" si="4"/>
        <v>245354</v>
      </c>
      <c r="H21" s="25">
        <f t="shared" si="5"/>
        <v>4123863</v>
      </c>
      <c r="I21" s="27" t="str">
        <f t="shared" ref="I21:J21" si="28">IF(G21="","",IFERROR(G21/C21,""))</f>
        <v/>
      </c>
      <c r="J21" s="27" t="str">
        <f t="shared" si="28"/>
        <v/>
      </c>
      <c r="K21" s="25" t="str">
        <f t="shared" si="7"/>
        <v/>
      </c>
      <c r="L21" s="33" t="str">
        <f t="shared" si="8"/>
        <v>予算未入力</v>
      </c>
      <c r="M21" s="50">
        <v>11.0</v>
      </c>
      <c r="N21" s="50">
        <v>13.0</v>
      </c>
      <c r="O21" s="50">
        <v>31.0</v>
      </c>
      <c r="P21" s="50">
        <v>14.0</v>
      </c>
      <c r="Q21" s="50">
        <v>24.0</v>
      </c>
      <c r="R21" s="27">
        <f t="shared" si="9"/>
        <v>0.3548387097</v>
      </c>
      <c r="S21" s="25">
        <f t="shared" si="10"/>
        <v>22304.90909</v>
      </c>
      <c r="T21" s="34">
        <f t="shared" si="11"/>
        <v>1.181818182</v>
      </c>
      <c r="U21" s="27">
        <f t="shared" si="12"/>
        <v>0.4516129032</v>
      </c>
      <c r="V21" s="21"/>
      <c r="W21" s="50">
        <v>43058.0</v>
      </c>
      <c r="X21" s="16"/>
      <c r="Y21" s="24"/>
      <c r="AA21" s="30">
        <v>2.0</v>
      </c>
      <c r="AB21" s="42" t="str">
        <f>IF($AI$18+7*(2-1)&gt;$A$38,"",TEXT($AI$18+7*(2-1),"m/d")&amp;"-"&amp;TEXT($AI$18+7*(2-1)+6,"m/d"))</f>
        <v>10/12-10/18</v>
      </c>
      <c r="AC21" s="28">
        <f>IF($AB21="","",(SUMIFS($G$8:$G$38,$A$8:$A$38,"&gt;="&amp;$AI$18+7*(2-1),$A$8:$A$38,"&lt;="&amp;$AI$18+7*(2-1)+6)+SUMIFS('2026年11月'!$G$8:$G$37,'2026年11月'!$A$8:$A$37,"&gt;="&amp;$AI$18+7*(2-1),'2026年11月'!$A$8:$A$37,"&lt;="&amp;$AI$18+7*(2-1)+6)))</f>
        <v>1767083</v>
      </c>
      <c r="AD21" s="31">
        <f>IF($AB21="","",IFERROR((SUMIFS($M$8:$M$38,$A$8:$A$38,"&gt;="&amp;$AI$18+7*(2-1),$A$8:$A$38,"&lt;="&amp;$AI$18+7*(2-1)+6)+SUMIFS('2026年11月'!$M$8:$M$37,'2026年11月'!$A$8:$A$37,"&gt;="&amp;$AI$18+7*(2-1),'2026年11月'!$A$8:$A$37,"&lt;="&amp;$AI$18+7*(2-1)+6))/(SUMIFS($O$8:$O$38,$A$8:$A$38,"&gt;="&amp;$AI$18+7*(2-1),$A$8:$A$38,"&lt;="&amp;$AI$18+7*(2-1)+6)+SUMIFS('2026年11月'!$O$8:$O$37,'2026年11月'!$A$8:$A$37,"&gt;="&amp;$AI$18+7*(2-1),'2026年11月'!$A$8:$A$37,"&lt;="&amp;$AI$18+7*(2-1)+6)),""))</f>
        <v>0.3701923077</v>
      </c>
      <c r="AE21" s="28">
        <f>IF($AB21="","",IFERROR((SUMIFS($G$8:$G$38,$A$8:$A$38,"&gt;="&amp;$AI$18+7*(2-1),$A$8:$A$38,"&lt;="&amp;$AI$18+7*(2-1)+6)+SUMIFS('2026年11月'!$G$8:$G$37,'2026年11月'!$A$8:$A$37,"&gt;="&amp;$AI$18+7*(2-1),'2026年11月'!$A$8:$A$37,"&lt;="&amp;$AI$18+7*(2-1)+6))/(SUMIFS($M$8:$M$38,$A$8:$A$38,"&gt;="&amp;$AI$18+7*(2-1),$A$8:$A$38,"&lt;="&amp;$AI$18+7*(2-1)+6)+SUMIFS('2026年11月'!$M$8:$M$37,'2026年11月'!$A$8:$A$37,"&gt;="&amp;$AI$18+7*(2-1),'2026年11月'!$A$8:$A$37,"&lt;="&amp;$AI$18+7*(2-1)+6)),""))</f>
        <v>22949.12987</v>
      </c>
      <c r="AF21" s="43">
        <f>IF($AB21="","",IFERROR((SUMIFS($N$8:$N$38,$A$8:$A$38,"&gt;="&amp;$AI$18+7*(2-1),$A$8:$A$38,"&lt;="&amp;$AI$18+7*(2-1)+6)+SUMIFS('2026年11月'!$N$8:$N$37,'2026年11月'!$A$8:$A$37,"&gt;="&amp;$AI$18+7*(2-1),'2026年11月'!$A$8:$A$37,"&lt;="&amp;$AI$18+7*(2-1)+6))/(SUMIFS($M$8:$M$38,$A$8:$A$38,"&gt;="&amp;$AI$18+7*(2-1),$A$8:$A$38,"&lt;="&amp;$AI$18+7*(2-1)+6)+SUMIFS('2026年11月'!$M$8:$M$37,'2026年11月'!$A$8:$A$37,"&gt;="&amp;$AI$18+7*(2-1),'2026年11月'!$A$8:$A$37,"&lt;="&amp;$AI$18+7*(2-1)+6)),""))</f>
        <v>1.155844156</v>
      </c>
      <c r="AG21" s="31">
        <f>IF($AB21="","",IFERROR((SUMIFS($P$8:$P$38,$A$8:$A$38,"&gt;="&amp;$AI$18+7*(2-1),$A$8:$A$38,"&lt;="&amp;$AI$18+7*(2-1)+6)+SUMIFS('2026年11月'!$P$8:$P$37,'2026年11月'!$A$8:$A$37,"&gt;="&amp;$AI$18+7*(2-1),'2026年11月'!$A$8:$A$37,"&lt;="&amp;$AI$18+7*(2-1)+6))/(SUMIFS($O$8:$O$38,$A$8:$A$38,"&gt;="&amp;$AI$18+7*(2-1),$A$8:$A$38,"&lt;="&amp;$AI$18+7*(2-1)+6)+SUMIFS('2026年11月'!$O$8:$O$37,'2026年11月'!$A$8:$A$37,"&gt;="&amp;$AI$18+7*(2-1),'2026年11月'!$A$8:$A$37,"&lt;="&amp;$AI$18+7*(2-1)+6)),""))</f>
        <v>0.4615384615</v>
      </c>
    </row>
    <row r="22" ht="15.75" customHeight="1">
      <c r="A22" s="14">
        <v>46310.0</v>
      </c>
      <c r="B22" s="15" t="str">
        <f t="shared" si="2"/>
        <v>木</v>
      </c>
      <c r="C22" s="16"/>
      <c r="D22" s="17">
        <f t="shared" si="3"/>
        <v>0</v>
      </c>
      <c r="E22" s="49">
        <v>70730.0</v>
      </c>
      <c r="F22" s="49">
        <v>240258.0</v>
      </c>
      <c r="G22" s="17">
        <f t="shared" si="4"/>
        <v>310988</v>
      </c>
      <c r="H22" s="17">
        <f t="shared" si="5"/>
        <v>4434851</v>
      </c>
      <c r="I22" s="18" t="str">
        <f t="shared" ref="I22:J22" si="29">IF(G22="","",IFERROR(G22/C22,""))</f>
        <v/>
      </c>
      <c r="J22" s="18" t="str">
        <f t="shared" si="29"/>
        <v/>
      </c>
      <c r="K22" s="17" t="str">
        <f t="shared" si="7"/>
        <v/>
      </c>
      <c r="L22" s="19" t="str">
        <f t="shared" si="8"/>
        <v>予算未入力</v>
      </c>
      <c r="M22" s="50">
        <v>13.0</v>
      </c>
      <c r="N22" s="50">
        <v>14.0</v>
      </c>
      <c r="O22" s="50">
        <v>33.0</v>
      </c>
      <c r="P22" s="50">
        <v>13.0</v>
      </c>
      <c r="Q22" s="50">
        <v>28.0</v>
      </c>
      <c r="R22" s="18">
        <f t="shared" si="9"/>
        <v>0.3939393939</v>
      </c>
      <c r="S22" s="17">
        <f t="shared" si="10"/>
        <v>23922.15385</v>
      </c>
      <c r="T22" s="22">
        <f t="shared" si="11"/>
        <v>1.076923077</v>
      </c>
      <c r="U22" s="18">
        <f t="shared" si="12"/>
        <v>0.3939393939</v>
      </c>
      <c r="V22" s="21"/>
      <c r="W22" s="50">
        <v>43048.0</v>
      </c>
      <c r="X22" s="16"/>
      <c r="Y22" s="24"/>
      <c r="AA22" s="30">
        <v>3.0</v>
      </c>
      <c r="AB22" s="42" t="str">
        <f>IF($AI$18+7*(3-1)&gt;$A$38,"",TEXT($AI$18+7*(3-1),"m/d")&amp;"-"&amp;TEXT($AI$18+7*(3-1)+6,"m/d"))</f>
        <v>10/19-10/25</v>
      </c>
      <c r="AC22" s="28">
        <f>IF($AB22="","",(SUMIFS($G$8:$G$38,$A$8:$A$38,"&gt;="&amp;$AI$18+7*(3-1),$A$8:$A$38,"&lt;="&amp;$AI$18+7*(3-1)+6)+SUMIFS('2026年11月'!$G$8:$G$37,'2026年11月'!$A$8:$A$37,"&gt;="&amp;$AI$18+7*(3-1),'2026年11月'!$A$8:$A$37,"&lt;="&amp;$AI$18+7*(3-1)+6)))</f>
        <v>0</v>
      </c>
      <c r="AD22" s="31" t="str">
        <f>IF($AB22="","",IFERROR((SUMIFS($M$8:$M$38,$A$8:$A$38,"&gt;="&amp;$AI$18+7*(3-1),$A$8:$A$38,"&lt;="&amp;$AI$18+7*(3-1)+6)+SUMIFS('2026年11月'!$M$8:$M$37,'2026年11月'!$A$8:$A$37,"&gt;="&amp;$AI$18+7*(3-1),'2026年11月'!$A$8:$A$37,"&lt;="&amp;$AI$18+7*(3-1)+6))/(SUMIFS($O$8:$O$38,$A$8:$A$38,"&gt;="&amp;$AI$18+7*(3-1),$A$8:$A$38,"&lt;="&amp;$AI$18+7*(3-1)+6)+SUMIFS('2026年11月'!$O$8:$O$37,'2026年11月'!$A$8:$A$37,"&gt;="&amp;$AI$18+7*(3-1),'2026年11月'!$A$8:$A$37,"&lt;="&amp;$AI$18+7*(3-1)+6)),""))</f>
        <v/>
      </c>
      <c r="AE22" s="28" t="str">
        <f>IF($AB22="","",IFERROR((SUMIFS($G$8:$G$38,$A$8:$A$38,"&gt;="&amp;$AI$18+7*(3-1),$A$8:$A$38,"&lt;="&amp;$AI$18+7*(3-1)+6)+SUMIFS('2026年11月'!$G$8:$G$37,'2026年11月'!$A$8:$A$37,"&gt;="&amp;$AI$18+7*(3-1),'2026年11月'!$A$8:$A$37,"&lt;="&amp;$AI$18+7*(3-1)+6))/(SUMIFS($M$8:$M$38,$A$8:$A$38,"&gt;="&amp;$AI$18+7*(3-1),$A$8:$A$38,"&lt;="&amp;$AI$18+7*(3-1)+6)+SUMIFS('2026年11月'!$M$8:$M$37,'2026年11月'!$A$8:$A$37,"&gt;="&amp;$AI$18+7*(3-1),'2026年11月'!$A$8:$A$37,"&lt;="&amp;$AI$18+7*(3-1)+6)),""))</f>
        <v/>
      </c>
      <c r="AF22" s="43" t="str">
        <f>IF($AB22="","",IFERROR((SUMIFS($N$8:$N$38,$A$8:$A$38,"&gt;="&amp;$AI$18+7*(3-1),$A$8:$A$38,"&lt;="&amp;$AI$18+7*(3-1)+6)+SUMIFS('2026年11月'!$N$8:$N$37,'2026年11月'!$A$8:$A$37,"&gt;="&amp;$AI$18+7*(3-1),'2026年11月'!$A$8:$A$37,"&lt;="&amp;$AI$18+7*(3-1)+6))/(SUMIFS($M$8:$M$38,$A$8:$A$38,"&gt;="&amp;$AI$18+7*(3-1),$A$8:$A$38,"&lt;="&amp;$AI$18+7*(3-1)+6)+SUMIFS('2026年11月'!$M$8:$M$37,'2026年11月'!$A$8:$A$37,"&gt;="&amp;$AI$18+7*(3-1),'2026年11月'!$A$8:$A$37,"&lt;="&amp;$AI$18+7*(3-1)+6)),""))</f>
        <v/>
      </c>
      <c r="AG22" s="31" t="str">
        <f>IF($AB22="","",IFERROR((SUMIFS($P$8:$P$38,$A$8:$A$38,"&gt;="&amp;$AI$18+7*(3-1),$A$8:$A$38,"&lt;="&amp;$AI$18+7*(3-1)+6)+SUMIFS('2026年11月'!$P$8:$P$37,'2026年11月'!$A$8:$A$37,"&gt;="&amp;$AI$18+7*(3-1),'2026年11月'!$A$8:$A$37,"&lt;="&amp;$AI$18+7*(3-1)+6))/(SUMIFS($O$8:$O$38,$A$8:$A$38,"&gt;="&amp;$AI$18+7*(3-1),$A$8:$A$38,"&lt;="&amp;$AI$18+7*(3-1)+6)+SUMIFS('2026年11月'!$O$8:$O$37,'2026年11月'!$A$8:$A$37,"&gt;="&amp;$AI$18+7*(3-1),'2026年11月'!$A$8:$A$37,"&lt;="&amp;$AI$18+7*(3-1)+6)),""))</f>
        <v/>
      </c>
    </row>
    <row r="23" ht="15.75" customHeight="1">
      <c r="A23" s="32">
        <v>46311.0</v>
      </c>
      <c r="B23" s="23" t="str">
        <f t="shared" si="2"/>
        <v>金</v>
      </c>
      <c r="C23" s="16"/>
      <c r="D23" s="25">
        <f t="shared" si="3"/>
        <v>0</v>
      </c>
      <c r="E23" s="49">
        <v>0.0</v>
      </c>
      <c r="F23" s="49">
        <v>136443.0</v>
      </c>
      <c r="G23" s="25">
        <f t="shared" si="4"/>
        <v>136443</v>
      </c>
      <c r="H23" s="25">
        <f t="shared" si="5"/>
        <v>4571294</v>
      </c>
      <c r="I23" s="27" t="str">
        <f t="shared" ref="I23:J23" si="30">IF(G23="","",IFERROR(G23/C23,""))</f>
        <v/>
      </c>
      <c r="J23" s="27" t="str">
        <f t="shared" si="30"/>
        <v/>
      </c>
      <c r="K23" s="25" t="str">
        <f t="shared" si="7"/>
        <v/>
      </c>
      <c r="L23" s="33" t="str">
        <f t="shared" si="8"/>
        <v>予算未入力</v>
      </c>
      <c r="M23" s="50">
        <v>5.0</v>
      </c>
      <c r="N23" s="50">
        <v>7.0</v>
      </c>
      <c r="O23" s="50">
        <v>14.0</v>
      </c>
      <c r="P23" s="50">
        <v>3.0</v>
      </c>
      <c r="Q23" s="50">
        <v>8.0</v>
      </c>
      <c r="R23" s="27">
        <f t="shared" si="9"/>
        <v>0.3571428571</v>
      </c>
      <c r="S23" s="25">
        <f t="shared" si="10"/>
        <v>27288.6</v>
      </c>
      <c r="T23" s="34">
        <f t="shared" si="11"/>
        <v>1.4</v>
      </c>
      <c r="U23" s="27">
        <f t="shared" si="12"/>
        <v>0.2142857143</v>
      </c>
      <c r="V23" s="21"/>
      <c r="W23" s="50">
        <v>43048.0</v>
      </c>
      <c r="X23" s="16"/>
      <c r="Y23" s="24"/>
      <c r="AA23" s="30">
        <v>4.0</v>
      </c>
      <c r="AB23" s="42" t="str">
        <f>IF($AI$18+7*(4-1)&gt;$A$38,"",TEXT($AI$18+7*(4-1),"m/d")&amp;"-"&amp;TEXT($AI$18+7*(4-1)+6,"m/d"))</f>
        <v>10/26-11/1</v>
      </c>
      <c r="AC23" s="28">
        <f>IF($AB23="","",(SUMIFS($G$8:$G$38,$A$8:$A$38,"&gt;="&amp;$AI$18+7*(4-1),$A$8:$A$38,"&lt;="&amp;$AI$18+7*(4-1)+6)+SUMIFS('2026年11月'!$G$8:$G$37,'2026年11月'!$A$8:$A$37,"&gt;="&amp;$AI$18+7*(4-1),'2026年11月'!$A$8:$A$37,"&lt;="&amp;$AI$18+7*(4-1)+6)))</f>
        <v>0</v>
      </c>
      <c r="AD23" s="31" t="str">
        <f>IF($AB23="","",IFERROR((SUMIFS($M$8:$M$38,$A$8:$A$38,"&gt;="&amp;$AI$18+7*(4-1),$A$8:$A$38,"&lt;="&amp;$AI$18+7*(4-1)+6)+SUMIFS('2026年11月'!$M$8:$M$37,'2026年11月'!$A$8:$A$37,"&gt;="&amp;$AI$18+7*(4-1),'2026年11月'!$A$8:$A$37,"&lt;="&amp;$AI$18+7*(4-1)+6))/(SUMIFS($O$8:$O$38,$A$8:$A$38,"&gt;="&amp;$AI$18+7*(4-1),$A$8:$A$38,"&lt;="&amp;$AI$18+7*(4-1)+6)+SUMIFS('2026年11月'!$O$8:$O$37,'2026年11月'!$A$8:$A$37,"&gt;="&amp;$AI$18+7*(4-1),'2026年11月'!$A$8:$A$37,"&lt;="&amp;$AI$18+7*(4-1)+6)),""))</f>
        <v/>
      </c>
      <c r="AE23" s="28" t="str">
        <f>IF($AB23="","",IFERROR((SUMIFS($G$8:$G$38,$A$8:$A$38,"&gt;="&amp;$AI$18+7*(4-1),$A$8:$A$38,"&lt;="&amp;$AI$18+7*(4-1)+6)+SUMIFS('2026年11月'!$G$8:$G$37,'2026年11月'!$A$8:$A$37,"&gt;="&amp;$AI$18+7*(4-1),'2026年11月'!$A$8:$A$37,"&lt;="&amp;$AI$18+7*(4-1)+6))/(SUMIFS($M$8:$M$38,$A$8:$A$38,"&gt;="&amp;$AI$18+7*(4-1),$A$8:$A$38,"&lt;="&amp;$AI$18+7*(4-1)+6)+SUMIFS('2026年11月'!$M$8:$M$37,'2026年11月'!$A$8:$A$37,"&gt;="&amp;$AI$18+7*(4-1),'2026年11月'!$A$8:$A$37,"&lt;="&amp;$AI$18+7*(4-1)+6)),""))</f>
        <v/>
      </c>
      <c r="AF23" s="43" t="str">
        <f>IF($AB23="","",IFERROR((SUMIFS($N$8:$N$38,$A$8:$A$38,"&gt;="&amp;$AI$18+7*(4-1),$A$8:$A$38,"&lt;="&amp;$AI$18+7*(4-1)+6)+SUMIFS('2026年11月'!$N$8:$N$37,'2026年11月'!$A$8:$A$37,"&gt;="&amp;$AI$18+7*(4-1),'2026年11月'!$A$8:$A$37,"&lt;="&amp;$AI$18+7*(4-1)+6))/(SUMIFS($M$8:$M$38,$A$8:$A$38,"&gt;="&amp;$AI$18+7*(4-1),$A$8:$A$38,"&lt;="&amp;$AI$18+7*(4-1)+6)+SUMIFS('2026年11月'!$M$8:$M$37,'2026年11月'!$A$8:$A$37,"&gt;="&amp;$AI$18+7*(4-1),'2026年11月'!$A$8:$A$37,"&lt;="&amp;$AI$18+7*(4-1)+6)),""))</f>
        <v/>
      </c>
      <c r="AG23" s="31" t="str">
        <f>IF($AB23="","",IFERROR((SUMIFS($P$8:$P$38,$A$8:$A$38,"&gt;="&amp;$AI$18+7*(4-1),$A$8:$A$38,"&lt;="&amp;$AI$18+7*(4-1)+6)+SUMIFS('2026年11月'!$P$8:$P$37,'2026年11月'!$A$8:$A$37,"&gt;="&amp;$AI$18+7*(4-1),'2026年11月'!$A$8:$A$37,"&lt;="&amp;$AI$18+7*(4-1)+6))/(SUMIFS($O$8:$O$38,$A$8:$A$38,"&gt;="&amp;$AI$18+7*(4-1),$A$8:$A$38,"&lt;="&amp;$AI$18+7*(4-1)+6)+SUMIFS('2026年11月'!$O$8:$O$37,'2026年11月'!$A$8:$A$37,"&gt;="&amp;$AI$18+7*(4-1),'2026年11月'!$A$8:$A$37,"&lt;="&amp;$AI$18+7*(4-1)+6)),""))</f>
        <v/>
      </c>
    </row>
    <row r="24" ht="15.75" customHeight="1">
      <c r="A24" s="14">
        <v>46312.0</v>
      </c>
      <c r="B24" s="15" t="str">
        <f t="shared" si="2"/>
        <v>土</v>
      </c>
      <c r="C24" s="16"/>
      <c r="D24" s="17">
        <f t="shared" si="3"/>
        <v>0</v>
      </c>
      <c r="E24" s="49">
        <v>46702.0</v>
      </c>
      <c r="F24" s="49">
        <v>170852.0</v>
      </c>
      <c r="G24" s="17">
        <f t="shared" si="4"/>
        <v>217554</v>
      </c>
      <c r="H24" s="17">
        <f t="shared" si="5"/>
        <v>4788848</v>
      </c>
      <c r="I24" s="18" t="str">
        <f t="shared" ref="I24:J24" si="31">IF(G24="","",IFERROR(G24/C24,""))</f>
        <v/>
      </c>
      <c r="J24" s="18" t="str">
        <f t="shared" si="31"/>
        <v/>
      </c>
      <c r="K24" s="17" t="str">
        <f t="shared" si="7"/>
        <v/>
      </c>
      <c r="L24" s="19" t="str">
        <f t="shared" si="8"/>
        <v>予算未入力</v>
      </c>
      <c r="M24" s="50">
        <v>11.0</v>
      </c>
      <c r="N24" s="50">
        <v>12.0</v>
      </c>
      <c r="O24" s="50">
        <v>33.0</v>
      </c>
      <c r="P24" s="50">
        <v>13.0</v>
      </c>
      <c r="Q24" s="50">
        <v>23.0</v>
      </c>
      <c r="R24" s="18">
        <f t="shared" si="9"/>
        <v>0.3333333333</v>
      </c>
      <c r="S24" s="17">
        <f t="shared" si="10"/>
        <v>19777.63636</v>
      </c>
      <c r="T24" s="22">
        <f t="shared" si="11"/>
        <v>1.090909091</v>
      </c>
      <c r="U24" s="18">
        <f t="shared" si="12"/>
        <v>0.3939393939</v>
      </c>
      <c r="V24" s="21"/>
      <c r="W24" s="50">
        <v>43074.0</v>
      </c>
      <c r="X24" s="16"/>
      <c r="Y24" s="24"/>
      <c r="AA24" s="30">
        <v>5.0</v>
      </c>
      <c r="AB24" s="42" t="str">
        <f>IF($AI$18+7*(5-1)&gt;$A$38,"",TEXT($AI$18+7*(5-1),"m/d")&amp;"-"&amp;TEXT($AI$18+7*(5-1)+6,"m/d"))</f>
        <v/>
      </c>
      <c r="AC24" s="28" t="str">
        <f>IF($AB24="","",(SUMIFS($G$8:$G$38,$A$8:$A$38,"&gt;="&amp;$AI$18+7*(5-1),$A$8:$A$38,"&lt;="&amp;$AI$18+7*(5-1)+6)+SUMIFS('2026年11月'!$G$8:$G$37,'2026年11月'!$A$8:$A$37,"&gt;="&amp;$AI$18+7*(5-1),'2026年11月'!$A$8:$A$37,"&lt;="&amp;$AI$18+7*(5-1)+6)))</f>
        <v/>
      </c>
      <c r="AD24" s="31" t="str">
        <f>IF($AB24="","",IFERROR((SUMIFS($M$8:$M$38,$A$8:$A$38,"&gt;="&amp;$AI$18+7*(5-1),$A$8:$A$38,"&lt;="&amp;$AI$18+7*(5-1)+6)+SUMIFS('2026年11月'!$M$8:$M$37,'2026年11月'!$A$8:$A$37,"&gt;="&amp;$AI$18+7*(5-1),'2026年11月'!$A$8:$A$37,"&lt;="&amp;$AI$18+7*(5-1)+6))/(SUMIFS($O$8:$O$38,$A$8:$A$38,"&gt;="&amp;$AI$18+7*(5-1),$A$8:$A$38,"&lt;="&amp;$AI$18+7*(5-1)+6)+SUMIFS('2026年11月'!$O$8:$O$37,'2026年11月'!$A$8:$A$37,"&gt;="&amp;$AI$18+7*(5-1),'2026年11月'!$A$8:$A$37,"&lt;="&amp;$AI$18+7*(5-1)+6)),""))</f>
        <v/>
      </c>
      <c r="AE24" s="28" t="str">
        <f>IF($AB24="","",IFERROR((SUMIFS($G$8:$G$38,$A$8:$A$38,"&gt;="&amp;$AI$18+7*(5-1),$A$8:$A$38,"&lt;="&amp;$AI$18+7*(5-1)+6)+SUMIFS('2026年11月'!$G$8:$G$37,'2026年11月'!$A$8:$A$37,"&gt;="&amp;$AI$18+7*(5-1),'2026年11月'!$A$8:$A$37,"&lt;="&amp;$AI$18+7*(5-1)+6))/(SUMIFS($M$8:$M$38,$A$8:$A$38,"&gt;="&amp;$AI$18+7*(5-1),$A$8:$A$38,"&lt;="&amp;$AI$18+7*(5-1)+6)+SUMIFS('2026年11月'!$M$8:$M$37,'2026年11月'!$A$8:$A$37,"&gt;="&amp;$AI$18+7*(5-1),'2026年11月'!$A$8:$A$37,"&lt;="&amp;$AI$18+7*(5-1)+6)),""))</f>
        <v/>
      </c>
      <c r="AF24" s="43" t="str">
        <f>IF($AB24="","",IFERROR((SUMIFS($N$8:$N$38,$A$8:$A$38,"&gt;="&amp;$AI$18+7*(5-1),$A$8:$A$38,"&lt;="&amp;$AI$18+7*(5-1)+6)+SUMIFS('2026年11月'!$N$8:$N$37,'2026年11月'!$A$8:$A$37,"&gt;="&amp;$AI$18+7*(5-1),'2026年11月'!$A$8:$A$37,"&lt;="&amp;$AI$18+7*(5-1)+6))/(SUMIFS($M$8:$M$38,$A$8:$A$38,"&gt;="&amp;$AI$18+7*(5-1),$A$8:$A$38,"&lt;="&amp;$AI$18+7*(5-1)+6)+SUMIFS('2026年11月'!$M$8:$M$37,'2026年11月'!$A$8:$A$37,"&gt;="&amp;$AI$18+7*(5-1),'2026年11月'!$A$8:$A$37,"&lt;="&amp;$AI$18+7*(5-1)+6)),""))</f>
        <v/>
      </c>
      <c r="AG24" s="31" t="str">
        <f>IF($AB24="","",IFERROR((SUMIFS($P$8:$P$38,$A$8:$A$38,"&gt;="&amp;$AI$18+7*(5-1),$A$8:$A$38,"&lt;="&amp;$AI$18+7*(5-1)+6)+SUMIFS('2026年11月'!$P$8:$P$37,'2026年11月'!$A$8:$A$37,"&gt;="&amp;$AI$18+7*(5-1),'2026年11月'!$A$8:$A$37,"&lt;="&amp;$AI$18+7*(5-1)+6))/(SUMIFS($O$8:$O$38,$A$8:$A$38,"&gt;="&amp;$AI$18+7*(5-1),$A$8:$A$38,"&lt;="&amp;$AI$18+7*(5-1)+6)+SUMIFS('2026年11月'!$O$8:$O$37,'2026年11月'!$A$8:$A$37,"&gt;="&amp;$AI$18+7*(5-1),'2026年11月'!$A$8:$A$37,"&lt;="&amp;$AI$18+7*(5-1)+6)),""))</f>
        <v/>
      </c>
    </row>
    <row r="25" ht="15.75" customHeight="1">
      <c r="A25" s="32">
        <v>46313.0</v>
      </c>
      <c r="B25" s="23" t="str">
        <f t="shared" si="2"/>
        <v>日</v>
      </c>
      <c r="C25" s="16"/>
      <c r="D25" s="25">
        <f t="shared" si="3"/>
        <v>0</v>
      </c>
      <c r="E25" s="49">
        <v>74931.0</v>
      </c>
      <c r="F25" s="49">
        <v>313930.0</v>
      </c>
      <c r="G25" s="25">
        <f t="shared" si="4"/>
        <v>388861</v>
      </c>
      <c r="H25" s="25">
        <f t="shared" si="5"/>
        <v>5177709</v>
      </c>
      <c r="I25" s="27" t="str">
        <f t="shared" ref="I25:J25" si="32">IF(G25="","",IFERROR(G25/C25,""))</f>
        <v/>
      </c>
      <c r="J25" s="27" t="str">
        <f t="shared" si="32"/>
        <v/>
      </c>
      <c r="K25" s="25" t="str">
        <f t="shared" si="7"/>
        <v/>
      </c>
      <c r="L25" s="33" t="str">
        <f t="shared" si="8"/>
        <v>予算未入力</v>
      </c>
      <c r="M25" s="50">
        <v>16.0</v>
      </c>
      <c r="N25" s="50">
        <v>19.0</v>
      </c>
      <c r="O25" s="50">
        <v>34.0</v>
      </c>
      <c r="P25" s="50">
        <v>22.0</v>
      </c>
      <c r="Q25" s="50">
        <v>26.0</v>
      </c>
      <c r="R25" s="27">
        <f t="shared" si="9"/>
        <v>0.4705882353</v>
      </c>
      <c r="S25" s="25">
        <f t="shared" si="10"/>
        <v>24303.8125</v>
      </c>
      <c r="T25" s="34">
        <f t="shared" si="11"/>
        <v>1.1875</v>
      </c>
      <c r="U25" s="27">
        <f t="shared" si="12"/>
        <v>0.6470588235</v>
      </c>
      <c r="V25" s="21"/>
      <c r="W25" s="50">
        <v>43133.0</v>
      </c>
      <c r="X25" s="16"/>
      <c r="Y25" s="24"/>
      <c r="AA25" s="30">
        <v>6.0</v>
      </c>
      <c r="AB25" s="42" t="str">
        <f>IF($AI$18+7*(6-1)&gt;$A$38,"",TEXT($AI$18+7*(6-1),"m/d")&amp;"-"&amp;TEXT($AI$18+7*(6-1)+6,"m/d"))</f>
        <v/>
      </c>
      <c r="AC25" s="28" t="str">
        <f>IF($AB25="","",(SUMIFS($G$8:$G$38,$A$8:$A$38,"&gt;="&amp;$AI$18+7*(6-1),$A$8:$A$38,"&lt;="&amp;$AI$18+7*(6-1)+6)+SUMIFS('2026年11月'!$G$8:$G$37,'2026年11月'!$A$8:$A$37,"&gt;="&amp;$AI$18+7*(6-1),'2026年11月'!$A$8:$A$37,"&lt;="&amp;$AI$18+7*(6-1)+6)))</f>
        <v/>
      </c>
      <c r="AD25" s="31" t="str">
        <f>IF($AB25="","",IFERROR((SUMIFS($M$8:$M$38,$A$8:$A$38,"&gt;="&amp;$AI$18+7*(6-1),$A$8:$A$38,"&lt;="&amp;$AI$18+7*(6-1)+6)+SUMIFS('2026年11月'!$M$8:$M$37,'2026年11月'!$A$8:$A$37,"&gt;="&amp;$AI$18+7*(6-1),'2026年11月'!$A$8:$A$37,"&lt;="&amp;$AI$18+7*(6-1)+6))/(SUMIFS($O$8:$O$38,$A$8:$A$38,"&gt;="&amp;$AI$18+7*(6-1),$A$8:$A$38,"&lt;="&amp;$AI$18+7*(6-1)+6)+SUMIFS('2026年11月'!$O$8:$O$37,'2026年11月'!$A$8:$A$37,"&gt;="&amp;$AI$18+7*(6-1),'2026年11月'!$A$8:$A$37,"&lt;="&amp;$AI$18+7*(6-1)+6)),""))</f>
        <v/>
      </c>
      <c r="AE25" s="28" t="str">
        <f>IF($AB25="","",IFERROR((SUMIFS($G$8:$G$38,$A$8:$A$38,"&gt;="&amp;$AI$18+7*(6-1),$A$8:$A$38,"&lt;="&amp;$AI$18+7*(6-1)+6)+SUMIFS('2026年11月'!$G$8:$G$37,'2026年11月'!$A$8:$A$37,"&gt;="&amp;$AI$18+7*(6-1),'2026年11月'!$A$8:$A$37,"&lt;="&amp;$AI$18+7*(6-1)+6))/(SUMIFS($M$8:$M$38,$A$8:$A$38,"&gt;="&amp;$AI$18+7*(6-1),$A$8:$A$38,"&lt;="&amp;$AI$18+7*(6-1)+6)+SUMIFS('2026年11月'!$M$8:$M$37,'2026年11月'!$A$8:$A$37,"&gt;="&amp;$AI$18+7*(6-1),'2026年11月'!$A$8:$A$37,"&lt;="&amp;$AI$18+7*(6-1)+6)),""))</f>
        <v/>
      </c>
      <c r="AF25" s="43" t="str">
        <f>IF($AB25="","",IFERROR((SUMIFS($N$8:$N$38,$A$8:$A$38,"&gt;="&amp;$AI$18+7*(6-1),$A$8:$A$38,"&lt;="&amp;$AI$18+7*(6-1)+6)+SUMIFS('2026年11月'!$N$8:$N$37,'2026年11月'!$A$8:$A$37,"&gt;="&amp;$AI$18+7*(6-1),'2026年11月'!$A$8:$A$37,"&lt;="&amp;$AI$18+7*(6-1)+6))/(SUMIFS($M$8:$M$38,$A$8:$A$38,"&gt;="&amp;$AI$18+7*(6-1),$A$8:$A$38,"&lt;="&amp;$AI$18+7*(6-1)+6)+SUMIFS('2026年11月'!$M$8:$M$37,'2026年11月'!$A$8:$A$37,"&gt;="&amp;$AI$18+7*(6-1),'2026年11月'!$A$8:$A$37,"&lt;="&amp;$AI$18+7*(6-1)+6)),""))</f>
        <v/>
      </c>
      <c r="AG25" s="31" t="str">
        <f>IF($AB25="","",IFERROR((SUMIFS($P$8:$P$38,$A$8:$A$38,"&gt;="&amp;$AI$18+7*(6-1),$A$8:$A$38,"&lt;="&amp;$AI$18+7*(6-1)+6)+SUMIFS('2026年11月'!$P$8:$P$37,'2026年11月'!$A$8:$A$37,"&gt;="&amp;$AI$18+7*(6-1),'2026年11月'!$A$8:$A$37,"&lt;="&amp;$AI$18+7*(6-1)+6))/(SUMIFS($O$8:$O$38,$A$8:$A$38,"&gt;="&amp;$AI$18+7*(6-1),$A$8:$A$38,"&lt;="&amp;$AI$18+7*(6-1)+6)+SUMIFS('2026年11月'!$O$8:$O$37,'2026年11月'!$A$8:$A$37,"&gt;="&amp;$AI$18+7*(6-1),'2026年11月'!$A$8:$A$37,"&lt;="&amp;$AI$18+7*(6-1)+6)),""))</f>
        <v/>
      </c>
    </row>
    <row r="26" ht="15.75" customHeight="1">
      <c r="A26" s="14">
        <v>46314.0</v>
      </c>
      <c r="B26" s="15" t="str">
        <f t="shared" si="2"/>
        <v>月</v>
      </c>
      <c r="C26" s="16"/>
      <c r="D26" s="17">
        <f t="shared" si="3"/>
        <v>0</v>
      </c>
      <c r="E26" s="16"/>
      <c r="F26" s="16"/>
      <c r="G26" s="17" t="str">
        <f t="shared" si="4"/>
        <v/>
      </c>
      <c r="H26" s="17" t="str">
        <f t="shared" si="5"/>
        <v/>
      </c>
      <c r="I26" s="18" t="str">
        <f t="shared" ref="I26:J26" si="33">IF(G26="","",IFERROR(G26/C26,""))</f>
        <v/>
      </c>
      <c r="J26" s="18" t="str">
        <f t="shared" si="33"/>
        <v/>
      </c>
      <c r="K26" s="17" t="str">
        <f t="shared" si="7"/>
        <v/>
      </c>
      <c r="L26" s="19" t="str">
        <f t="shared" si="8"/>
        <v>—</v>
      </c>
      <c r="M26" s="21"/>
      <c r="N26" s="21"/>
      <c r="O26" s="21"/>
      <c r="P26" s="21"/>
      <c r="Q26" s="21"/>
      <c r="R26" s="18" t="str">
        <f t="shared" si="9"/>
        <v/>
      </c>
      <c r="S26" s="17" t="str">
        <f t="shared" si="10"/>
        <v/>
      </c>
      <c r="T26" s="22" t="str">
        <f t="shared" si="11"/>
        <v/>
      </c>
      <c r="U26" s="18" t="str">
        <f t="shared" si="12"/>
        <v/>
      </c>
      <c r="V26" s="21"/>
      <c r="W26" s="21"/>
      <c r="X26" s="16"/>
      <c r="Y26" s="24"/>
      <c r="AA26" s="39" t="s">
        <v>120</v>
      </c>
    </row>
    <row r="27" ht="15.75" customHeight="1">
      <c r="A27" s="32">
        <v>46315.0</v>
      </c>
      <c r="B27" s="23" t="str">
        <f t="shared" si="2"/>
        <v>火</v>
      </c>
      <c r="C27" s="16"/>
      <c r="D27" s="25">
        <f t="shared" si="3"/>
        <v>0</v>
      </c>
      <c r="E27" s="16"/>
      <c r="F27" s="16"/>
      <c r="G27" s="25" t="str">
        <f t="shared" si="4"/>
        <v/>
      </c>
      <c r="H27" s="25" t="str">
        <f t="shared" si="5"/>
        <v/>
      </c>
      <c r="I27" s="27" t="str">
        <f t="shared" ref="I27:J27" si="34">IF(G27="","",IFERROR(G27/C27,""))</f>
        <v/>
      </c>
      <c r="J27" s="27" t="str">
        <f t="shared" si="34"/>
        <v/>
      </c>
      <c r="K27" s="25" t="str">
        <f t="shared" si="7"/>
        <v/>
      </c>
      <c r="L27" s="33" t="str">
        <f t="shared" si="8"/>
        <v>—</v>
      </c>
      <c r="M27" s="21"/>
      <c r="N27" s="21"/>
      <c r="O27" s="21"/>
      <c r="P27" s="21"/>
      <c r="Q27" s="21"/>
      <c r="R27" s="27" t="str">
        <f t="shared" si="9"/>
        <v/>
      </c>
      <c r="S27" s="25" t="str">
        <f t="shared" si="10"/>
        <v/>
      </c>
      <c r="T27" s="34" t="str">
        <f t="shared" si="11"/>
        <v/>
      </c>
      <c r="U27" s="27" t="str">
        <f t="shared" si="12"/>
        <v/>
      </c>
      <c r="V27" s="21"/>
      <c r="W27" s="21"/>
      <c r="X27" s="16"/>
      <c r="Y27" s="24"/>
      <c r="AA27" s="39" t="s">
        <v>121</v>
      </c>
    </row>
    <row r="28" ht="15.75" customHeight="1">
      <c r="A28" s="14">
        <v>46316.0</v>
      </c>
      <c r="B28" s="15" t="str">
        <f t="shared" si="2"/>
        <v>水</v>
      </c>
      <c r="C28" s="16"/>
      <c r="D28" s="17">
        <f t="shared" si="3"/>
        <v>0</v>
      </c>
      <c r="E28" s="16"/>
      <c r="F28" s="16"/>
      <c r="G28" s="17" t="str">
        <f t="shared" si="4"/>
        <v/>
      </c>
      <c r="H28" s="17" t="str">
        <f t="shared" si="5"/>
        <v/>
      </c>
      <c r="I28" s="18" t="str">
        <f t="shared" ref="I28:J28" si="35">IF(G28="","",IFERROR(G28/C28,""))</f>
        <v/>
      </c>
      <c r="J28" s="18" t="str">
        <f t="shared" si="35"/>
        <v/>
      </c>
      <c r="K28" s="17" t="str">
        <f t="shared" si="7"/>
        <v/>
      </c>
      <c r="L28" s="19" t="str">
        <f t="shared" si="8"/>
        <v>—</v>
      </c>
      <c r="M28" s="21"/>
      <c r="N28" s="21"/>
      <c r="O28" s="21"/>
      <c r="P28" s="21"/>
      <c r="Q28" s="21"/>
      <c r="R28" s="18" t="str">
        <f t="shared" si="9"/>
        <v/>
      </c>
      <c r="S28" s="17" t="str">
        <f t="shared" si="10"/>
        <v/>
      </c>
      <c r="T28" s="22" t="str">
        <f t="shared" si="11"/>
        <v/>
      </c>
      <c r="U28" s="18" t="str">
        <f t="shared" si="12"/>
        <v/>
      </c>
      <c r="V28" s="21"/>
      <c r="W28" s="21"/>
      <c r="X28" s="16"/>
      <c r="Y28" s="24"/>
      <c r="AA28" s="39" t="s">
        <v>122</v>
      </c>
    </row>
    <row r="29" ht="15.75" customHeight="1">
      <c r="A29" s="32">
        <v>46317.0</v>
      </c>
      <c r="B29" s="23" t="str">
        <f t="shared" si="2"/>
        <v>木</v>
      </c>
      <c r="C29" s="16"/>
      <c r="D29" s="25">
        <f t="shared" si="3"/>
        <v>0</v>
      </c>
      <c r="E29" s="16"/>
      <c r="F29" s="16"/>
      <c r="G29" s="25" t="str">
        <f t="shared" si="4"/>
        <v/>
      </c>
      <c r="H29" s="25" t="str">
        <f t="shared" si="5"/>
        <v/>
      </c>
      <c r="I29" s="27" t="str">
        <f t="shared" ref="I29:J29" si="36">IF(G29="","",IFERROR(G29/C29,""))</f>
        <v/>
      </c>
      <c r="J29" s="27" t="str">
        <f t="shared" si="36"/>
        <v/>
      </c>
      <c r="K29" s="25" t="str">
        <f t="shared" si="7"/>
        <v/>
      </c>
      <c r="L29" s="33" t="str">
        <f t="shared" si="8"/>
        <v>—</v>
      </c>
      <c r="M29" s="21"/>
      <c r="N29" s="21"/>
      <c r="O29" s="21"/>
      <c r="P29" s="21"/>
      <c r="Q29" s="21"/>
      <c r="R29" s="27" t="str">
        <f t="shared" si="9"/>
        <v/>
      </c>
      <c r="S29" s="25" t="str">
        <f t="shared" si="10"/>
        <v/>
      </c>
      <c r="T29" s="34" t="str">
        <f t="shared" si="11"/>
        <v/>
      </c>
      <c r="U29" s="27" t="str">
        <f t="shared" si="12"/>
        <v/>
      </c>
      <c r="V29" s="21"/>
      <c r="W29" s="21"/>
      <c r="X29" s="16"/>
      <c r="Y29" s="24"/>
    </row>
    <row r="30" ht="15.75" customHeight="1">
      <c r="A30" s="14">
        <v>46318.0</v>
      </c>
      <c r="B30" s="15" t="str">
        <f t="shared" si="2"/>
        <v>金</v>
      </c>
      <c r="C30" s="16"/>
      <c r="D30" s="17">
        <f t="shared" si="3"/>
        <v>0</v>
      </c>
      <c r="E30" s="16"/>
      <c r="F30" s="16"/>
      <c r="G30" s="17" t="str">
        <f t="shared" si="4"/>
        <v/>
      </c>
      <c r="H30" s="17" t="str">
        <f t="shared" si="5"/>
        <v/>
      </c>
      <c r="I30" s="18" t="str">
        <f t="shared" ref="I30:J30" si="37">IF(G30="","",IFERROR(G30/C30,""))</f>
        <v/>
      </c>
      <c r="J30" s="18" t="str">
        <f t="shared" si="37"/>
        <v/>
      </c>
      <c r="K30" s="17" t="str">
        <f t="shared" si="7"/>
        <v/>
      </c>
      <c r="L30" s="19" t="str">
        <f t="shared" si="8"/>
        <v>—</v>
      </c>
      <c r="M30" s="21"/>
      <c r="N30" s="21"/>
      <c r="O30" s="21"/>
      <c r="P30" s="21"/>
      <c r="Q30" s="21"/>
      <c r="R30" s="18" t="str">
        <f t="shared" si="9"/>
        <v/>
      </c>
      <c r="S30" s="17" t="str">
        <f t="shared" si="10"/>
        <v/>
      </c>
      <c r="T30" s="22" t="str">
        <f t="shared" si="11"/>
        <v/>
      </c>
      <c r="U30" s="18" t="str">
        <f t="shared" si="12"/>
        <v/>
      </c>
      <c r="V30" s="21"/>
      <c r="W30" s="21"/>
      <c r="X30" s="16"/>
      <c r="Y30" s="24"/>
    </row>
    <row r="31" ht="15.75" customHeight="1">
      <c r="A31" s="32">
        <v>46319.0</v>
      </c>
      <c r="B31" s="23" t="str">
        <f t="shared" si="2"/>
        <v>土</v>
      </c>
      <c r="C31" s="16"/>
      <c r="D31" s="25">
        <f t="shared" si="3"/>
        <v>0</v>
      </c>
      <c r="E31" s="16"/>
      <c r="F31" s="16"/>
      <c r="G31" s="25" t="str">
        <f t="shared" si="4"/>
        <v/>
      </c>
      <c r="H31" s="25" t="str">
        <f t="shared" si="5"/>
        <v/>
      </c>
      <c r="I31" s="27" t="str">
        <f t="shared" ref="I31:J31" si="38">IF(G31="","",IFERROR(G31/C31,""))</f>
        <v/>
      </c>
      <c r="J31" s="27" t="str">
        <f t="shared" si="38"/>
        <v/>
      </c>
      <c r="K31" s="25" t="str">
        <f t="shared" si="7"/>
        <v/>
      </c>
      <c r="L31" s="33" t="str">
        <f t="shared" si="8"/>
        <v>—</v>
      </c>
      <c r="M31" s="21"/>
      <c r="N31" s="21"/>
      <c r="O31" s="21"/>
      <c r="P31" s="21"/>
      <c r="Q31" s="21"/>
      <c r="R31" s="27" t="str">
        <f t="shared" si="9"/>
        <v/>
      </c>
      <c r="S31" s="25" t="str">
        <f t="shared" si="10"/>
        <v/>
      </c>
      <c r="T31" s="34" t="str">
        <f t="shared" si="11"/>
        <v/>
      </c>
      <c r="U31" s="27" t="str">
        <f t="shared" si="12"/>
        <v/>
      </c>
      <c r="V31" s="21"/>
      <c r="W31" s="21"/>
      <c r="X31" s="16"/>
      <c r="Y31" s="24"/>
    </row>
    <row r="32" ht="15.75" customHeight="1">
      <c r="A32" s="14">
        <v>46320.0</v>
      </c>
      <c r="B32" s="15" t="str">
        <f t="shared" si="2"/>
        <v>日</v>
      </c>
      <c r="C32" s="16"/>
      <c r="D32" s="17">
        <f t="shared" si="3"/>
        <v>0</v>
      </c>
      <c r="E32" s="16"/>
      <c r="F32" s="16"/>
      <c r="G32" s="17" t="str">
        <f t="shared" si="4"/>
        <v/>
      </c>
      <c r="H32" s="17" t="str">
        <f t="shared" si="5"/>
        <v/>
      </c>
      <c r="I32" s="18" t="str">
        <f t="shared" ref="I32:J32" si="39">IF(G32="","",IFERROR(G32/C32,""))</f>
        <v/>
      </c>
      <c r="J32" s="18" t="str">
        <f t="shared" si="39"/>
        <v/>
      </c>
      <c r="K32" s="17" t="str">
        <f t="shared" si="7"/>
        <v/>
      </c>
      <c r="L32" s="19" t="str">
        <f t="shared" si="8"/>
        <v>—</v>
      </c>
      <c r="M32" s="21"/>
      <c r="N32" s="21"/>
      <c r="O32" s="21"/>
      <c r="P32" s="21"/>
      <c r="Q32" s="21"/>
      <c r="R32" s="18" t="str">
        <f t="shared" si="9"/>
        <v/>
      </c>
      <c r="S32" s="17" t="str">
        <f t="shared" si="10"/>
        <v/>
      </c>
      <c r="T32" s="22" t="str">
        <f t="shared" si="11"/>
        <v/>
      </c>
      <c r="U32" s="18" t="str">
        <f t="shared" si="12"/>
        <v/>
      </c>
      <c r="V32" s="21"/>
      <c r="W32" s="21"/>
      <c r="X32" s="16"/>
      <c r="Y32" s="24"/>
    </row>
    <row r="33" ht="15.75" customHeight="1">
      <c r="A33" s="32">
        <v>46321.0</v>
      </c>
      <c r="B33" s="23" t="str">
        <f t="shared" si="2"/>
        <v>月</v>
      </c>
      <c r="C33" s="16"/>
      <c r="D33" s="25">
        <f t="shared" si="3"/>
        <v>0</v>
      </c>
      <c r="E33" s="16"/>
      <c r="F33" s="16"/>
      <c r="G33" s="25" t="str">
        <f t="shared" si="4"/>
        <v/>
      </c>
      <c r="H33" s="25" t="str">
        <f t="shared" si="5"/>
        <v/>
      </c>
      <c r="I33" s="27" t="str">
        <f t="shared" ref="I33:J33" si="40">IF(G33="","",IFERROR(G33/C33,""))</f>
        <v/>
      </c>
      <c r="J33" s="27" t="str">
        <f t="shared" si="40"/>
        <v/>
      </c>
      <c r="K33" s="25" t="str">
        <f t="shared" si="7"/>
        <v/>
      </c>
      <c r="L33" s="33" t="str">
        <f t="shared" si="8"/>
        <v>—</v>
      </c>
      <c r="M33" s="21"/>
      <c r="N33" s="21"/>
      <c r="O33" s="21"/>
      <c r="P33" s="21"/>
      <c r="Q33" s="21"/>
      <c r="R33" s="27" t="str">
        <f t="shared" si="9"/>
        <v/>
      </c>
      <c r="S33" s="25" t="str">
        <f t="shared" si="10"/>
        <v/>
      </c>
      <c r="T33" s="34" t="str">
        <f t="shared" si="11"/>
        <v/>
      </c>
      <c r="U33" s="27" t="str">
        <f t="shared" si="12"/>
        <v/>
      </c>
      <c r="V33" s="21"/>
      <c r="W33" s="21"/>
      <c r="X33" s="16"/>
      <c r="Y33" s="24"/>
    </row>
    <row r="34" ht="15.75" customHeight="1">
      <c r="A34" s="14">
        <v>46322.0</v>
      </c>
      <c r="B34" s="15" t="str">
        <f t="shared" si="2"/>
        <v>火</v>
      </c>
      <c r="C34" s="16"/>
      <c r="D34" s="17">
        <f t="shared" si="3"/>
        <v>0</v>
      </c>
      <c r="E34" s="16"/>
      <c r="F34" s="16"/>
      <c r="G34" s="17" t="str">
        <f t="shared" si="4"/>
        <v/>
      </c>
      <c r="H34" s="17" t="str">
        <f t="shared" si="5"/>
        <v/>
      </c>
      <c r="I34" s="18" t="str">
        <f t="shared" ref="I34:J34" si="41">IF(G34="","",IFERROR(G34/C34,""))</f>
        <v/>
      </c>
      <c r="J34" s="18" t="str">
        <f t="shared" si="41"/>
        <v/>
      </c>
      <c r="K34" s="17" t="str">
        <f t="shared" si="7"/>
        <v/>
      </c>
      <c r="L34" s="19" t="str">
        <f t="shared" si="8"/>
        <v>—</v>
      </c>
      <c r="M34" s="21"/>
      <c r="N34" s="21"/>
      <c r="O34" s="21"/>
      <c r="P34" s="21"/>
      <c r="Q34" s="21"/>
      <c r="R34" s="18" t="str">
        <f t="shared" si="9"/>
        <v/>
      </c>
      <c r="S34" s="17" t="str">
        <f t="shared" si="10"/>
        <v/>
      </c>
      <c r="T34" s="22" t="str">
        <f t="shared" si="11"/>
        <v/>
      </c>
      <c r="U34" s="18" t="str">
        <f t="shared" si="12"/>
        <v/>
      </c>
      <c r="V34" s="21"/>
      <c r="W34" s="21"/>
      <c r="X34" s="16"/>
      <c r="Y34" s="24"/>
    </row>
    <row r="35" ht="15.75" customHeight="1">
      <c r="A35" s="32">
        <v>46323.0</v>
      </c>
      <c r="B35" s="23" t="str">
        <f t="shared" si="2"/>
        <v>水</v>
      </c>
      <c r="C35" s="16"/>
      <c r="D35" s="25">
        <f t="shared" si="3"/>
        <v>0</v>
      </c>
      <c r="E35" s="16"/>
      <c r="F35" s="16"/>
      <c r="G35" s="25" t="str">
        <f t="shared" si="4"/>
        <v/>
      </c>
      <c r="H35" s="25" t="str">
        <f t="shared" si="5"/>
        <v/>
      </c>
      <c r="I35" s="27" t="str">
        <f t="shared" ref="I35:J35" si="42">IF(G35="","",IFERROR(G35/C35,""))</f>
        <v/>
      </c>
      <c r="J35" s="27" t="str">
        <f t="shared" si="42"/>
        <v/>
      </c>
      <c r="K35" s="25" t="str">
        <f t="shared" si="7"/>
        <v/>
      </c>
      <c r="L35" s="33" t="str">
        <f t="shared" si="8"/>
        <v>—</v>
      </c>
      <c r="M35" s="21"/>
      <c r="N35" s="21"/>
      <c r="O35" s="21"/>
      <c r="P35" s="21"/>
      <c r="Q35" s="21"/>
      <c r="R35" s="27" t="str">
        <f t="shared" si="9"/>
        <v/>
      </c>
      <c r="S35" s="25" t="str">
        <f t="shared" si="10"/>
        <v/>
      </c>
      <c r="T35" s="34" t="str">
        <f t="shared" si="11"/>
        <v/>
      </c>
      <c r="U35" s="27" t="str">
        <f t="shared" si="12"/>
        <v/>
      </c>
      <c r="V35" s="21"/>
      <c r="W35" s="21"/>
      <c r="X35" s="16"/>
      <c r="Y35" s="24"/>
    </row>
    <row r="36" ht="15.75" customHeight="1">
      <c r="A36" s="14">
        <v>46324.0</v>
      </c>
      <c r="B36" s="15" t="str">
        <f t="shared" si="2"/>
        <v>木</v>
      </c>
      <c r="C36" s="16"/>
      <c r="D36" s="17">
        <f t="shared" si="3"/>
        <v>0</v>
      </c>
      <c r="E36" s="16"/>
      <c r="F36" s="16"/>
      <c r="G36" s="17" t="str">
        <f t="shared" si="4"/>
        <v/>
      </c>
      <c r="H36" s="17" t="str">
        <f t="shared" si="5"/>
        <v/>
      </c>
      <c r="I36" s="18" t="str">
        <f t="shared" ref="I36:J36" si="43">IF(G36="","",IFERROR(G36/C36,""))</f>
        <v/>
      </c>
      <c r="J36" s="18" t="str">
        <f t="shared" si="43"/>
        <v/>
      </c>
      <c r="K36" s="17" t="str">
        <f t="shared" si="7"/>
        <v/>
      </c>
      <c r="L36" s="19" t="str">
        <f t="shared" si="8"/>
        <v>—</v>
      </c>
      <c r="M36" s="21"/>
      <c r="N36" s="21"/>
      <c r="O36" s="21"/>
      <c r="P36" s="21"/>
      <c r="Q36" s="21"/>
      <c r="R36" s="18" t="str">
        <f t="shared" si="9"/>
        <v/>
      </c>
      <c r="S36" s="17" t="str">
        <f t="shared" si="10"/>
        <v/>
      </c>
      <c r="T36" s="22" t="str">
        <f t="shared" si="11"/>
        <v/>
      </c>
      <c r="U36" s="18" t="str">
        <f t="shared" si="12"/>
        <v/>
      </c>
      <c r="V36" s="21"/>
      <c r="W36" s="21"/>
      <c r="X36" s="16"/>
      <c r="Y36" s="24"/>
    </row>
    <row r="37" ht="15.75" customHeight="1">
      <c r="A37" s="32">
        <v>46325.0</v>
      </c>
      <c r="B37" s="23" t="str">
        <f t="shared" si="2"/>
        <v>金</v>
      </c>
      <c r="C37" s="16"/>
      <c r="D37" s="25">
        <f t="shared" si="3"/>
        <v>0</v>
      </c>
      <c r="E37" s="16"/>
      <c r="F37" s="16"/>
      <c r="G37" s="25" t="str">
        <f t="shared" si="4"/>
        <v/>
      </c>
      <c r="H37" s="25" t="str">
        <f t="shared" si="5"/>
        <v/>
      </c>
      <c r="I37" s="27" t="str">
        <f t="shared" ref="I37:J37" si="44">IF(G37="","",IFERROR(G37/C37,""))</f>
        <v/>
      </c>
      <c r="J37" s="27" t="str">
        <f t="shared" si="44"/>
        <v/>
      </c>
      <c r="K37" s="25" t="str">
        <f t="shared" si="7"/>
        <v/>
      </c>
      <c r="L37" s="33" t="str">
        <f t="shared" si="8"/>
        <v>—</v>
      </c>
      <c r="M37" s="21"/>
      <c r="N37" s="21"/>
      <c r="O37" s="21"/>
      <c r="P37" s="21"/>
      <c r="Q37" s="21"/>
      <c r="R37" s="27" t="str">
        <f t="shared" si="9"/>
        <v/>
      </c>
      <c r="S37" s="25" t="str">
        <f t="shared" si="10"/>
        <v/>
      </c>
      <c r="T37" s="34" t="str">
        <f t="shared" si="11"/>
        <v/>
      </c>
      <c r="U37" s="27" t="str">
        <f t="shared" si="12"/>
        <v/>
      </c>
      <c r="V37" s="21"/>
      <c r="W37" s="21"/>
      <c r="X37" s="16"/>
      <c r="Y37" s="24"/>
    </row>
    <row r="38" ht="15.75" customHeight="1">
      <c r="A38" s="14">
        <v>46326.0</v>
      </c>
      <c r="B38" s="15" t="str">
        <f t="shared" si="2"/>
        <v>土</v>
      </c>
      <c r="C38" s="16"/>
      <c r="D38" s="17">
        <f t="shared" si="3"/>
        <v>0</v>
      </c>
      <c r="E38" s="16"/>
      <c r="F38" s="16"/>
      <c r="G38" s="17" t="str">
        <f t="shared" si="4"/>
        <v/>
      </c>
      <c r="H38" s="17" t="str">
        <f t="shared" si="5"/>
        <v/>
      </c>
      <c r="I38" s="18" t="str">
        <f t="shared" ref="I38:J38" si="45">IF(G38="","",IFERROR(G38/C38,""))</f>
        <v/>
      </c>
      <c r="J38" s="18" t="str">
        <f t="shared" si="45"/>
        <v/>
      </c>
      <c r="K38" s="17" t="str">
        <f t="shared" si="7"/>
        <v/>
      </c>
      <c r="L38" s="19" t="str">
        <f t="shared" si="8"/>
        <v>—</v>
      </c>
      <c r="M38" s="21"/>
      <c r="N38" s="21"/>
      <c r="O38" s="21"/>
      <c r="P38" s="21"/>
      <c r="Q38" s="21"/>
      <c r="R38" s="18" t="str">
        <f t="shared" si="9"/>
        <v/>
      </c>
      <c r="S38" s="17" t="str">
        <f t="shared" si="10"/>
        <v/>
      </c>
      <c r="T38" s="22" t="str">
        <f t="shared" si="11"/>
        <v/>
      </c>
      <c r="U38" s="18" t="str">
        <f t="shared" si="12"/>
        <v/>
      </c>
      <c r="V38" s="21"/>
      <c r="W38" s="21"/>
      <c r="X38" s="16"/>
      <c r="Y38" s="24"/>
    </row>
    <row r="39" ht="15.75" customHeight="1">
      <c r="A39" s="45" t="s">
        <v>97</v>
      </c>
      <c r="B39" s="35"/>
      <c r="C39" s="36">
        <f>SUM(C8:C38)</f>
        <v>0</v>
      </c>
      <c r="D39" s="36">
        <f>C39</f>
        <v>0</v>
      </c>
      <c r="E39" s="36">
        <f t="shared" ref="E39:G39" si="46">SUM(E8:E38)</f>
        <v>877225</v>
      </c>
      <c r="F39" s="36">
        <f t="shared" si="46"/>
        <v>4300484</v>
      </c>
      <c r="G39" s="36">
        <f t="shared" si="46"/>
        <v>5177709</v>
      </c>
      <c r="H39" s="36">
        <f>G39</f>
        <v>5177709</v>
      </c>
      <c r="I39" s="37" t="str">
        <f>IFERROR(G39/C39,"")</f>
        <v/>
      </c>
      <c r="J39" s="37" t="str">
        <f>IFERROR(G39/C39,"")</f>
        <v/>
      </c>
      <c r="K39" s="36">
        <f>G39-C39</f>
        <v>5177709</v>
      </c>
      <c r="L39" s="46"/>
      <c r="M39" s="38">
        <f t="shared" ref="M39:Q39" si="47">SUM(M8:M38)</f>
        <v>222</v>
      </c>
      <c r="N39" s="38">
        <f t="shared" si="47"/>
        <v>260</v>
      </c>
      <c r="O39" s="38">
        <f t="shared" si="47"/>
        <v>600</v>
      </c>
      <c r="P39" s="38">
        <f t="shared" si="47"/>
        <v>295</v>
      </c>
      <c r="Q39" s="38">
        <f t="shared" si="47"/>
        <v>492</v>
      </c>
      <c r="R39" s="37">
        <f t="shared" si="9"/>
        <v>0.37</v>
      </c>
      <c r="S39" s="36">
        <f t="shared" si="10"/>
        <v>23323.01351</v>
      </c>
      <c r="T39" s="47">
        <f t="shared" si="11"/>
        <v>1.171171171</v>
      </c>
      <c r="U39" s="37">
        <f t="shared" si="12"/>
        <v>0.4916666667</v>
      </c>
      <c r="V39" s="38">
        <f>SUM(V8:V38)</f>
        <v>0</v>
      </c>
      <c r="W39" s="38">
        <f>IFERROR(LOOKUP(9.99E+307,W8:W38),"")</f>
        <v>43133</v>
      </c>
      <c r="X39" s="36">
        <f>SUM(X8:X38)</f>
        <v>0</v>
      </c>
      <c r="Y39" s="48" t="s">
        <v>107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115</v>
      </c>
      <c r="H3" s="6"/>
      <c r="I3" s="5" t="s">
        <v>8</v>
      </c>
      <c r="J3" s="6"/>
      <c r="K3" s="5" t="s">
        <v>9</v>
      </c>
      <c r="L3" s="6"/>
    </row>
    <row r="4">
      <c r="A4" s="7">
        <f>IF('設定'!$B$15="",SUM(C8:C37),'設定'!$B$15)</f>
        <v>19000000</v>
      </c>
      <c r="B4" s="6"/>
      <c r="C4" s="8">
        <f>SUM(G8:G37)</f>
        <v>0</v>
      </c>
      <c r="D4" s="6"/>
      <c r="E4" s="9">
        <f>IFERROR(C4/A4,0)</f>
        <v>0</v>
      </c>
      <c r="F4" s="6"/>
      <c r="G4" s="10">
        <f>COUNTIF(G8:G37,"&gt;0")</f>
        <v>0</v>
      </c>
      <c r="H4" s="6"/>
      <c r="I4" s="8">
        <f>A4-C4</f>
        <v>19000000</v>
      </c>
      <c r="J4" s="6"/>
      <c r="K4" s="8">
        <f>IF((30-G4)&gt;0,(A4-C4)/(30-G4),0)</f>
        <v>633333.3333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SUM(C8:C37)</f>
        <v>0</v>
      </c>
      <c r="B6" s="6"/>
      <c r="C6" s="8">
        <f>IFERROR(C4/G4*30,0)</f>
        <v>0</v>
      </c>
      <c r="D6" s="6"/>
      <c r="E6" s="9">
        <f>IFERROR(M38/O38,0)</f>
        <v>0</v>
      </c>
      <c r="F6" s="6"/>
      <c r="G6" s="8">
        <f>IFERROR(G38/M38,0)</f>
        <v>0</v>
      </c>
      <c r="H6" s="6"/>
      <c r="I6" s="11">
        <f>IFERROR(N38/M38,0)</f>
        <v>0</v>
      </c>
      <c r="J6" s="6"/>
      <c r="K6" s="9">
        <f>IFERROR(P38/O38,0)</f>
        <v>0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46327.0</v>
      </c>
      <c r="B8" s="15" t="str">
        <f t="shared" ref="B8:B37" si="2">MID("日月火水木金土",WEEKDAY(A8),1)</f>
        <v>日</v>
      </c>
      <c r="C8" s="16"/>
      <c r="D8" s="17">
        <f t="shared" ref="D8:D37" si="3">SUM($C$8:C8)</f>
        <v>0</v>
      </c>
      <c r="E8" s="16"/>
      <c r="F8" s="16"/>
      <c r="G8" s="17" t="str">
        <f t="shared" ref="G8:G37" si="4">IF(COUNT(E8:F8)=0,"",SUM(E8:F8))</f>
        <v/>
      </c>
      <c r="H8" s="17" t="str">
        <f t="shared" ref="H8:H37" si="5">IF(G8="","",SUM($G$8:G8))</f>
        <v/>
      </c>
      <c r="I8" s="18" t="str">
        <f t="shared" ref="I8:J8" si="1">IF(G8="","",IFERROR(G8/C8,""))</f>
        <v/>
      </c>
      <c r="J8" s="18" t="str">
        <f t="shared" si="1"/>
        <v/>
      </c>
      <c r="K8" s="17" t="str">
        <f t="shared" ref="K8:K37" si="7">IF(H8="","",IF(D8=0,"",H8-D8))</f>
        <v/>
      </c>
      <c r="L8" s="19" t="str">
        <f t="shared" ref="L8:L37" si="8">IF(G8="","—",IF(D8=0,"予算未入力",IF(H8&gt;=D8,"◎ ペース内","▲ 遅れ")))</f>
        <v>—</v>
      </c>
      <c r="M8" s="21"/>
      <c r="N8" s="21"/>
      <c r="O8" s="21"/>
      <c r="P8" s="21"/>
      <c r="Q8" s="21"/>
      <c r="R8" s="18" t="str">
        <f t="shared" ref="R8:R38" si="9">IFERROR(M8/O8,"")</f>
        <v/>
      </c>
      <c r="S8" s="17" t="str">
        <f t="shared" ref="S8:S38" si="10">IFERROR(G8/M8,"")</f>
        <v/>
      </c>
      <c r="T8" s="22" t="str">
        <f t="shared" ref="T8:T38" si="11">IFERROR(N8/M8,"")</f>
        <v/>
      </c>
      <c r="U8" s="18" t="str">
        <f t="shared" ref="U8:U38" si="12">IFERROR(P8/O8,"")</f>
        <v/>
      </c>
      <c r="V8" s="21"/>
      <c r="W8" s="21"/>
      <c r="X8" s="16"/>
      <c r="Y8" s="24"/>
      <c r="AA8" s="26" t="s">
        <v>48</v>
      </c>
      <c r="AB8" s="28">
        <f t="shared" ref="AB8:AB14" si="13">IFERROR(AVERAGEIFS($G$8:$G$37,$B$8:$B$37,AA8,$G$8:$G$37,"&gt;0"),0)</f>
        <v>0</v>
      </c>
      <c r="AC8" s="30">
        <f t="shared" ref="AC8:AC14" si="14">COUNTIFS($B$8:$B$37,AA8,$G$8:$G$37,"&gt;0")</f>
        <v>0</v>
      </c>
      <c r="AD8" s="31">
        <f t="shared" ref="AD8:AD14" si="15">IFERROR(SUMIF($B$8:$B$37,AA8,$M$8:$M$37)/SUMIF($B$8:$B$37,AA8,$O$8:$O$37),0)</f>
        <v>0</v>
      </c>
      <c r="AE8" s="28">
        <f t="shared" ref="AE8:AE14" si="16">IFERROR(SUMIF($B$8:$B$37,AA8,$G$8:$G$37)/SUMIF($B$8:$B$37,AA8,$M$8:$M$37),0)</f>
        <v>0</v>
      </c>
    </row>
    <row r="9">
      <c r="A9" s="32">
        <v>46328.0</v>
      </c>
      <c r="B9" s="23" t="str">
        <f t="shared" si="2"/>
        <v>月</v>
      </c>
      <c r="C9" s="16"/>
      <c r="D9" s="25">
        <f t="shared" si="3"/>
        <v>0</v>
      </c>
      <c r="E9" s="16"/>
      <c r="F9" s="16"/>
      <c r="G9" s="25" t="str">
        <f t="shared" si="4"/>
        <v/>
      </c>
      <c r="H9" s="25" t="str">
        <f t="shared" si="5"/>
        <v/>
      </c>
      <c r="I9" s="27" t="str">
        <f t="shared" ref="I9:J9" si="6">IF(G9="","",IFERROR(G9/C9,""))</f>
        <v/>
      </c>
      <c r="J9" s="27" t="str">
        <f t="shared" si="6"/>
        <v/>
      </c>
      <c r="K9" s="25" t="str">
        <f t="shared" si="7"/>
        <v/>
      </c>
      <c r="L9" s="33" t="str">
        <f t="shared" si="8"/>
        <v>—</v>
      </c>
      <c r="M9" s="21"/>
      <c r="N9" s="21"/>
      <c r="O9" s="21"/>
      <c r="P9" s="21"/>
      <c r="Q9" s="21"/>
      <c r="R9" s="27" t="str">
        <f t="shared" si="9"/>
        <v/>
      </c>
      <c r="S9" s="25" t="str">
        <f t="shared" si="10"/>
        <v/>
      </c>
      <c r="T9" s="34" t="str">
        <f t="shared" si="11"/>
        <v/>
      </c>
      <c r="U9" s="27" t="str">
        <f t="shared" si="12"/>
        <v/>
      </c>
      <c r="V9" s="21"/>
      <c r="W9" s="21"/>
      <c r="X9" s="16"/>
      <c r="Y9" s="24"/>
      <c r="AA9" s="26" t="s">
        <v>58</v>
      </c>
      <c r="AB9" s="28">
        <f t="shared" si="13"/>
        <v>0</v>
      </c>
      <c r="AC9" s="30">
        <f t="shared" si="14"/>
        <v>0</v>
      </c>
      <c r="AD9" s="31">
        <f t="shared" si="15"/>
        <v>0</v>
      </c>
      <c r="AE9" s="28">
        <f t="shared" si="16"/>
        <v>0</v>
      </c>
    </row>
    <row r="10">
      <c r="A10" s="14">
        <v>46329.0</v>
      </c>
      <c r="B10" s="15" t="str">
        <f t="shared" si="2"/>
        <v>火</v>
      </c>
      <c r="C10" s="16"/>
      <c r="D10" s="17">
        <f t="shared" si="3"/>
        <v>0</v>
      </c>
      <c r="E10" s="16"/>
      <c r="F10" s="16"/>
      <c r="G10" s="17" t="str">
        <f t="shared" si="4"/>
        <v/>
      </c>
      <c r="H10" s="17" t="str">
        <f t="shared" si="5"/>
        <v/>
      </c>
      <c r="I10" s="18" t="str">
        <f t="shared" ref="I10:J10" si="17">IF(G10="","",IFERROR(G10/C10,""))</f>
        <v/>
      </c>
      <c r="J10" s="18" t="str">
        <f t="shared" si="17"/>
        <v/>
      </c>
      <c r="K10" s="17" t="str">
        <f t="shared" si="7"/>
        <v/>
      </c>
      <c r="L10" s="19" t="str">
        <f t="shared" si="8"/>
        <v>—</v>
      </c>
      <c r="M10" s="21"/>
      <c r="N10" s="21"/>
      <c r="O10" s="21"/>
      <c r="P10" s="21"/>
      <c r="Q10" s="21"/>
      <c r="R10" s="18" t="str">
        <f t="shared" si="9"/>
        <v/>
      </c>
      <c r="S10" s="17" t="str">
        <f t="shared" si="10"/>
        <v/>
      </c>
      <c r="T10" s="22" t="str">
        <f t="shared" si="11"/>
        <v/>
      </c>
      <c r="U10" s="18" t="str">
        <f t="shared" si="12"/>
        <v/>
      </c>
      <c r="V10" s="21"/>
      <c r="W10" s="21"/>
      <c r="X10" s="16"/>
      <c r="Y10" s="24"/>
      <c r="AA10" s="26" t="s">
        <v>61</v>
      </c>
      <c r="AB10" s="28">
        <f t="shared" si="13"/>
        <v>0</v>
      </c>
      <c r="AC10" s="30">
        <f t="shared" si="14"/>
        <v>0</v>
      </c>
      <c r="AD10" s="31">
        <f t="shared" si="15"/>
        <v>0</v>
      </c>
      <c r="AE10" s="28">
        <f t="shared" si="16"/>
        <v>0</v>
      </c>
    </row>
    <row r="11">
      <c r="A11" s="32">
        <v>46330.0</v>
      </c>
      <c r="B11" s="23" t="str">
        <f t="shared" si="2"/>
        <v>水</v>
      </c>
      <c r="C11" s="16"/>
      <c r="D11" s="25">
        <f t="shared" si="3"/>
        <v>0</v>
      </c>
      <c r="E11" s="16"/>
      <c r="F11" s="16"/>
      <c r="G11" s="25" t="str">
        <f t="shared" si="4"/>
        <v/>
      </c>
      <c r="H11" s="25" t="str">
        <f t="shared" si="5"/>
        <v/>
      </c>
      <c r="I11" s="27" t="str">
        <f t="shared" ref="I11:J11" si="18">IF(G11="","",IFERROR(G11/C11,""))</f>
        <v/>
      </c>
      <c r="J11" s="27" t="str">
        <f t="shared" si="18"/>
        <v/>
      </c>
      <c r="K11" s="25" t="str">
        <f t="shared" si="7"/>
        <v/>
      </c>
      <c r="L11" s="33" t="str">
        <f t="shared" si="8"/>
        <v>—</v>
      </c>
      <c r="M11" s="21"/>
      <c r="N11" s="21"/>
      <c r="O11" s="21"/>
      <c r="P11" s="21"/>
      <c r="Q11" s="21"/>
      <c r="R11" s="27" t="str">
        <f t="shared" si="9"/>
        <v/>
      </c>
      <c r="S11" s="25" t="str">
        <f t="shared" si="10"/>
        <v/>
      </c>
      <c r="T11" s="34" t="str">
        <f t="shared" si="11"/>
        <v/>
      </c>
      <c r="U11" s="27" t="str">
        <f t="shared" si="12"/>
        <v/>
      </c>
      <c r="V11" s="21"/>
      <c r="W11" s="21"/>
      <c r="X11" s="16"/>
      <c r="Y11" s="24"/>
      <c r="AA11" s="26" t="s">
        <v>64</v>
      </c>
      <c r="AB11" s="28">
        <f t="shared" si="13"/>
        <v>0</v>
      </c>
      <c r="AC11" s="30">
        <f t="shared" si="14"/>
        <v>0</v>
      </c>
      <c r="AD11" s="31">
        <f t="shared" si="15"/>
        <v>0</v>
      </c>
      <c r="AE11" s="28">
        <f t="shared" si="16"/>
        <v>0</v>
      </c>
    </row>
    <row r="12">
      <c r="A12" s="14">
        <v>46331.0</v>
      </c>
      <c r="B12" s="15" t="str">
        <f t="shared" si="2"/>
        <v>木</v>
      </c>
      <c r="C12" s="16"/>
      <c r="D12" s="17">
        <f t="shared" si="3"/>
        <v>0</v>
      </c>
      <c r="E12" s="16"/>
      <c r="F12" s="16"/>
      <c r="G12" s="17" t="str">
        <f t="shared" si="4"/>
        <v/>
      </c>
      <c r="H12" s="17" t="str">
        <f t="shared" si="5"/>
        <v/>
      </c>
      <c r="I12" s="18" t="str">
        <f t="shared" ref="I12:J12" si="19">IF(G12="","",IFERROR(G12/C12,""))</f>
        <v/>
      </c>
      <c r="J12" s="18" t="str">
        <f t="shared" si="19"/>
        <v/>
      </c>
      <c r="K12" s="17" t="str">
        <f t="shared" si="7"/>
        <v/>
      </c>
      <c r="L12" s="19" t="str">
        <f t="shared" si="8"/>
        <v>—</v>
      </c>
      <c r="M12" s="21"/>
      <c r="N12" s="21"/>
      <c r="O12" s="21"/>
      <c r="P12" s="21"/>
      <c r="Q12" s="21"/>
      <c r="R12" s="18" t="str">
        <f t="shared" si="9"/>
        <v/>
      </c>
      <c r="S12" s="17" t="str">
        <f t="shared" si="10"/>
        <v/>
      </c>
      <c r="T12" s="22" t="str">
        <f t="shared" si="11"/>
        <v/>
      </c>
      <c r="U12" s="18" t="str">
        <f t="shared" si="12"/>
        <v/>
      </c>
      <c r="V12" s="21"/>
      <c r="W12" s="21"/>
      <c r="X12" s="16"/>
      <c r="Y12" s="24"/>
      <c r="AA12" s="26" t="s">
        <v>67</v>
      </c>
      <c r="AB12" s="28">
        <f t="shared" si="13"/>
        <v>0</v>
      </c>
      <c r="AC12" s="30">
        <f t="shared" si="14"/>
        <v>0</v>
      </c>
      <c r="AD12" s="31">
        <f t="shared" si="15"/>
        <v>0</v>
      </c>
      <c r="AE12" s="28">
        <f t="shared" si="16"/>
        <v>0</v>
      </c>
    </row>
    <row r="13">
      <c r="A13" s="32">
        <v>46332.0</v>
      </c>
      <c r="B13" s="23" t="str">
        <f t="shared" si="2"/>
        <v>金</v>
      </c>
      <c r="C13" s="16"/>
      <c r="D13" s="25">
        <f t="shared" si="3"/>
        <v>0</v>
      </c>
      <c r="E13" s="16"/>
      <c r="F13" s="16"/>
      <c r="G13" s="25" t="str">
        <f t="shared" si="4"/>
        <v/>
      </c>
      <c r="H13" s="25" t="str">
        <f t="shared" si="5"/>
        <v/>
      </c>
      <c r="I13" s="27" t="str">
        <f t="shared" ref="I13:J13" si="20">IF(G13="","",IFERROR(G13/C13,""))</f>
        <v/>
      </c>
      <c r="J13" s="27" t="str">
        <f t="shared" si="20"/>
        <v/>
      </c>
      <c r="K13" s="25" t="str">
        <f t="shared" si="7"/>
        <v/>
      </c>
      <c r="L13" s="33" t="str">
        <f t="shared" si="8"/>
        <v>—</v>
      </c>
      <c r="M13" s="21"/>
      <c r="N13" s="21"/>
      <c r="O13" s="21"/>
      <c r="P13" s="21"/>
      <c r="Q13" s="21"/>
      <c r="R13" s="27" t="str">
        <f t="shared" si="9"/>
        <v/>
      </c>
      <c r="S13" s="25" t="str">
        <f t="shared" si="10"/>
        <v/>
      </c>
      <c r="T13" s="34" t="str">
        <f t="shared" si="11"/>
        <v/>
      </c>
      <c r="U13" s="27" t="str">
        <f t="shared" si="12"/>
        <v/>
      </c>
      <c r="V13" s="21"/>
      <c r="W13" s="21"/>
      <c r="X13" s="16"/>
      <c r="Y13" s="24"/>
      <c r="AA13" s="26" t="s">
        <v>69</v>
      </c>
      <c r="AB13" s="28">
        <f t="shared" si="13"/>
        <v>0</v>
      </c>
      <c r="AC13" s="30">
        <f t="shared" si="14"/>
        <v>0</v>
      </c>
      <c r="AD13" s="31">
        <f t="shared" si="15"/>
        <v>0</v>
      </c>
      <c r="AE13" s="28">
        <f t="shared" si="16"/>
        <v>0</v>
      </c>
    </row>
    <row r="14">
      <c r="A14" s="14">
        <v>46333.0</v>
      </c>
      <c r="B14" s="15" t="str">
        <f t="shared" si="2"/>
        <v>土</v>
      </c>
      <c r="C14" s="16"/>
      <c r="D14" s="17">
        <f t="shared" si="3"/>
        <v>0</v>
      </c>
      <c r="E14" s="16"/>
      <c r="F14" s="16"/>
      <c r="G14" s="17" t="str">
        <f t="shared" si="4"/>
        <v/>
      </c>
      <c r="H14" s="17" t="str">
        <f t="shared" si="5"/>
        <v/>
      </c>
      <c r="I14" s="18" t="str">
        <f t="shared" ref="I14:J14" si="21">IF(G14="","",IFERROR(G14/C14,""))</f>
        <v/>
      </c>
      <c r="J14" s="18" t="str">
        <f t="shared" si="21"/>
        <v/>
      </c>
      <c r="K14" s="17" t="str">
        <f t="shared" si="7"/>
        <v/>
      </c>
      <c r="L14" s="19" t="str">
        <f t="shared" si="8"/>
        <v>—</v>
      </c>
      <c r="M14" s="21"/>
      <c r="N14" s="21"/>
      <c r="O14" s="21"/>
      <c r="P14" s="21"/>
      <c r="Q14" s="21"/>
      <c r="R14" s="18" t="str">
        <f t="shared" si="9"/>
        <v/>
      </c>
      <c r="S14" s="17" t="str">
        <f t="shared" si="10"/>
        <v/>
      </c>
      <c r="T14" s="22" t="str">
        <f t="shared" si="11"/>
        <v/>
      </c>
      <c r="U14" s="18" t="str">
        <f t="shared" si="12"/>
        <v/>
      </c>
      <c r="V14" s="21"/>
      <c r="W14" s="21"/>
      <c r="X14" s="16"/>
      <c r="Y14" s="24"/>
      <c r="AA14" s="26" t="s">
        <v>71</v>
      </c>
      <c r="AB14" s="28">
        <f t="shared" si="13"/>
        <v>0</v>
      </c>
      <c r="AC14" s="30">
        <f t="shared" si="14"/>
        <v>0</v>
      </c>
      <c r="AD14" s="31">
        <f t="shared" si="15"/>
        <v>0</v>
      </c>
      <c r="AE14" s="28">
        <f t="shared" si="16"/>
        <v>0</v>
      </c>
    </row>
    <row r="15">
      <c r="A15" s="32">
        <v>46334.0</v>
      </c>
      <c r="B15" s="23" t="str">
        <f t="shared" si="2"/>
        <v>日</v>
      </c>
      <c r="C15" s="16"/>
      <c r="D15" s="25">
        <f t="shared" si="3"/>
        <v>0</v>
      </c>
      <c r="E15" s="16"/>
      <c r="F15" s="16"/>
      <c r="G15" s="25" t="str">
        <f t="shared" si="4"/>
        <v/>
      </c>
      <c r="H15" s="25" t="str">
        <f t="shared" si="5"/>
        <v/>
      </c>
      <c r="I15" s="27" t="str">
        <f t="shared" ref="I15:J15" si="22">IF(G15="","",IFERROR(G15/C15,""))</f>
        <v/>
      </c>
      <c r="J15" s="27" t="str">
        <f t="shared" si="22"/>
        <v/>
      </c>
      <c r="K15" s="25" t="str">
        <f t="shared" si="7"/>
        <v/>
      </c>
      <c r="L15" s="33" t="str">
        <f t="shared" si="8"/>
        <v>—</v>
      </c>
      <c r="M15" s="21"/>
      <c r="N15" s="21"/>
      <c r="O15" s="21"/>
      <c r="P15" s="21"/>
      <c r="Q15" s="21"/>
      <c r="R15" s="27" t="str">
        <f t="shared" si="9"/>
        <v/>
      </c>
      <c r="S15" s="25" t="str">
        <f t="shared" si="10"/>
        <v/>
      </c>
      <c r="T15" s="34" t="str">
        <f t="shared" si="11"/>
        <v/>
      </c>
      <c r="U15" s="27" t="str">
        <f t="shared" si="12"/>
        <v/>
      </c>
      <c r="V15" s="21"/>
      <c r="W15" s="21"/>
      <c r="X15" s="16"/>
      <c r="Y15" s="24"/>
    </row>
    <row r="16">
      <c r="A16" s="14">
        <v>46335.0</v>
      </c>
      <c r="B16" s="15" t="str">
        <f t="shared" si="2"/>
        <v>月</v>
      </c>
      <c r="C16" s="16"/>
      <c r="D16" s="17">
        <f t="shared" si="3"/>
        <v>0</v>
      </c>
      <c r="E16" s="16"/>
      <c r="F16" s="16"/>
      <c r="G16" s="17" t="str">
        <f t="shared" si="4"/>
        <v/>
      </c>
      <c r="H16" s="17" t="str">
        <f t="shared" si="5"/>
        <v/>
      </c>
      <c r="I16" s="18" t="str">
        <f t="shared" ref="I16:J16" si="23">IF(G16="","",IFERROR(G16/C16,""))</f>
        <v/>
      </c>
      <c r="J16" s="18" t="str">
        <f t="shared" si="23"/>
        <v/>
      </c>
      <c r="K16" s="17" t="str">
        <f t="shared" si="7"/>
        <v/>
      </c>
      <c r="L16" s="19" t="str">
        <f t="shared" si="8"/>
        <v>—</v>
      </c>
      <c r="M16" s="21"/>
      <c r="N16" s="21"/>
      <c r="O16" s="21"/>
      <c r="P16" s="21"/>
      <c r="Q16" s="21"/>
      <c r="R16" s="18" t="str">
        <f t="shared" si="9"/>
        <v/>
      </c>
      <c r="S16" s="17" t="str">
        <f t="shared" si="10"/>
        <v/>
      </c>
      <c r="T16" s="22" t="str">
        <f t="shared" si="11"/>
        <v/>
      </c>
      <c r="U16" s="18" t="str">
        <f t="shared" si="12"/>
        <v/>
      </c>
      <c r="V16" s="21"/>
      <c r="W16" s="21"/>
      <c r="X16" s="16"/>
      <c r="Y16" s="24"/>
      <c r="AA16" s="39" t="s">
        <v>75</v>
      </c>
    </row>
    <row r="17">
      <c r="A17" s="32">
        <v>46336.0</v>
      </c>
      <c r="B17" s="23" t="str">
        <f t="shared" si="2"/>
        <v>火</v>
      </c>
      <c r="C17" s="16"/>
      <c r="D17" s="25">
        <f t="shared" si="3"/>
        <v>0</v>
      </c>
      <c r="E17" s="16"/>
      <c r="F17" s="16"/>
      <c r="G17" s="25" t="str">
        <f t="shared" si="4"/>
        <v/>
      </c>
      <c r="H17" s="25" t="str">
        <f t="shared" si="5"/>
        <v/>
      </c>
      <c r="I17" s="27" t="str">
        <f t="shared" ref="I17:J17" si="24">IF(G17="","",IFERROR(G17/C17,""))</f>
        <v/>
      </c>
      <c r="J17" s="27" t="str">
        <f t="shared" si="24"/>
        <v/>
      </c>
      <c r="K17" s="25" t="str">
        <f t="shared" si="7"/>
        <v/>
      </c>
      <c r="L17" s="33" t="str">
        <f t="shared" si="8"/>
        <v>—</v>
      </c>
      <c r="M17" s="21"/>
      <c r="N17" s="21"/>
      <c r="O17" s="21"/>
      <c r="P17" s="21"/>
      <c r="Q17" s="21"/>
      <c r="R17" s="27" t="str">
        <f t="shared" si="9"/>
        <v/>
      </c>
      <c r="S17" s="25" t="str">
        <f t="shared" si="10"/>
        <v/>
      </c>
      <c r="T17" s="34" t="str">
        <f t="shared" si="11"/>
        <v/>
      </c>
      <c r="U17" s="27" t="str">
        <f t="shared" si="12"/>
        <v/>
      </c>
      <c r="V17" s="21"/>
      <c r="W17" s="21"/>
      <c r="X17" s="16"/>
      <c r="Y17" s="24"/>
    </row>
    <row r="18">
      <c r="A18" s="14">
        <v>46337.0</v>
      </c>
      <c r="B18" s="15" t="str">
        <f t="shared" si="2"/>
        <v>水</v>
      </c>
      <c r="C18" s="16"/>
      <c r="D18" s="17">
        <f t="shared" si="3"/>
        <v>0</v>
      </c>
      <c r="E18" s="16"/>
      <c r="F18" s="16"/>
      <c r="G18" s="17" t="str">
        <f t="shared" si="4"/>
        <v/>
      </c>
      <c r="H18" s="17" t="str">
        <f t="shared" si="5"/>
        <v/>
      </c>
      <c r="I18" s="18" t="str">
        <f t="shared" ref="I18:J18" si="25">IF(G18="","",IFERROR(G18/C18,""))</f>
        <v/>
      </c>
      <c r="J18" s="18" t="str">
        <f t="shared" si="25"/>
        <v/>
      </c>
      <c r="K18" s="17" t="str">
        <f t="shared" si="7"/>
        <v/>
      </c>
      <c r="L18" s="19" t="str">
        <f t="shared" si="8"/>
        <v>—</v>
      </c>
      <c r="M18" s="21"/>
      <c r="N18" s="21"/>
      <c r="O18" s="21"/>
      <c r="P18" s="21"/>
      <c r="Q18" s="21"/>
      <c r="R18" s="18" t="str">
        <f t="shared" si="9"/>
        <v/>
      </c>
      <c r="S18" s="17" t="str">
        <f t="shared" si="10"/>
        <v/>
      </c>
      <c r="T18" s="22" t="str">
        <f t="shared" si="11"/>
        <v/>
      </c>
      <c r="U18" s="18" t="str">
        <f t="shared" si="12"/>
        <v/>
      </c>
      <c r="V18" s="21"/>
      <c r="W18" s="21"/>
      <c r="X18" s="16"/>
      <c r="Y18" s="24"/>
      <c r="AA18" s="40" t="s">
        <v>190</v>
      </c>
      <c r="AH18" s="39" t="s">
        <v>119</v>
      </c>
      <c r="AI18" s="41">
        <f>$A$8+MOD(1-WEEKDAY($A$8,2)+7,7)</f>
        <v>46329</v>
      </c>
    </row>
    <row r="19">
      <c r="A19" s="32">
        <v>46338.0</v>
      </c>
      <c r="B19" s="23" t="str">
        <f t="shared" si="2"/>
        <v>木</v>
      </c>
      <c r="C19" s="16"/>
      <c r="D19" s="25">
        <f t="shared" si="3"/>
        <v>0</v>
      </c>
      <c r="E19" s="16"/>
      <c r="F19" s="16"/>
      <c r="G19" s="25" t="str">
        <f t="shared" si="4"/>
        <v/>
      </c>
      <c r="H19" s="25" t="str">
        <f t="shared" si="5"/>
        <v/>
      </c>
      <c r="I19" s="27" t="str">
        <f t="shared" ref="I19:J19" si="26">IF(G19="","",IFERROR(G19/C19,""))</f>
        <v/>
      </c>
      <c r="J19" s="27" t="str">
        <f t="shared" si="26"/>
        <v/>
      </c>
      <c r="K19" s="25" t="str">
        <f t="shared" si="7"/>
        <v/>
      </c>
      <c r="L19" s="33" t="str">
        <f t="shared" si="8"/>
        <v>—</v>
      </c>
      <c r="M19" s="21"/>
      <c r="N19" s="21"/>
      <c r="O19" s="21"/>
      <c r="P19" s="21"/>
      <c r="Q19" s="21"/>
      <c r="R19" s="27" t="str">
        <f t="shared" si="9"/>
        <v/>
      </c>
      <c r="S19" s="25" t="str">
        <f t="shared" si="10"/>
        <v/>
      </c>
      <c r="T19" s="34" t="str">
        <f t="shared" si="11"/>
        <v/>
      </c>
      <c r="U19" s="27" t="str">
        <f t="shared" si="12"/>
        <v/>
      </c>
      <c r="V19" s="21"/>
      <c r="W19" s="21"/>
      <c r="X19" s="16"/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46339.0</v>
      </c>
      <c r="B20" s="15" t="str">
        <f t="shared" si="2"/>
        <v>金</v>
      </c>
      <c r="C20" s="16"/>
      <c r="D20" s="17">
        <f t="shared" si="3"/>
        <v>0</v>
      </c>
      <c r="E20" s="16"/>
      <c r="F20" s="16"/>
      <c r="G20" s="17" t="str">
        <f t="shared" si="4"/>
        <v/>
      </c>
      <c r="H20" s="17" t="str">
        <f t="shared" si="5"/>
        <v/>
      </c>
      <c r="I20" s="18" t="str">
        <f t="shared" ref="I20:J20" si="27">IF(G20="","",IFERROR(G20/C20,""))</f>
        <v/>
      </c>
      <c r="J20" s="18" t="str">
        <f t="shared" si="27"/>
        <v/>
      </c>
      <c r="K20" s="17" t="str">
        <f t="shared" si="7"/>
        <v/>
      </c>
      <c r="L20" s="19" t="str">
        <f t="shared" si="8"/>
        <v>—</v>
      </c>
      <c r="M20" s="21"/>
      <c r="N20" s="21"/>
      <c r="O20" s="21"/>
      <c r="P20" s="21"/>
      <c r="Q20" s="21"/>
      <c r="R20" s="18" t="str">
        <f t="shared" si="9"/>
        <v/>
      </c>
      <c r="S20" s="17" t="str">
        <f t="shared" si="10"/>
        <v/>
      </c>
      <c r="T20" s="22" t="str">
        <f t="shared" si="11"/>
        <v/>
      </c>
      <c r="U20" s="18" t="str">
        <f t="shared" si="12"/>
        <v/>
      </c>
      <c r="V20" s="21"/>
      <c r="W20" s="21"/>
      <c r="X20" s="16"/>
      <c r="Y20" s="24"/>
      <c r="AA20" s="30">
        <v>1.0</v>
      </c>
      <c r="AB20" s="42" t="str">
        <f>IF($AI$18+7*(1-1)&gt;$A$37,"",TEXT($AI$18+7*(1-1),"m/d")&amp;"-"&amp;TEXT($AI$18+7*(1-1)+6,"m/d"))</f>
        <v>11/3-11/9</v>
      </c>
      <c r="AC20" s="28">
        <f>IF($AB20="","",(SUMIFS($G$8:$G$37,$A$8:$A$37,"&gt;="&amp;$AI$18+7*(1-1),$A$8:$A$37,"&lt;="&amp;$AI$18+7*(1-1)+6)+SUMIFS('2026年12月'!$G$8:$G$38,'2026年12月'!$A$8:$A$38,"&gt;="&amp;$AI$18+7*(1-1),'2026年12月'!$A$8:$A$38,"&lt;="&amp;$AI$18+7*(1-1)+6)))</f>
        <v>0</v>
      </c>
      <c r="AD20" s="31" t="str">
        <f>IF($AB20="","",IFERROR((SUMIFS($M$8:$M$37,$A$8:$A$37,"&gt;="&amp;$AI$18+7*(1-1),$A$8:$A$37,"&lt;="&amp;$AI$18+7*(1-1)+6)+SUMIFS('2026年12月'!$M$8:$M$38,'2026年12月'!$A$8:$A$38,"&gt;="&amp;$AI$18+7*(1-1),'2026年12月'!$A$8:$A$38,"&lt;="&amp;$AI$18+7*(1-1)+6))/(SUMIFS($O$8:$O$37,$A$8:$A$37,"&gt;="&amp;$AI$18+7*(1-1),$A$8:$A$37,"&lt;="&amp;$AI$18+7*(1-1)+6)+SUMIFS('2026年12月'!$O$8:$O$38,'2026年12月'!$A$8:$A$38,"&gt;="&amp;$AI$18+7*(1-1),'2026年12月'!$A$8:$A$38,"&lt;="&amp;$AI$18+7*(1-1)+6)),""))</f>
        <v/>
      </c>
      <c r="AE20" s="28" t="str">
        <f>IF($AB20="","",IFERROR((SUMIFS($G$8:$G$37,$A$8:$A$37,"&gt;="&amp;$AI$18+7*(1-1),$A$8:$A$37,"&lt;="&amp;$AI$18+7*(1-1)+6)+SUMIFS('2026年12月'!$G$8:$G$38,'2026年12月'!$A$8:$A$38,"&gt;="&amp;$AI$18+7*(1-1),'2026年12月'!$A$8:$A$38,"&lt;="&amp;$AI$18+7*(1-1)+6))/(SUMIFS($M$8:$M$37,$A$8:$A$37,"&gt;="&amp;$AI$18+7*(1-1),$A$8:$A$37,"&lt;="&amp;$AI$18+7*(1-1)+6)+SUMIFS('2026年12月'!$M$8:$M$38,'2026年12月'!$A$8:$A$38,"&gt;="&amp;$AI$18+7*(1-1),'2026年12月'!$A$8:$A$38,"&lt;="&amp;$AI$18+7*(1-1)+6)),""))</f>
        <v/>
      </c>
      <c r="AF20" s="43" t="str">
        <f>IF($AB20="","",IFERROR((SUMIFS($N$8:$N$37,$A$8:$A$37,"&gt;="&amp;$AI$18+7*(1-1),$A$8:$A$37,"&lt;="&amp;$AI$18+7*(1-1)+6)+SUMIFS('2026年12月'!$N$8:$N$38,'2026年12月'!$A$8:$A$38,"&gt;="&amp;$AI$18+7*(1-1),'2026年12月'!$A$8:$A$38,"&lt;="&amp;$AI$18+7*(1-1)+6))/(SUMIFS($M$8:$M$37,$A$8:$A$37,"&gt;="&amp;$AI$18+7*(1-1),$A$8:$A$37,"&lt;="&amp;$AI$18+7*(1-1)+6)+SUMIFS('2026年12月'!$M$8:$M$38,'2026年12月'!$A$8:$A$38,"&gt;="&amp;$AI$18+7*(1-1),'2026年12月'!$A$8:$A$38,"&lt;="&amp;$AI$18+7*(1-1)+6)),""))</f>
        <v/>
      </c>
      <c r="AG20" s="31" t="str">
        <f>IF($AB20="","",IFERROR((SUMIFS($P$8:$P$37,$A$8:$A$37,"&gt;="&amp;$AI$18+7*(1-1),$A$8:$A$37,"&lt;="&amp;$AI$18+7*(1-1)+6)+SUMIFS('2026年12月'!$P$8:$P$38,'2026年12月'!$A$8:$A$38,"&gt;="&amp;$AI$18+7*(1-1),'2026年12月'!$A$8:$A$38,"&lt;="&amp;$AI$18+7*(1-1)+6))/(SUMIFS($O$8:$O$37,$A$8:$A$37,"&gt;="&amp;$AI$18+7*(1-1),$A$8:$A$37,"&lt;="&amp;$AI$18+7*(1-1)+6)+SUMIFS('2026年12月'!$O$8:$O$38,'2026年12月'!$A$8:$A$38,"&gt;="&amp;$AI$18+7*(1-1),'2026年12月'!$A$8:$A$38,"&lt;="&amp;$AI$18+7*(1-1)+6)),""))</f>
        <v/>
      </c>
    </row>
    <row r="21" ht="15.75" customHeight="1">
      <c r="A21" s="32">
        <v>46340.0</v>
      </c>
      <c r="B21" s="23" t="str">
        <f t="shared" si="2"/>
        <v>土</v>
      </c>
      <c r="C21" s="16"/>
      <c r="D21" s="25">
        <f t="shared" si="3"/>
        <v>0</v>
      </c>
      <c r="E21" s="16"/>
      <c r="F21" s="16"/>
      <c r="G21" s="25" t="str">
        <f t="shared" si="4"/>
        <v/>
      </c>
      <c r="H21" s="25" t="str">
        <f t="shared" si="5"/>
        <v/>
      </c>
      <c r="I21" s="27" t="str">
        <f t="shared" ref="I21:J21" si="28">IF(G21="","",IFERROR(G21/C21,""))</f>
        <v/>
      </c>
      <c r="J21" s="27" t="str">
        <f t="shared" si="28"/>
        <v/>
      </c>
      <c r="K21" s="25" t="str">
        <f t="shared" si="7"/>
        <v/>
      </c>
      <c r="L21" s="33" t="str">
        <f t="shared" si="8"/>
        <v>—</v>
      </c>
      <c r="M21" s="21"/>
      <c r="N21" s="21"/>
      <c r="O21" s="21"/>
      <c r="P21" s="21"/>
      <c r="Q21" s="21"/>
      <c r="R21" s="27" t="str">
        <f t="shared" si="9"/>
        <v/>
      </c>
      <c r="S21" s="25" t="str">
        <f t="shared" si="10"/>
        <v/>
      </c>
      <c r="T21" s="34" t="str">
        <f t="shared" si="11"/>
        <v/>
      </c>
      <c r="U21" s="27" t="str">
        <f t="shared" si="12"/>
        <v/>
      </c>
      <c r="V21" s="21"/>
      <c r="W21" s="21"/>
      <c r="X21" s="16"/>
      <c r="Y21" s="24"/>
      <c r="AA21" s="30">
        <v>2.0</v>
      </c>
      <c r="AB21" s="42" t="str">
        <f>IF($AI$18+7*(2-1)&gt;$A$37,"",TEXT($AI$18+7*(2-1),"m/d")&amp;"-"&amp;TEXT($AI$18+7*(2-1)+6,"m/d"))</f>
        <v>11/10-11/16</v>
      </c>
      <c r="AC21" s="28">
        <f>IF($AB21="","",(SUMIFS($G$8:$G$37,$A$8:$A$37,"&gt;="&amp;$AI$18+7*(2-1),$A$8:$A$37,"&lt;="&amp;$AI$18+7*(2-1)+6)+SUMIFS('2026年12月'!$G$8:$G$38,'2026年12月'!$A$8:$A$38,"&gt;="&amp;$AI$18+7*(2-1),'2026年12月'!$A$8:$A$38,"&lt;="&amp;$AI$18+7*(2-1)+6)))</f>
        <v>0</v>
      </c>
      <c r="AD21" s="31" t="str">
        <f>IF($AB21="","",IFERROR((SUMIFS($M$8:$M$37,$A$8:$A$37,"&gt;="&amp;$AI$18+7*(2-1),$A$8:$A$37,"&lt;="&amp;$AI$18+7*(2-1)+6)+SUMIFS('2026年12月'!$M$8:$M$38,'2026年12月'!$A$8:$A$38,"&gt;="&amp;$AI$18+7*(2-1),'2026年12月'!$A$8:$A$38,"&lt;="&amp;$AI$18+7*(2-1)+6))/(SUMIFS($O$8:$O$37,$A$8:$A$37,"&gt;="&amp;$AI$18+7*(2-1),$A$8:$A$37,"&lt;="&amp;$AI$18+7*(2-1)+6)+SUMIFS('2026年12月'!$O$8:$O$38,'2026年12月'!$A$8:$A$38,"&gt;="&amp;$AI$18+7*(2-1),'2026年12月'!$A$8:$A$38,"&lt;="&amp;$AI$18+7*(2-1)+6)),""))</f>
        <v/>
      </c>
      <c r="AE21" s="28" t="str">
        <f>IF($AB21="","",IFERROR((SUMIFS($G$8:$G$37,$A$8:$A$37,"&gt;="&amp;$AI$18+7*(2-1),$A$8:$A$37,"&lt;="&amp;$AI$18+7*(2-1)+6)+SUMIFS('2026年12月'!$G$8:$G$38,'2026年12月'!$A$8:$A$38,"&gt;="&amp;$AI$18+7*(2-1),'2026年12月'!$A$8:$A$38,"&lt;="&amp;$AI$18+7*(2-1)+6))/(SUMIFS($M$8:$M$37,$A$8:$A$37,"&gt;="&amp;$AI$18+7*(2-1),$A$8:$A$37,"&lt;="&amp;$AI$18+7*(2-1)+6)+SUMIFS('2026年12月'!$M$8:$M$38,'2026年12月'!$A$8:$A$38,"&gt;="&amp;$AI$18+7*(2-1),'2026年12月'!$A$8:$A$38,"&lt;="&amp;$AI$18+7*(2-1)+6)),""))</f>
        <v/>
      </c>
      <c r="AF21" s="43" t="str">
        <f>IF($AB21="","",IFERROR((SUMIFS($N$8:$N$37,$A$8:$A$37,"&gt;="&amp;$AI$18+7*(2-1),$A$8:$A$37,"&lt;="&amp;$AI$18+7*(2-1)+6)+SUMIFS('2026年12月'!$N$8:$N$38,'2026年12月'!$A$8:$A$38,"&gt;="&amp;$AI$18+7*(2-1),'2026年12月'!$A$8:$A$38,"&lt;="&amp;$AI$18+7*(2-1)+6))/(SUMIFS($M$8:$M$37,$A$8:$A$37,"&gt;="&amp;$AI$18+7*(2-1),$A$8:$A$37,"&lt;="&amp;$AI$18+7*(2-1)+6)+SUMIFS('2026年12月'!$M$8:$M$38,'2026年12月'!$A$8:$A$38,"&gt;="&amp;$AI$18+7*(2-1),'2026年12月'!$A$8:$A$38,"&lt;="&amp;$AI$18+7*(2-1)+6)),""))</f>
        <v/>
      </c>
      <c r="AG21" s="31" t="str">
        <f>IF($AB21="","",IFERROR((SUMIFS($P$8:$P$37,$A$8:$A$37,"&gt;="&amp;$AI$18+7*(2-1),$A$8:$A$37,"&lt;="&amp;$AI$18+7*(2-1)+6)+SUMIFS('2026年12月'!$P$8:$P$38,'2026年12月'!$A$8:$A$38,"&gt;="&amp;$AI$18+7*(2-1),'2026年12月'!$A$8:$A$38,"&lt;="&amp;$AI$18+7*(2-1)+6))/(SUMIFS($O$8:$O$37,$A$8:$A$37,"&gt;="&amp;$AI$18+7*(2-1),$A$8:$A$37,"&lt;="&amp;$AI$18+7*(2-1)+6)+SUMIFS('2026年12月'!$O$8:$O$38,'2026年12月'!$A$8:$A$38,"&gt;="&amp;$AI$18+7*(2-1),'2026年12月'!$A$8:$A$38,"&lt;="&amp;$AI$18+7*(2-1)+6)),""))</f>
        <v/>
      </c>
    </row>
    <row r="22" ht="15.75" customHeight="1">
      <c r="A22" s="14">
        <v>46341.0</v>
      </c>
      <c r="B22" s="15" t="str">
        <f t="shared" si="2"/>
        <v>日</v>
      </c>
      <c r="C22" s="16"/>
      <c r="D22" s="17">
        <f t="shared" si="3"/>
        <v>0</v>
      </c>
      <c r="E22" s="16"/>
      <c r="F22" s="16"/>
      <c r="G22" s="17" t="str">
        <f t="shared" si="4"/>
        <v/>
      </c>
      <c r="H22" s="17" t="str">
        <f t="shared" si="5"/>
        <v/>
      </c>
      <c r="I22" s="18" t="str">
        <f t="shared" ref="I22:J22" si="29">IF(G22="","",IFERROR(G22/C22,""))</f>
        <v/>
      </c>
      <c r="J22" s="18" t="str">
        <f t="shared" si="29"/>
        <v/>
      </c>
      <c r="K22" s="17" t="str">
        <f t="shared" si="7"/>
        <v/>
      </c>
      <c r="L22" s="19" t="str">
        <f t="shared" si="8"/>
        <v>—</v>
      </c>
      <c r="M22" s="21"/>
      <c r="N22" s="21"/>
      <c r="O22" s="21"/>
      <c r="P22" s="21"/>
      <c r="Q22" s="21"/>
      <c r="R22" s="18" t="str">
        <f t="shared" si="9"/>
        <v/>
      </c>
      <c r="S22" s="17" t="str">
        <f t="shared" si="10"/>
        <v/>
      </c>
      <c r="T22" s="22" t="str">
        <f t="shared" si="11"/>
        <v/>
      </c>
      <c r="U22" s="18" t="str">
        <f t="shared" si="12"/>
        <v/>
      </c>
      <c r="V22" s="21"/>
      <c r="W22" s="21"/>
      <c r="X22" s="16"/>
      <c r="Y22" s="24"/>
      <c r="AA22" s="30">
        <v>3.0</v>
      </c>
      <c r="AB22" s="42" t="str">
        <f>IF($AI$18+7*(3-1)&gt;$A$37,"",TEXT($AI$18+7*(3-1),"m/d")&amp;"-"&amp;TEXT($AI$18+7*(3-1)+6,"m/d"))</f>
        <v>11/17-11/23</v>
      </c>
      <c r="AC22" s="28">
        <f>IF($AB22="","",(SUMIFS($G$8:$G$37,$A$8:$A$37,"&gt;="&amp;$AI$18+7*(3-1),$A$8:$A$37,"&lt;="&amp;$AI$18+7*(3-1)+6)+SUMIFS('2026年12月'!$G$8:$G$38,'2026年12月'!$A$8:$A$38,"&gt;="&amp;$AI$18+7*(3-1),'2026年12月'!$A$8:$A$38,"&lt;="&amp;$AI$18+7*(3-1)+6)))</f>
        <v>0</v>
      </c>
      <c r="AD22" s="31" t="str">
        <f>IF($AB22="","",IFERROR((SUMIFS($M$8:$M$37,$A$8:$A$37,"&gt;="&amp;$AI$18+7*(3-1),$A$8:$A$37,"&lt;="&amp;$AI$18+7*(3-1)+6)+SUMIFS('2026年12月'!$M$8:$M$38,'2026年12月'!$A$8:$A$38,"&gt;="&amp;$AI$18+7*(3-1),'2026年12月'!$A$8:$A$38,"&lt;="&amp;$AI$18+7*(3-1)+6))/(SUMIFS($O$8:$O$37,$A$8:$A$37,"&gt;="&amp;$AI$18+7*(3-1),$A$8:$A$37,"&lt;="&amp;$AI$18+7*(3-1)+6)+SUMIFS('2026年12月'!$O$8:$O$38,'2026年12月'!$A$8:$A$38,"&gt;="&amp;$AI$18+7*(3-1),'2026年12月'!$A$8:$A$38,"&lt;="&amp;$AI$18+7*(3-1)+6)),""))</f>
        <v/>
      </c>
      <c r="AE22" s="28" t="str">
        <f>IF($AB22="","",IFERROR((SUMIFS($G$8:$G$37,$A$8:$A$37,"&gt;="&amp;$AI$18+7*(3-1),$A$8:$A$37,"&lt;="&amp;$AI$18+7*(3-1)+6)+SUMIFS('2026年12月'!$G$8:$G$38,'2026年12月'!$A$8:$A$38,"&gt;="&amp;$AI$18+7*(3-1),'2026年12月'!$A$8:$A$38,"&lt;="&amp;$AI$18+7*(3-1)+6))/(SUMIFS($M$8:$M$37,$A$8:$A$37,"&gt;="&amp;$AI$18+7*(3-1),$A$8:$A$37,"&lt;="&amp;$AI$18+7*(3-1)+6)+SUMIFS('2026年12月'!$M$8:$M$38,'2026年12月'!$A$8:$A$38,"&gt;="&amp;$AI$18+7*(3-1),'2026年12月'!$A$8:$A$38,"&lt;="&amp;$AI$18+7*(3-1)+6)),""))</f>
        <v/>
      </c>
      <c r="AF22" s="43" t="str">
        <f>IF($AB22="","",IFERROR((SUMIFS($N$8:$N$37,$A$8:$A$37,"&gt;="&amp;$AI$18+7*(3-1),$A$8:$A$37,"&lt;="&amp;$AI$18+7*(3-1)+6)+SUMIFS('2026年12月'!$N$8:$N$38,'2026年12月'!$A$8:$A$38,"&gt;="&amp;$AI$18+7*(3-1),'2026年12月'!$A$8:$A$38,"&lt;="&amp;$AI$18+7*(3-1)+6))/(SUMIFS($M$8:$M$37,$A$8:$A$37,"&gt;="&amp;$AI$18+7*(3-1),$A$8:$A$37,"&lt;="&amp;$AI$18+7*(3-1)+6)+SUMIFS('2026年12月'!$M$8:$M$38,'2026年12月'!$A$8:$A$38,"&gt;="&amp;$AI$18+7*(3-1),'2026年12月'!$A$8:$A$38,"&lt;="&amp;$AI$18+7*(3-1)+6)),""))</f>
        <v/>
      </c>
      <c r="AG22" s="31" t="str">
        <f>IF($AB22="","",IFERROR((SUMIFS($P$8:$P$37,$A$8:$A$37,"&gt;="&amp;$AI$18+7*(3-1),$A$8:$A$37,"&lt;="&amp;$AI$18+7*(3-1)+6)+SUMIFS('2026年12月'!$P$8:$P$38,'2026年12月'!$A$8:$A$38,"&gt;="&amp;$AI$18+7*(3-1),'2026年12月'!$A$8:$A$38,"&lt;="&amp;$AI$18+7*(3-1)+6))/(SUMIFS($O$8:$O$37,$A$8:$A$37,"&gt;="&amp;$AI$18+7*(3-1),$A$8:$A$37,"&lt;="&amp;$AI$18+7*(3-1)+6)+SUMIFS('2026年12月'!$O$8:$O$38,'2026年12月'!$A$8:$A$38,"&gt;="&amp;$AI$18+7*(3-1),'2026年12月'!$A$8:$A$38,"&lt;="&amp;$AI$18+7*(3-1)+6)),""))</f>
        <v/>
      </c>
    </row>
    <row r="23" ht="15.75" customHeight="1">
      <c r="A23" s="32">
        <v>46342.0</v>
      </c>
      <c r="B23" s="23" t="str">
        <f t="shared" si="2"/>
        <v>月</v>
      </c>
      <c r="C23" s="16"/>
      <c r="D23" s="25">
        <f t="shared" si="3"/>
        <v>0</v>
      </c>
      <c r="E23" s="16"/>
      <c r="F23" s="16"/>
      <c r="G23" s="25" t="str">
        <f t="shared" si="4"/>
        <v/>
      </c>
      <c r="H23" s="25" t="str">
        <f t="shared" si="5"/>
        <v/>
      </c>
      <c r="I23" s="27" t="str">
        <f t="shared" ref="I23:J23" si="30">IF(G23="","",IFERROR(G23/C23,""))</f>
        <v/>
      </c>
      <c r="J23" s="27" t="str">
        <f t="shared" si="30"/>
        <v/>
      </c>
      <c r="K23" s="25" t="str">
        <f t="shared" si="7"/>
        <v/>
      </c>
      <c r="L23" s="33" t="str">
        <f t="shared" si="8"/>
        <v>—</v>
      </c>
      <c r="M23" s="21"/>
      <c r="N23" s="21"/>
      <c r="O23" s="21"/>
      <c r="P23" s="21"/>
      <c r="Q23" s="21"/>
      <c r="R23" s="27" t="str">
        <f t="shared" si="9"/>
        <v/>
      </c>
      <c r="S23" s="25" t="str">
        <f t="shared" si="10"/>
        <v/>
      </c>
      <c r="T23" s="34" t="str">
        <f t="shared" si="11"/>
        <v/>
      </c>
      <c r="U23" s="27" t="str">
        <f t="shared" si="12"/>
        <v/>
      </c>
      <c r="V23" s="21"/>
      <c r="W23" s="21"/>
      <c r="X23" s="16"/>
      <c r="Y23" s="24"/>
      <c r="AA23" s="30">
        <v>4.0</v>
      </c>
      <c r="AB23" s="42" t="str">
        <f>IF($AI$18+7*(4-1)&gt;$A$37,"",TEXT($AI$18+7*(4-1),"m/d")&amp;"-"&amp;TEXT($AI$18+7*(4-1)+6,"m/d"))</f>
        <v>11/24-11/30</v>
      </c>
      <c r="AC23" s="28">
        <f>IF($AB23="","",(SUMIFS($G$8:$G$37,$A$8:$A$37,"&gt;="&amp;$AI$18+7*(4-1),$A$8:$A$37,"&lt;="&amp;$AI$18+7*(4-1)+6)+SUMIFS('2026年12月'!$G$8:$G$38,'2026年12月'!$A$8:$A$38,"&gt;="&amp;$AI$18+7*(4-1),'2026年12月'!$A$8:$A$38,"&lt;="&amp;$AI$18+7*(4-1)+6)))</f>
        <v>0</v>
      </c>
      <c r="AD23" s="31" t="str">
        <f>IF($AB23="","",IFERROR((SUMIFS($M$8:$M$37,$A$8:$A$37,"&gt;="&amp;$AI$18+7*(4-1),$A$8:$A$37,"&lt;="&amp;$AI$18+7*(4-1)+6)+SUMIFS('2026年12月'!$M$8:$M$38,'2026年12月'!$A$8:$A$38,"&gt;="&amp;$AI$18+7*(4-1),'2026年12月'!$A$8:$A$38,"&lt;="&amp;$AI$18+7*(4-1)+6))/(SUMIFS($O$8:$O$37,$A$8:$A$37,"&gt;="&amp;$AI$18+7*(4-1),$A$8:$A$37,"&lt;="&amp;$AI$18+7*(4-1)+6)+SUMIFS('2026年12月'!$O$8:$O$38,'2026年12月'!$A$8:$A$38,"&gt;="&amp;$AI$18+7*(4-1),'2026年12月'!$A$8:$A$38,"&lt;="&amp;$AI$18+7*(4-1)+6)),""))</f>
        <v/>
      </c>
      <c r="AE23" s="28" t="str">
        <f>IF($AB23="","",IFERROR((SUMIFS($G$8:$G$37,$A$8:$A$37,"&gt;="&amp;$AI$18+7*(4-1),$A$8:$A$37,"&lt;="&amp;$AI$18+7*(4-1)+6)+SUMIFS('2026年12月'!$G$8:$G$38,'2026年12月'!$A$8:$A$38,"&gt;="&amp;$AI$18+7*(4-1),'2026年12月'!$A$8:$A$38,"&lt;="&amp;$AI$18+7*(4-1)+6))/(SUMIFS($M$8:$M$37,$A$8:$A$37,"&gt;="&amp;$AI$18+7*(4-1),$A$8:$A$37,"&lt;="&amp;$AI$18+7*(4-1)+6)+SUMIFS('2026年12月'!$M$8:$M$38,'2026年12月'!$A$8:$A$38,"&gt;="&amp;$AI$18+7*(4-1),'2026年12月'!$A$8:$A$38,"&lt;="&amp;$AI$18+7*(4-1)+6)),""))</f>
        <v/>
      </c>
      <c r="AF23" s="43" t="str">
        <f>IF($AB23="","",IFERROR((SUMIFS($N$8:$N$37,$A$8:$A$37,"&gt;="&amp;$AI$18+7*(4-1),$A$8:$A$37,"&lt;="&amp;$AI$18+7*(4-1)+6)+SUMIFS('2026年12月'!$N$8:$N$38,'2026年12月'!$A$8:$A$38,"&gt;="&amp;$AI$18+7*(4-1),'2026年12月'!$A$8:$A$38,"&lt;="&amp;$AI$18+7*(4-1)+6))/(SUMIFS($M$8:$M$37,$A$8:$A$37,"&gt;="&amp;$AI$18+7*(4-1),$A$8:$A$37,"&lt;="&amp;$AI$18+7*(4-1)+6)+SUMIFS('2026年12月'!$M$8:$M$38,'2026年12月'!$A$8:$A$38,"&gt;="&amp;$AI$18+7*(4-1),'2026年12月'!$A$8:$A$38,"&lt;="&amp;$AI$18+7*(4-1)+6)),""))</f>
        <v/>
      </c>
      <c r="AG23" s="31" t="str">
        <f>IF($AB23="","",IFERROR((SUMIFS($P$8:$P$37,$A$8:$A$37,"&gt;="&amp;$AI$18+7*(4-1),$A$8:$A$37,"&lt;="&amp;$AI$18+7*(4-1)+6)+SUMIFS('2026年12月'!$P$8:$P$38,'2026年12月'!$A$8:$A$38,"&gt;="&amp;$AI$18+7*(4-1),'2026年12月'!$A$8:$A$38,"&lt;="&amp;$AI$18+7*(4-1)+6))/(SUMIFS($O$8:$O$37,$A$8:$A$37,"&gt;="&amp;$AI$18+7*(4-1),$A$8:$A$37,"&lt;="&amp;$AI$18+7*(4-1)+6)+SUMIFS('2026年12月'!$O$8:$O$38,'2026年12月'!$A$8:$A$38,"&gt;="&amp;$AI$18+7*(4-1),'2026年12月'!$A$8:$A$38,"&lt;="&amp;$AI$18+7*(4-1)+6)),""))</f>
        <v/>
      </c>
    </row>
    <row r="24" ht="15.75" customHeight="1">
      <c r="A24" s="14">
        <v>46343.0</v>
      </c>
      <c r="B24" s="15" t="str">
        <f t="shared" si="2"/>
        <v>火</v>
      </c>
      <c r="C24" s="16"/>
      <c r="D24" s="17">
        <f t="shared" si="3"/>
        <v>0</v>
      </c>
      <c r="E24" s="16"/>
      <c r="F24" s="16"/>
      <c r="G24" s="17" t="str">
        <f t="shared" si="4"/>
        <v/>
      </c>
      <c r="H24" s="17" t="str">
        <f t="shared" si="5"/>
        <v/>
      </c>
      <c r="I24" s="18" t="str">
        <f t="shared" ref="I24:J24" si="31">IF(G24="","",IFERROR(G24/C24,""))</f>
        <v/>
      </c>
      <c r="J24" s="18" t="str">
        <f t="shared" si="31"/>
        <v/>
      </c>
      <c r="K24" s="17" t="str">
        <f t="shared" si="7"/>
        <v/>
      </c>
      <c r="L24" s="19" t="str">
        <f t="shared" si="8"/>
        <v>—</v>
      </c>
      <c r="M24" s="21"/>
      <c r="N24" s="21"/>
      <c r="O24" s="21"/>
      <c r="P24" s="21"/>
      <c r="Q24" s="21"/>
      <c r="R24" s="18" t="str">
        <f t="shared" si="9"/>
        <v/>
      </c>
      <c r="S24" s="17" t="str">
        <f t="shared" si="10"/>
        <v/>
      </c>
      <c r="T24" s="22" t="str">
        <f t="shared" si="11"/>
        <v/>
      </c>
      <c r="U24" s="18" t="str">
        <f t="shared" si="12"/>
        <v/>
      </c>
      <c r="V24" s="21"/>
      <c r="W24" s="21"/>
      <c r="X24" s="16"/>
      <c r="Y24" s="24"/>
      <c r="AA24" s="30">
        <v>5.0</v>
      </c>
      <c r="AB24" s="42" t="str">
        <f>IF($AI$18+7*(5-1)&gt;$A$37,"",TEXT($AI$18+7*(5-1),"m/d")&amp;"-"&amp;TEXT($AI$18+7*(5-1)+6,"m/d"))</f>
        <v/>
      </c>
      <c r="AC24" s="28" t="str">
        <f>IF($AB24="","",(SUMIFS($G$8:$G$37,$A$8:$A$37,"&gt;="&amp;$AI$18+7*(5-1),$A$8:$A$37,"&lt;="&amp;$AI$18+7*(5-1)+6)+SUMIFS('2026年12月'!$G$8:$G$38,'2026年12月'!$A$8:$A$38,"&gt;="&amp;$AI$18+7*(5-1),'2026年12月'!$A$8:$A$38,"&lt;="&amp;$AI$18+7*(5-1)+6)))</f>
        <v/>
      </c>
      <c r="AD24" s="31" t="str">
        <f>IF($AB24="","",IFERROR((SUMIFS($M$8:$M$37,$A$8:$A$37,"&gt;="&amp;$AI$18+7*(5-1),$A$8:$A$37,"&lt;="&amp;$AI$18+7*(5-1)+6)+SUMIFS('2026年12月'!$M$8:$M$38,'2026年12月'!$A$8:$A$38,"&gt;="&amp;$AI$18+7*(5-1),'2026年12月'!$A$8:$A$38,"&lt;="&amp;$AI$18+7*(5-1)+6))/(SUMIFS($O$8:$O$37,$A$8:$A$37,"&gt;="&amp;$AI$18+7*(5-1),$A$8:$A$37,"&lt;="&amp;$AI$18+7*(5-1)+6)+SUMIFS('2026年12月'!$O$8:$O$38,'2026年12月'!$A$8:$A$38,"&gt;="&amp;$AI$18+7*(5-1),'2026年12月'!$A$8:$A$38,"&lt;="&amp;$AI$18+7*(5-1)+6)),""))</f>
        <v/>
      </c>
      <c r="AE24" s="28" t="str">
        <f>IF($AB24="","",IFERROR((SUMIFS($G$8:$G$37,$A$8:$A$37,"&gt;="&amp;$AI$18+7*(5-1),$A$8:$A$37,"&lt;="&amp;$AI$18+7*(5-1)+6)+SUMIFS('2026年12月'!$G$8:$G$38,'2026年12月'!$A$8:$A$38,"&gt;="&amp;$AI$18+7*(5-1),'2026年12月'!$A$8:$A$38,"&lt;="&amp;$AI$18+7*(5-1)+6))/(SUMIFS($M$8:$M$37,$A$8:$A$37,"&gt;="&amp;$AI$18+7*(5-1),$A$8:$A$37,"&lt;="&amp;$AI$18+7*(5-1)+6)+SUMIFS('2026年12月'!$M$8:$M$38,'2026年12月'!$A$8:$A$38,"&gt;="&amp;$AI$18+7*(5-1),'2026年12月'!$A$8:$A$38,"&lt;="&amp;$AI$18+7*(5-1)+6)),""))</f>
        <v/>
      </c>
      <c r="AF24" s="43" t="str">
        <f>IF($AB24="","",IFERROR((SUMIFS($N$8:$N$37,$A$8:$A$37,"&gt;="&amp;$AI$18+7*(5-1),$A$8:$A$37,"&lt;="&amp;$AI$18+7*(5-1)+6)+SUMIFS('2026年12月'!$N$8:$N$38,'2026年12月'!$A$8:$A$38,"&gt;="&amp;$AI$18+7*(5-1),'2026年12月'!$A$8:$A$38,"&lt;="&amp;$AI$18+7*(5-1)+6))/(SUMIFS($M$8:$M$37,$A$8:$A$37,"&gt;="&amp;$AI$18+7*(5-1),$A$8:$A$37,"&lt;="&amp;$AI$18+7*(5-1)+6)+SUMIFS('2026年12月'!$M$8:$M$38,'2026年12月'!$A$8:$A$38,"&gt;="&amp;$AI$18+7*(5-1),'2026年12月'!$A$8:$A$38,"&lt;="&amp;$AI$18+7*(5-1)+6)),""))</f>
        <v/>
      </c>
      <c r="AG24" s="31" t="str">
        <f>IF($AB24="","",IFERROR((SUMIFS($P$8:$P$37,$A$8:$A$37,"&gt;="&amp;$AI$18+7*(5-1),$A$8:$A$37,"&lt;="&amp;$AI$18+7*(5-1)+6)+SUMIFS('2026年12月'!$P$8:$P$38,'2026年12月'!$A$8:$A$38,"&gt;="&amp;$AI$18+7*(5-1),'2026年12月'!$A$8:$A$38,"&lt;="&amp;$AI$18+7*(5-1)+6))/(SUMIFS($O$8:$O$37,$A$8:$A$37,"&gt;="&amp;$AI$18+7*(5-1),$A$8:$A$37,"&lt;="&amp;$AI$18+7*(5-1)+6)+SUMIFS('2026年12月'!$O$8:$O$38,'2026年12月'!$A$8:$A$38,"&gt;="&amp;$AI$18+7*(5-1),'2026年12月'!$A$8:$A$38,"&lt;="&amp;$AI$18+7*(5-1)+6)),""))</f>
        <v/>
      </c>
    </row>
    <row r="25" ht="15.75" customHeight="1">
      <c r="A25" s="32">
        <v>46344.0</v>
      </c>
      <c r="B25" s="23" t="str">
        <f t="shared" si="2"/>
        <v>水</v>
      </c>
      <c r="C25" s="16"/>
      <c r="D25" s="25">
        <f t="shared" si="3"/>
        <v>0</v>
      </c>
      <c r="E25" s="16"/>
      <c r="F25" s="16"/>
      <c r="G25" s="25" t="str">
        <f t="shared" si="4"/>
        <v/>
      </c>
      <c r="H25" s="25" t="str">
        <f t="shared" si="5"/>
        <v/>
      </c>
      <c r="I25" s="27" t="str">
        <f t="shared" ref="I25:J25" si="32">IF(G25="","",IFERROR(G25/C25,""))</f>
        <v/>
      </c>
      <c r="J25" s="27" t="str">
        <f t="shared" si="32"/>
        <v/>
      </c>
      <c r="K25" s="25" t="str">
        <f t="shared" si="7"/>
        <v/>
      </c>
      <c r="L25" s="33" t="str">
        <f t="shared" si="8"/>
        <v>—</v>
      </c>
      <c r="M25" s="21"/>
      <c r="N25" s="21"/>
      <c r="O25" s="21"/>
      <c r="P25" s="21"/>
      <c r="Q25" s="21"/>
      <c r="R25" s="27" t="str">
        <f t="shared" si="9"/>
        <v/>
      </c>
      <c r="S25" s="25" t="str">
        <f t="shared" si="10"/>
        <v/>
      </c>
      <c r="T25" s="34" t="str">
        <f t="shared" si="11"/>
        <v/>
      </c>
      <c r="U25" s="27" t="str">
        <f t="shared" si="12"/>
        <v/>
      </c>
      <c r="V25" s="21"/>
      <c r="W25" s="21"/>
      <c r="X25" s="16"/>
      <c r="Y25" s="24"/>
      <c r="AA25" s="30">
        <v>6.0</v>
      </c>
      <c r="AB25" s="42" t="str">
        <f>IF($AI$18+7*(6-1)&gt;$A$37,"",TEXT($AI$18+7*(6-1),"m/d")&amp;"-"&amp;TEXT($AI$18+7*(6-1)+6,"m/d"))</f>
        <v/>
      </c>
      <c r="AC25" s="28" t="str">
        <f>IF($AB25="","",(SUMIFS($G$8:$G$37,$A$8:$A$37,"&gt;="&amp;$AI$18+7*(6-1),$A$8:$A$37,"&lt;="&amp;$AI$18+7*(6-1)+6)+SUMIFS('2026年12月'!$G$8:$G$38,'2026年12月'!$A$8:$A$38,"&gt;="&amp;$AI$18+7*(6-1),'2026年12月'!$A$8:$A$38,"&lt;="&amp;$AI$18+7*(6-1)+6)))</f>
        <v/>
      </c>
      <c r="AD25" s="31" t="str">
        <f>IF($AB25="","",IFERROR((SUMIFS($M$8:$M$37,$A$8:$A$37,"&gt;="&amp;$AI$18+7*(6-1),$A$8:$A$37,"&lt;="&amp;$AI$18+7*(6-1)+6)+SUMIFS('2026年12月'!$M$8:$M$38,'2026年12月'!$A$8:$A$38,"&gt;="&amp;$AI$18+7*(6-1),'2026年12月'!$A$8:$A$38,"&lt;="&amp;$AI$18+7*(6-1)+6))/(SUMIFS($O$8:$O$37,$A$8:$A$37,"&gt;="&amp;$AI$18+7*(6-1),$A$8:$A$37,"&lt;="&amp;$AI$18+7*(6-1)+6)+SUMIFS('2026年12月'!$O$8:$O$38,'2026年12月'!$A$8:$A$38,"&gt;="&amp;$AI$18+7*(6-1),'2026年12月'!$A$8:$A$38,"&lt;="&amp;$AI$18+7*(6-1)+6)),""))</f>
        <v/>
      </c>
      <c r="AE25" s="28" t="str">
        <f>IF($AB25="","",IFERROR((SUMIFS($G$8:$G$37,$A$8:$A$37,"&gt;="&amp;$AI$18+7*(6-1),$A$8:$A$37,"&lt;="&amp;$AI$18+7*(6-1)+6)+SUMIFS('2026年12月'!$G$8:$G$38,'2026年12月'!$A$8:$A$38,"&gt;="&amp;$AI$18+7*(6-1),'2026年12月'!$A$8:$A$38,"&lt;="&amp;$AI$18+7*(6-1)+6))/(SUMIFS($M$8:$M$37,$A$8:$A$37,"&gt;="&amp;$AI$18+7*(6-1),$A$8:$A$37,"&lt;="&amp;$AI$18+7*(6-1)+6)+SUMIFS('2026年12月'!$M$8:$M$38,'2026年12月'!$A$8:$A$38,"&gt;="&amp;$AI$18+7*(6-1),'2026年12月'!$A$8:$A$38,"&lt;="&amp;$AI$18+7*(6-1)+6)),""))</f>
        <v/>
      </c>
      <c r="AF25" s="43" t="str">
        <f>IF($AB25="","",IFERROR((SUMIFS($N$8:$N$37,$A$8:$A$37,"&gt;="&amp;$AI$18+7*(6-1),$A$8:$A$37,"&lt;="&amp;$AI$18+7*(6-1)+6)+SUMIFS('2026年12月'!$N$8:$N$38,'2026年12月'!$A$8:$A$38,"&gt;="&amp;$AI$18+7*(6-1),'2026年12月'!$A$8:$A$38,"&lt;="&amp;$AI$18+7*(6-1)+6))/(SUMIFS($M$8:$M$37,$A$8:$A$37,"&gt;="&amp;$AI$18+7*(6-1),$A$8:$A$37,"&lt;="&amp;$AI$18+7*(6-1)+6)+SUMIFS('2026年12月'!$M$8:$M$38,'2026年12月'!$A$8:$A$38,"&gt;="&amp;$AI$18+7*(6-1),'2026年12月'!$A$8:$A$38,"&lt;="&amp;$AI$18+7*(6-1)+6)),""))</f>
        <v/>
      </c>
      <c r="AG25" s="31" t="str">
        <f>IF($AB25="","",IFERROR((SUMIFS($P$8:$P$37,$A$8:$A$37,"&gt;="&amp;$AI$18+7*(6-1),$A$8:$A$37,"&lt;="&amp;$AI$18+7*(6-1)+6)+SUMIFS('2026年12月'!$P$8:$P$38,'2026年12月'!$A$8:$A$38,"&gt;="&amp;$AI$18+7*(6-1),'2026年12月'!$A$8:$A$38,"&lt;="&amp;$AI$18+7*(6-1)+6))/(SUMIFS($O$8:$O$37,$A$8:$A$37,"&gt;="&amp;$AI$18+7*(6-1),$A$8:$A$37,"&lt;="&amp;$AI$18+7*(6-1)+6)+SUMIFS('2026年12月'!$O$8:$O$38,'2026年12月'!$A$8:$A$38,"&gt;="&amp;$AI$18+7*(6-1),'2026年12月'!$A$8:$A$38,"&lt;="&amp;$AI$18+7*(6-1)+6)),""))</f>
        <v/>
      </c>
    </row>
    <row r="26" ht="15.75" customHeight="1">
      <c r="A26" s="14">
        <v>46345.0</v>
      </c>
      <c r="B26" s="15" t="str">
        <f t="shared" si="2"/>
        <v>木</v>
      </c>
      <c r="C26" s="16"/>
      <c r="D26" s="17">
        <f t="shared" si="3"/>
        <v>0</v>
      </c>
      <c r="E26" s="16"/>
      <c r="F26" s="16"/>
      <c r="G26" s="17" t="str">
        <f t="shared" si="4"/>
        <v/>
      </c>
      <c r="H26" s="17" t="str">
        <f t="shared" si="5"/>
        <v/>
      </c>
      <c r="I26" s="18" t="str">
        <f t="shared" ref="I26:J26" si="33">IF(G26="","",IFERROR(G26/C26,""))</f>
        <v/>
      </c>
      <c r="J26" s="18" t="str">
        <f t="shared" si="33"/>
        <v/>
      </c>
      <c r="K26" s="17" t="str">
        <f t="shared" si="7"/>
        <v/>
      </c>
      <c r="L26" s="19" t="str">
        <f t="shared" si="8"/>
        <v>—</v>
      </c>
      <c r="M26" s="21"/>
      <c r="N26" s="21"/>
      <c r="O26" s="21"/>
      <c r="P26" s="21"/>
      <c r="Q26" s="21"/>
      <c r="R26" s="18" t="str">
        <f t="shared" si="9"/>
        <v/>
      </c>
      <c r="S26" s="17" t="str">
        <f t="shared" si="10"/>
        <v/>
      </c>
      <c r="T26" s="22" t="str">
        <f t="shared" si="11"/>
        <v/>
      </c>
      <c r="U26" s="18" t="str">
        <f t="shared" si="12"/>
        <v/>
      </c>
      <c r="V26" s="21"/>
      <c r="W26" s="21"/>
      <c r="X26" s="16"/>
      <c r="Y26" s="24"/>
      <c r="AA26" s="39" t="s">
        <v>130</v>
      </c>
    </row>
    <row r="27" ht="15.75" customHeight="1">
      <c r="A27" s="32">
        <v>46346.0</v>
      </c>
      <c r="B27" s="23" t="str">
        <f t="shared" si="2"/>
        <v>金</v>
      </c>
      <c r="C27" s="16"/>
      <c r="D27" s="25">
        <f t="shared" si="3"/>
        <v>0</v>
      </c>
      <c r="E27" s="16"/>
      <c r="F27" s="16"/>
      <c r="G27" s="25" t="str">
        <f t="shared" si="4"/>
        <v/>
      </c>
      <c r="H27" s="25" t="str">
        <f t="shared" si="5"/>
        <v/>
      </c>
      <c r="I27" s="27" t="str">
        <f t="shared" ref="I27:J27" si="34">IF(G27="","",IFERROR(G27/C27,""))</f>
        <v/>
      </c>
      <c r="J27" s="27" t="str">
        <f t="shared" si="34"/>
        <v/>
      </c>
      <c r="K27" s="25" t="str">
        <f t="shared" si="7"/>
        <v/>
      </c>
      <c r="L27" s="33" t="str">
        <f t="shared" si="8"/>
        <v>—</v>
      </c>
      <c r="M27" s="21"/>
      <c r="N27" s="21"/>
      <c r="O27" s="21"/>
      <c r="P27" s="21"/>
      <c r="Q27" s="21"/>
      <c r="R27" s="27" t="str">
        <f t="shared" si="9"/>
        <v/>
      </c>
      <c r="S27" s="25" t="str">
        <f t="shared" si="10"/>
        <v/>
      </c>
      <c r="T27" s="34" t="str">
        <f t="shared" si="11"/>
        <v/>
      </c>
      <c r="U27" s="27" t="str">
        <f t="shared" si="12"/>
        <v/>
      </c>
      <c r="V27" s="21"/>
      <c r="W27" s="21"/>
      <c r="X27" s="16"/>
      <c r="Y27" s="24"/>
      <c r="AA27" s="39" t="s">
        <v>132</v>
      </c>
    </row>
    <row r="28" ht="15.75" customHeight="1">
      <c r="A28" s="14">
        <v>46347.0</v>
      </c>
      <c r="B28" s="15" t="str">
        <f t="shared" si="2"/>
        <v>土</v>
      </c>
      <c r="C28" s="16"/>
      <c r="D28" s="17">
        <f t="shared" si="3"/>
        <v>0</v>
      </c>
      <c r="E28" s="16"/>
      <c r="F28" s="16"/>
      <c r="G28" s="17" t="str">
        <f t="shared" si="4"/>
        <v/>
      </c>
      <c r="H28" s="17" t="str">
        <f t="shared" si="5"/>
        <v/>
      </c>
      <c r="I28" s="18" t="str">
        <f t="shared" ref="I28:J28" si="35">IF(G28="","",IFERROR(G28/C28,""))</f>
        <v/>
      </c>
      <c r="J28" s="18" t="str">
        <f t="shared" si="35"/>
        <v/>
      </c>
      <c r="K28" s="17" t="str">
        <f t="shared" si="7"/>
        <v/>
      </c>
      <c r="L28" s="19" t="str">
        <f t="shared" si="8"/>
        <v>—</v>
      </c>
      <c r="M28" s="21"/>
      <c r="N28" s="21"/>
      <c r="O28" s="21"/>
      <c r="P28" s="21"/>
      <c r="Q28" s="21"/>
      <c r="R28" s="18" t="str">
        <f t="shared" si="9"/>
        <v/>
      </c>
      <c r="S28" s="17" t="str">
        <f t="shared" si="10"/>
        <v/>
      </c>
      <c r="T28" s="22" t="str">
        <f t="shared" si="11"/>
        <v/>
      </c>
      <c r="U28" s="18" t="str">
        <f t="shared" si="12"/>
        <v/>
      </c>
      <c r="V28" s="21"/>
      <c r="W28" s="21"/>
      <c r="X28" s="16"/>
      <c r="Y28" s="24"/>
      <c r="AA28" s="39" t="s">
        <v>133</v>
      </c>
    </row>
    <row r="29" ht="15.75" customHeight="1">
      <c r="A29" s="32">
        <v>46348.0</v>
      </c>
      <c r="B29" s="23" t="str">
        <f t="shared" si="2"/>
        <v>日</v>
      </c>
      <c r="C29" s="16"/>
      <c r="D29" s="25">
        <f t="shared" si="3"/>
        <v>0</v>
      </c>
      <c r="E29" s="16"/>
      <c r="F29" s="16"/>
      <c r="G29" s="25" t="str">
        <f t="shared" si="4"/>
        <v/>
      </c>
      <c r="H29" s="25" t="str">
        <f t="shared" si="5"/>
        <v/>
      </c>
      <c r="I29" s="27" t="str">
        <f t="shared" ref="I29:J29" si="36">IF(G29="","",IFERROR(G29/C29,""))</f>
        <v/>
      </c>
      <c r="J29" s="27" t="str">
        <f t="shared" si="36"/>
        <v/>
      </c>
      <c r="K29" s="25" t="str">
        <f t="shared" si="7"/>
        <v/>
      </c>
      <c r="L29" s="33" t="str">
        <f t="shared" si="8"/>
        <v>—</v>
      </c>
      <c r="M29" s="21"/>
      <c r="N29" s="21"/>
      <c r="O29" s="21"/>
      <c r="P29" s="21"/>
      <c r="Q29" s="21"/>
      <c r="R29" s="27" t="str">
        <f t="shared" si="9"/>
        <v/>
      </c>
      <c r="S29" s="25" t="str">
        <f t="shared" si="10"/>
        <v/>
      </c>
      <c r="T29" s="34" t="str">
        <f t="shared" si="11"/>
        <v/>
      </c>
      <c r="U29" s="27" t="str">
        <f t="shared" si="12"/>
        <v/>
      </c>
      <c r="V29" s="21"/>
      <c r="W29" s="21"/>
      <c r="X29" s="16"/>
      <c r="Y29" s="24"/>
    </row>
    <row r="30" ht="15.75" customHeight="1">
      <c r="A30" s="14">
        <v>46349.0</v>
      </c>
      <c r="B30" s="15" t="str">
        <f t="shared" si="2"/>
        <v>月</v>
      </c>
      <c r="C30" s="16"/>
      <c r="D30" s="17">
        <f t="shared" si="3"/>
        <v>0</v>
      </c>
      <c r="E30" s="16"/>
      <c r="F30" s="16"/>
      <c r="G30" s="17" t="str">
        <f t="shared" si="4"/>
        <v/>
      </c>
      <c r="H30" s="17" t="str">
        <f t="shared" si="5"/>
        <v/>
      </c>
      <c r="I30" s="18" t="str">
        <f t="shared" ref="I30:J30" si="37">IF(G30="","",IFERROR(G30/C30,""))</f>
        <v/>
      </c>
      <c r="J30" s="18" t="str">
        <f t="shared" si="37"/>
        <v/>
      </c>
      <c r="K30" s="17" t="str">
        <f t="shared" si="7"/>
        <v/>
      </c>
      <c r="L30" s="19" t="str">
        <f t="shared" si="8"/>
        <v>—</v>
      </c>
      <c r="M30" s="21"/>
      <c r="N30" s="21"/>
      <c r="O30" s="21"/>
      <c r="P30" s="21"/>
      <c r="Q30" s="21"/>
      <c r="R30" s="18" t="str">
        <f t="shared" si="9"/>
        <v/>
      </c>
      <c r="S30" s="17" t="str">
        <f t="shared" si="10"/>
        <v/>
      </c>
      <c r="T30" s="22" t="str">
        <f t="shared" si="11"/>
        <v/>
      </c>
      <c r="U30" s="18" t="str">
        <f t="shared" si="12"/>
        <v/>
      </c>
      <c r="V30" s="21"/>
      <c r="W30" s="21"/>
      <c r="X30" s="16"/>
      <c r="Y30" s="24"/>
    </row>
    <row r="31" ht="15.75" customHeight="1">
      <c r="A31" s="32">
        <v>46350.0</v>
      </c>
      <c r="B31" s="23" t="str">
        <f t="shared" si="2"/>
        <v>火</v>
      </c>
      <c r="C31" s="16"/>
      <c r="D31" s="25">
        <f t="shared" si="3"/>
        <v>0</v>
      </c>
      <c r="E31" s="16"/>
      <c r="F31" s="16"/>
      <c r="G31" s="25" t="str">
        <f t="shared" si="4"/>
        <v/>
      </c>
      <c r="H31" s="25" t="str">
        <f t="shared" si="5"/>
        <v/>
      </c>
      <c r="I31" s="27" t="str">
        <f t="shared" ref="I31:J31" si="38">IF(G31="","",IFERROR(G31/C31,""))</f>
        <v/>
      </c>
      <c r="J31" s="27" t="str">
        <f t="shared" si="38"/>
        <v/>
      </c>
      <c r="K31" s="25" t="str">
        <f t="shared" si="7"/>
        <v/>
      </c>
      <c r="L31" s="33" t="str">
        <f t="shared" si="8"/>
        <v>—</v>
      </c>
      <c r="M31" s="21"/>
      <c r="N31" s="21"/>
      <c r="O31" s="21"/>
      <c r="P31" s="21"/>
      <c r="Q31" s="21"/>
      <c r="R31" s="27" t="str">
        <f t="shared" si="9"/>
        <v/>
      </c>
      <c r="S31" s="25" t="str">
        <f t="shared" si="10"/>
        <v/>
      </c>
      <c r="T31" s="34" t="str">
        <f t="shared" si="11"/>
        <v/>
      </c>
      <c r="U31" s="27" t="str">
        <f t="shared" si="12"/>
        <v/>
      </c>
      <c r="V31" s="21"/>
      <c r="W31" s="21"/>
      <c r="X31" s="16"/>
      <c r="Y31" s="24"/>
    </row>
    <row r="32" ht="15.75" customHeight="1">
      <c r="A32" s="14">
        <v>46351.0</v>
      </c>
      <c r="B32" s="15" t="str">
        <f t="shared" si="2"/>
        <v>水</v>
      </c>
      <c r="C32" s="16"/>
      <c r="D32" s="17">
        <f t="shared" si="3"/>
        <v>0</v>
      </c>
      <c r="E32" s="16"/>
      <c r="F32" s="16"/>
      <c r="G32" s="17" t="str">
        <f t="shared" si="4"/>
        <v/>
      </c>
      <c r="H32" s="17" t="str">
        <f t="shared" si="5"/>
        <v/>
      </c>
      <c r="I32" s="18" t="str">
        <f t="shared" ref="I32:J32" si="39">IF(G32="","",IFERROR(G32/C32,""))</f>
        <v/>
      </c>
      <c r="J32" s="18" t="str">
        <f t="shared" si="39"/>
        <v/>
      </c>
      <c r="K32" s="17" t="str">
        <f t="shared" si="7"/>
        <v/>
      </c>
      <c r="L32" s="19" t="str">
        <f t="shared" si="8"/>
        <v>—</v>
      </c>
      <c r="M32" s="21"/>
      <c r="N32" s="21"/>
      <c r="O32" s="21"/>
      <c r="P32" s="21"/>
      <c r="Q32" s="21"/>
      <c r="R32" s="18" t="str">
        <f t="shared" si="9"/>
        <v/>
      </c>
      <c r="S32" s="17" t="str">
        <f t="shared" si="10"/>
        <v/>
      </c>
      <c r="T32" s="22" t="str">
        <f t="shared" si="11"/>
        <v/>
      </c>
      <c r="U32" s="18" t="str">
        <f t="shared" si="12"/>
        <v/>
      </c>
      <c r="V32" s="21"/>
      <c r="W32" s="21"/>
      <c r="X32" s="16"/>
      <c r="Y32" s="24"/>
    </row>
    <row r="33" ht="15.75" customHeight="1">
      <c r="A33" s="32">
        <v>46352.0</v>
      </c>
      <c r="B33" s="23" t="str">
        <f t="shared" si="2"/>
        <v>木</v>
      </c>
      <c r="C33" s="16"/>
      <c r="D33" s="25">
        <f t="shared" si="3"/>
        <v>0</v>
      </c>
      <c r="E33" s="16"/>
      <c r="F33" s="16"/>
      <c r="G33" s="25" t="str">
        <f t="shared" si="4"/>
        <v/>
      </c>
      <c r="H33" s="25" t="str">
        <f t="shared" si="5"/>
        <v/>
      </c>
      <c r="I33" s="27" t="str">
        <f t="shared" ref="I33:J33" si="40">IF(G33="","",IFERROR(G33/C33,""))</f>
        <v/>
      </c>
      <c r="J33" s="27" t="str">
        <f t="shared" si="40"/>
        <v/>
      </c>
      <c r="K33" s="25" t="str">
        <f t="shared" si="7"/>
        <v/>
      </c>
      <c r="L33" s="33" t="str">
        <f t="shared" si="8"/>
        <v>—</v>
      </c>
      <c r="M33" s="21"/>
      <c r="N33" s="21"/>
      <c r="O33" s="21"/>
      <c r="P33" s="21"/>
      <c r="Q33" s="21"/>
      <c r="R33" s="27" t="str">
        <f t="shared" si="9"/>
        <v/>
      </c>
      <c r="S33" s="25" t="str">
        <f t="shared" si="10"/>
        <v/>
      </c>
      <c r="T33" s="34" t="str">
        <f t="shared" si="11"/>
        <v/>
      </c>
      <c r="U33" s="27" t="str">
        <f t="shared" si="12"/>
        <v/>
      </c>
      <c r="V33" s="21"/>
      <c r="W33" s="21"/>
      <c r="X33" s="16"/>
      <c r="Y33" s="24"/>
    </row>
    <row r="34" ht="15.75" customHeight="1">
      <c r="A34" s="14">
        <v>46353.0</v>
      </c>
      <c r="B34" s="15" t="str">
        <f t="shared" si="2"/>
        <v>金</v>
      </c>
      <c r="C34" s="16"/>
      <c r="D34" s="17">
        <f t="shared" si="3"/>
        <v>0</v>
      </c>
      <c r="E34" s="16"/>
      <c r="F34" s="16"/>
      <c r="G34" s="17" t="str">
        <f t="shared" si="4"/>
        <v/>
      </c>
      <c r="H34" s="17" t="str">
        <f t="shared" si="5"/>
        <v/>
      </c>
      <c r="I34" s="18" t="str">
        <f t="shared" ref="I34:J34" si="41">IF(G34="","",IFERROR(G34/C34,""))</f>
        <v/>
      </c>
      <c r="J34" s="18" t="str">
        <f t="shared" si="41"/>
        <v/>
      </c>
      <c r="K34" s="17" t="str">
        <f t="shared" si="7"/>
        <v/>
      </c>
      <c r="L34" s="19" t="str">
        <f t="shared" si="8"/>
        <v>—</v>
      </c>
      <c r="M34" s="21"/>
      <c r="N34" s="21"/>
      <c r="O34" s="21"/>
      <c r="P34" s="21"/>
      <c r="Q34" s="21"/>
      <c r="R34" s="18" t="str">
        <f t="shared" si="9"/>
        <v/>
      </c>
      <c r="S34" s="17" t="str">
        <f t="shared" si="10"/>
        <v/>
      </c>
      <c r="T34" s="22" t="str">
        <f t="shared" si="11"/>
        <v/>
      </c>
      <c r="U34" s="18" t="str">
        <f t="shared" si="12"/>
        <v/>
      </c>
      <c r="V34" s="21"/>
      <c r="W34" s="21"/>
      <c r="X34" s="16"/>
      <c r="Y34" s="24"/>
    </row>
    <row r="35" ht="15.75" customHeight="1">
      <c r="A35" s="32">
        <v>46354.0</v>
      </c>
      <c r="B35" s="23" t="str">
        <f t="shared" si="2"/>
        <v>土</v>
      </c>
      <c r="C35" s="16"/>
      <c r="D35" s="25">
        <f t="shared" si="3"/>
        <v>0</v>
      </c>
      <c r="E35" s="16"/>
      <c r="F35" s="16"/>
      <c r="G35" s="25" t="str">
        <f t="shared" si="4"/>
        <v/>
      </c>
      <c r="H35" s="25" t="str">
        <f t="shared" si="5"/>
        <v/>
      </c>
      <c r="I35" s="27" t="str">
        <f t="shared" ref="I35:J35" si="42">IF(G35="","",IFERROR(G35/C35,""))</f>
        <v/>
      </c>
      <c r="J35" s="27" t="str">
        <f t="shared" si="42"/>
        <v/>
      </c>
      <c r="K35" s="25" t="str">
        <f t="shared" si="7"/>
        <v/>
      </c>
      <c r="L35" s="33" t="str">
        <f t="shared" si="8"/>
        <v>—</v>
      </c>
      <c r="M35" s="21"/>
      <c r="N35" s="21"/>
      <c r="O35" s="21"/>
      <c r="P35" s="21"/>
      <c r="Q35" s="21"/>
      <c r="R35" s="27" t="str">
        <f t="shared" si="9"/>
        <v/>
      </c>
      <c r="S35" s="25" t="str">
        <f t="shared" si="10"/>
        <v/>
      </c>
      <c r="T35" s="34" t="str">
        <f t="shared" si="11"/>
        <v/>
      </c>
      <c r="U35" s="27" t="str">
        <f t="shared" si="12"/>
        <v/>
      </c>
      <c r="V35" s="21"/>
      <c r="W35" s="21"/>
      <c r="X35" s="16"/>
      <c r="Y35" s="24"/>
    </row>
    <row r="36" ht="15.75" customHeight="1">
      <c r="A36" s="14">
        <v>46355.0</v>
      </c>
      <c r="B36" s="15" t="str">
        <f t="shared" si="2"/>
        <v>日</v>
      </c>
      <c r="C36" s="16"/>
      <c r="D36" s="17">
        <f t="shared" si="3"/>
        <v>0</v>
      </c>
      <c r="E36" s="16"/>
      <c r="F36" s="16"/>
      <c r="G36" s="17" t="str">
        <f t="shared" si="4"/>
        <v/>
      </c>
      <c r="H36" s="17" t="str">
        <f t="shared" si="5"/>
        <v/>
      </c>
      <c r="I36" s="18" t="str">
        <f t="shared" ref="I36:J36" si="43">IF(G36="","",IFERROR(G36/C36,""))</f>
        <v/>
      </c>
      <c r="J36" s="18" t="str">
        <f t="shared" si="43"/>
        <v/>
      </c>
      <c r="K36" s="17" t="str">
        <f t="shared" si="7"/>
        <v/>
      </c>
      <c r="L36" s="19" t="str">
        <f t="shared" si="8"/>
        <v>—</v>
      </c>
      <c r="M36" s="21"/>
      <c r="N36" s="21"/>
      <c r="O36" s="21"/>
      <c r="P36" s="21"/>
      <c r="Q36" s="21"/>
      <c r="R36" s="18" t="str">
        <f t="shared" si="9"/>
        <v/>
      </c>
      <c r="S36" s="17" t="str">
        <f t="shared" si="10"/>
        <v/>
      </c>
      <c r="T36" s="22" t="str">
        <f t="shared" si="11"/>
        <v/>
      </c>
      <c r="U36" s="18" t="str">
        <f t="shared" si="12"/>
        <v/>
      </c>
      <c r="V36" s="21"/>
      <c r="W36" s="21"/>
      <c r="X36" s="16"/>
      <c r="Y36" s="24"/>
    </row>
    <row r="37" ht="15.75" customHeight="1">
      <c r="A37" s="32">
        <v>46356.0</v>
      </c>
      <c r="B37" s="23" t="str">
        <f t="shared" si="2"/>
        <v>月</v>
      </c>
      <c r="C37" s="16"/>
      <c r="D37" s="25">
        <f t="shared" si="3"/>
        <v>0</v>
      </c>
      <c r="E37" s="16"/>
      <c r="F37" s="16"/>
      <c r="G37" s="25" t="str">
        <f t="shared" si="4"/>
        <v/>
      </c>
      <c r="H37" s="25" t="str">
        <f t="shared" si="5"/>
        <v/>
      </c>
      <c r="I37" s="27" t="str">
        <f t="shared" ref="I37:J37" si="44">IF(G37="","",IFERROR(G37/C37,""))</f>
        <v/>
      </c>
      <c r="J37" s="27" t="str">
        <f t="shared" si="44"/>
        <v/>
      </c>
      <c r="K37" s="25" t="str">
        <f t="shared" si="7"/>
        <v/>
      </c>
      <c r="L37" s="33" t="str">
        <f t="shared" si="8"/>
        <v>—</v>
      </c>
      <c r="M37" s="21"/>
      <c r="N37" s="21"/>
      <c r="O37" s="21"/>
      <c r="P37" s="21"/>
      <c r="Q37" s="21"/>
      <c r="R37" s="27" t="str">
        <f t="shared" si="9"/>
        <v/>
      </c>
      <c r="S37" s="25" t="str">
        <f t="shared" si="10"/>
        <v/>
      </c>
      <c r="T37" s="34" t="str">
        <f t="shared" si="11"/>
        <v/>
      </c>
      <c r="U37" s="27" t="str">
        <f t="shared" si="12"/>
        <v/>
      </c>
      <c r="V37" s="21"/>
      <c r="W37" s="21"/>
      <c r="X37" s="16"/>
      <c r="Y37" s="24"/>
    </row>
    <row r="38" ht="15.75" customHeight="1">
      <c r="A38" s="45" t="s">
        <v>97</v>
      </c>
      <c r="B38" s="35"/>
      <c r="C38" s="36">
        <f>SUM(C8:C37)</f>
        <v>0</v>
      </c>
      <c r="D38" s="36">
        <f>C38</f>
        <v>0</v>
      </c>
      <c r="E38" s="36">
        <f t="shared" ref="E38:G38" si="45">SUM(E8:E37)</f>
        <v>0</v>
      </c>
      <c r="F38" s="36">
        <f t="shared" si="45"/>
        <v>0</v>
      </c>
      <c r="G38" s="36">
        <f t="shared" si="45"/>
        <v>0</v>
      </c>
      <c r="H38" s="36">
        <f>G38</f>
        <v>0</v>
      </c>
      <c r="I38" s="37" t="str">
        <f>IFERROR(G38/C38,"")</f>
        <v/>
      </c>
      <c r="J38" s="37" t="str">
        <f>IFERROR(G38/C38,"")</f>
        <v/>
      </c>
      <c r="K38" s="36">
        <f>G38-C38</f>
        <v>0</v>
      </c>
      <c r="L38" s="46"/>
      <c r="M38" s="38">
        <f t="shared" ref="M38:Q38" si="46">SUM(M8:M37)</f>
        <v>0</v>
      </c>
      <c r="N38" s="38">
        <f t="shared" si="46"/>
        <v>0</v>
      </c>
      <c r="O38" s="38">
        <f t="shared" si="46"/>
        <v>0</v>
      </c>
      <c r="P38" s="38">
        <f t="shared" si="46"/>
        <v>0</v>
      </c>
      <c r="Q38" s="38">
        <f t="shared" si="46"/>
        <v>0</v>
      </c>
      <c r="R38" s="37" t="str">
        <f t="shared" si="9"/>
        <v/>
      </c>
      <c r="S38" s="36" t="str">
        <f t="shared" si="10"/>
        <v/>
      </c>
      <c r="T38" s="47" t="str">
        <f t="shared" si="11"/>
        <v/>
      </c>
      <c r="U38" s="37" t="str">
        <f t="shared" si="12"/>
        <v/>
      </c>
      <c r="V38" s="38">
        <f>SUM(V8:V37)</f>
        <v>0</v>
      </c>
      <c r="W38" s="38" t="str">
        <f>IFERROR(LOOKUP(9.99E+307,W8:W37),"")</f>
        <v/>
      </c>
      <c r="X38" s="36">
        <f>SUM(X8:X37)</f>
        <v>0</v>
      </c>
      <c r="Y38" s="48" t="s">
        <v>107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7">
    <cfRule type="expression" dxfId="0" priority="1">
      <formula>AND($G8&lt;&gt;"",$K8&gt;=0)</formula>
    </cfRule>
  </conditionalFormatting>
  <conditionalFormatting sqref="K8:K37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131</v>
      </c>
      <c r="H3" s="6"/>
      <c r="I3" s="5" t="s">
        <v>8</v>
      </c>
      <c r="J3" s="6"/>
      <c r="K3" s="5" t="s">
        <v>9</v>
      </c>
      <c r="L3" s="6"/>
    </row>
    <row r="4">
      <c r="A4" s="7">
        <f>IF('設定'!$B$16="",SUM(C8:C38),'設定'!$B$16)</f>
        <v>21000000</v>
      </c>
      <c r="B4" s="6"/>
      <c r="C4" s="8">
        <f>SUM(G8:G38)</f>
        <v>0</v>
      </c>
      <c r="D4" s="6"/>
      <c r="E4" s="9">
        <f>IFERROR(C4/A4,0)</f>
        <v>0</v>
      </c>
      <c r="F4" s="6"/>
      <c r="G4" s="10">
        <f>COUNTIF(G8:G38,"&gt;0")</f>
        <v>0</v>
      </c>
      <c r="H4" s="6"/>
      <c r="I4" s="8">
        <f>A4-C4</f>
        <v>21000000</v>
      </c>
      <c r="J4" s="6"/>
      <c r="K4" s="8">
        <f>IF((31-G4)&gt;0,(A4-C4)/(31-G4),0)</f>
        <v>677419.3548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SUM(C8:C38)</f>
        <v>0</v>
      </c>
      <c r="B6" s="6"/>
      <c r="C6" s="8">
        <f>IFERROR(C4/G4*31,0)</f>
        <v>0</v>
      </c>
      <c r="D6" s="6"/>
      <c r="E6" s="9">
        <f>IFERROR(M39/O39,0)</f>
        <v>0</v>
      </c>
      <c r="F6" s="6"/>
      <c r="G6" s="8">
        <f>IFERROR(G39/M39,0)</f>
        <v>0</v>
      </c>
      <c r="H6" s="6"/>
      <c r="I6" s="11">
        <f>IFERROR(N39/M39,0)</f>
        <v>0</v>
      </c>
      <c r="J6" s="6"/>
      <c r="K6" s="9">
        <f>IFERROR(P39/O39,0)</f>
        <v>0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46357.0</v>
      </c>
      <c r="B8" s="15" t="str">
        <f t="shared" ref="B8:B38" si="2">MID("日月火水木金土",WEEKDAY(A8),1)</f>
        <v>火</v>
      </c>
      <c r="C8" s="16"/>
      <c r="D8" s="17">
        <f t="shared" ref="D8:D38" si="3">SUM($C$8:C8)</f>
        <v>0</v>
      </c>
      <c r="E8" s="16"/>
      <c r="F8" s="16"/>
      <c r="G8" s="17" t="str">
        <f t="shared" ref="G8:G38" si="4">IF(COUNT(E8:F8)=0,"",SUM(E8:F8))</f>
        <v/>
      </c>
      <c r="H8" s="17" t="str">
        <f t="shared" ref="H8:H38" si="5">IF(G8="","",SUM($G$8:G8))</f>
        <v/>
      </c>
      <c r="I8" s="18" t="str">
        <f t="shared" ref="I8:J8" si="1">IF(G8="","",IFERROR(G8/C8,""))</f>
        <v/>
      </c>
      <c r="J8" s="18" t="str">
        <f t="shared" si="1"/>
        <v/>
      </c>
      <c r="K8" s="17" t="str">
        <f t="shared" ref="K8:K38" si="7">IF(H8="","",IF(D8=0,"",H8-D8))</f>
        <v/>
      </c>
      <c r="L8" s="19" t="str">
        <f t="shared" ref="L8:L38" si="8">IF(G8="","—",IF(D8=0,"予算未入力",IF(H8&gt;=D8,"◎ ペース内","▲ 遅れ")))</f>
        <v>—</v>
      </c>
      <c r="M8" s="21"/>
      <c r="N8" s="21"/>
      <c r="O8" s="21"/>
      <c r="P8" s="21"/>
      <c r="Q8" s="21"/>
      <c r="R8" s="18" t="str">
        <f t="shared" ref="R8:R39" si="9">IFERROR(M8/O8,"")</f>
        <v/>
      </c>
      <c r="S8" s="17" t="str">
        <f t="shared" ref="S8:S39" si="10">IFERROR(G8/M8,"")</f>
        <v/>
      </c>
      <c r="T8" s="22" t="str">
        <f t="shared" ref="T8:T39" si="11">IFERROR(N8/M8,"")</f>
        <v/>
      </c>
      <c r="U8" s="18" t="str">
        <f t="shared" ref="U8:U39" si="12">IFERROR(P8/O8,"")</f>
        <v/>
      </c>
      <c r="V8" s="21"/>
      <c r="W8" s="21"/>
      <c r="X8" s="16"/>
      <c r="Y8" s="24"/>
      <c r="AA8" s="26" t="s">
        <v>48</v>
      </c>
      <c r="AB8" s="28">
        <f t="shared" ref="AB8:AB14" si="13">IFERROR(AVERAGEIFS($G$8:$G$38,$B$8:$B$38,AA8,$G$8:$G$38,"&gt;0"),0)</f>
        <v>0</v>
      </c>
      <c r="AC8" s="30">
        <f t="shared" ref="AC8:AC14" si="14">COUNTIFS($B$8:$B$38,AA8,$G$8:$G$38,"&gt;0")</f>
        <v>0</v>
      </c>
      <c r="AD8" s="31">
        <f t="shared" ref="AD8:AD14" si="15">IFERROR(SUMIF($B$8:$B$38,AA8,$M$8:$M$38)/SUMIF($B$8:$B$38,AA8,$O$8:$O$38),0)</f>
        <v>0</v>
      </c>
      <c r="AE8" s="28">
        <f t="shared" ref="AE8:AE14" si="16">IFERROR(SUMIF($B$8:$B$38,AA8,$G$8:$G$38)/SUMIF($B$8:$B$38,AA8,$M$8:$M$38),0)</f>
        <v>0</v>
      </c>
    </row>
    <row r="9">
      <c r="A9" s="32">
        <v>46358.0</v>
      </c>
      <c r="B9" s="23" t="str">
        <f t="shared" si="2"/>
        <v>水</v>
      </c>
      <c r="C9" s="16"/>
      <c r="D9" s="25">
        <f t="shared" si="3"/>
        <v>0</v>
      </c>
      <c r="E9" s="16"/>
      <c r="F9" s="16"/>
      <c r="G9" s="25" t="str">
        <f t="shared" si="4"/>
        <v/>
      </c>
      <c r="H9" s="25" t="str">
        <f t="shared" si="5"/>
        <v/>
      </c>
      <c r="I9" s="27" t="str">
        <f t="shared" ref="I9:J9" si="6">IF(G9="","",IFERROR(G9/C9,""))</f>
        <v/>
      </c>
      <c r="J9" s="27" t="str">
        <f t="shared" si="6"/>
        <v/>
      </c>
      <c r="K9" s="25" t="str">
        <f t="shared" si="7"/>
        <v/>
      </c>
      <c r="L9" s="33" t="str">
        <f t="shared" si="8"/>
        <v>—</v>
      </c>
      <c r="M9" s="21"/>
      <c r="N9" s="21"/>
      <c r="O9" s="21"/>
      <c r="P9" s="21"/>
      <c r="Q9" s="21"/>
      <c r="R9" s="27" t="str">
        <f t="shared" si="9"/>
        <v/>
      </c>
      <c r="S9" s="25" t="str">
        <f t="shared" si="10"/>
        <v/>
      </c>
      <c r="T9" s="34" t="str">
        <f t="shared" si="11"/>
        <v/>
      </c>
      <c r="U9" s="27" t="str">
        <f t="shared" si="12"/>
        <v/>
      </c>
      <c r="V9" s="21"/>
      <c r="W9" s="21"/>
      <c r="X9" s="16"/>
      <c r="Y9" s="24"/>
      <c r="AA9" s="26" t="s">
        <v>58</v>
      </c>
      <c r="AB9" s="28">
        <f t="shared" si="13"/>
        <v>0</v>
      </c>
      <c r="AC9" s="30">
        <f t="shared" si="14"/>
        <v>0</v>
      </c>
      <c r="AD9" s="31">
        <f t="shared" si="15"/>
        <v>0</v>
      </c>
      <c r="AE9" s="28">
        <f t="shared" si="16"/>
        <v>0</v>
      </c>
    </row>
    <row r="10">
      <c r="A10" s="14">
        <v>46359.0</v>
      </c>
      <c r="B10" s="15" t="str">
        <f t="shared" si="2"/>
        <v>木</v>
      </c>
      <c r="C10" s="16"/>
      <c r="D10" s="17">
        <f t="shared" si="3"/>
        <v>0</v>
      </c>
      <c r="E10" s="16"/>
      <c r="F10" s="16"/>
      <c r="G10" s="17" t="str">
        <f t="shared" si="4"/>
        <v/>
      </c>
      <c r="H10" s="17" t="str">
        <f t="shared" si="5"/>
        <v/>
      </c>
      <c r="I10" s="18" t="str">
        <f t="shared" ref="I10:J10" si="17">IF(G10="","",IFERROR(G10/C10,""))</f>
        <v/>
      </c>
      <c r="J10" s="18" t="str">
        <f t="shared" si="17"/>
        <v/>
      </c>
      <c r="K10" s="17" t="str">
        <f t="shared" si="7"/>
        <v/>
      </c>
      <c r="L10" s="19" t="str">
        <f t="shared" si="8"/>
        <v>—</v>
      </c>
      <c r="M10" s="21"/>
      <c r="N10" s="21"/>
      <c r="O10" s="21"/>
      <c r="P10" s="21"/>
      <c r="Q10" s="21"/>
      <c r="R10" s="18" t="str">
        <f t="shared" si="9"/>
        <v/>
      </c>
      <c r="S10" s="17" t="str">
        <f t="shared" si="10"/>
        <v/>
      </c>
      <c r="T10" s="22" t="str">
        <f t="shared" si="11"/>
        <v/>
      </c>
      <c r="U10" s="18" t="str">
        <f t="shared" si="12"/>
        <v/>
      </c>
      <c r="V10" s="21"/>
      <c r="W10" s="21"/>
      <c r="X10" s="16"/>
      <c r="Y10" s="24"/>
      <c r="AA10" s="26" t="s">
        <v>61</v>
      </c>
      <c r="AB10" s="28">
        <f t="shared" si="13"/>
        <v>0</v>
      </c>
      <c r="AC10" s="30">
        <f t="shared" si="14"/>
        <v>0</v>
      </c>
      <c r="AD10" s="31">
        <f t="shared" si="15"/>
        <v>0</v>
      </c>
      <c r="AE10" s="28">
        <f t="shared" si="16"/>
        <v>0</v>
      </c>
    </row>
    <row r="11">
      <c r="A11" s="32">
        <v>46360.0</v>
      </c>
      <c r="B11" s="23" t="str">
        <f t="shared" si="2"/>
        <v>金</v>
      </c>
      <c r="C11" s="16"/>
      <c r="D11" s="25">
        <f t="shared" si="3"/>
        <v>0</v>
      </c>
      <c r="E11" s="16"/>
      <c r="F11" s="16"/>
      <c r="G11" s="25" t="str">
        <f t="shared" si="4"/>
        <v/>
      </c>
      <c r="H11" s="25" t="str">
        <f t="shared" si="5"/>
        <v/>
      </c>
      <c r="I11" s="27" t="str">
        <f t="shared" ref="I11:J11" si="18">IF(G11="","",IFERROR(G11/C11,""))</f>
        <v/>
      </c>
      <c r="J11" s="27" t="str">
        <f t="shared" si="18"/>
        <v/>
      </c>
      <c r="K11" s="25" t="str">
        <f t="shared" si="7"/>
        <v/>
      </c>
      <c r="L11" s="33" t="str">
        <f t="shared" si="8"/>
        <v>—</v>
      </c>
      <c r="M11" s="21"/>
      <c r="N11" s="21"/>
      <c r="O11" s="21"/>
      <c r="P11" s="21"/>
      <c r="Q11" s="21"/>
      <c r="R11" s="27" t="str">
        <f t="shared" si="9"/>
        <v/>
      </c>
      <c r="S11" s="25" t="str">
        <f t="shared" si="10"/>
        <v/>
      </c>
      <c r="T11" s="34" t="str">
        <f t="shared" si="11"/>
        <v/>
      </c>
      <c r="U11" s="27" t="str">
        <f t="shared" si="12"/>
        <v/>
      </c>
      <c r="V11" s="21"/>
      <c r="W11" s="21"/>
      <c r="X11" s="16"/>
      <c r="Y11" s="24"/>
      <c r="AA11" s="26" t="s">
        <v>64</v>
      </c>
      <c r="AB11" s="28">
        <f t="shared" si="13"/>
        <v>0</v>
      </c>
      <c r="AC11" s="30">
        <f t="shared" si="14"/>
        <v>0</v>
      </c>
      <c r="AD11" s="31">
        <f t="shared" si="15"/>
        <v>0</v>
      </c>
      <c r="AE11" s="28">
        <f t="shared" si="16"/>
        <v>0</v>
      </c>
    </row>
    <row r="12">
      <c r="A12" s="14">
        <v>46361.0</v>
      </c>
      <c r="B12" s="15" t="str">
        <f t="shared" si="2"/>
        <v>土</v>
      </c>
      <c r="C12" s="16"/>
      <c r="D12" s="17">
        <f t="shared" si="3"/>
        <v>0</v>
      </c>
      <c r="E12" s="16"/>
      <c r="F12" s="16"/>
      <c r="G12" s="17" t="str">
        <f t="shared" si="4"/>
        <v/>
      </c>
      <c r="H12" s="17" t="str">
        <f t="shared" si="5"/>
        <v/>
      </c>
      <c r="I12" s="18" t="str">
        <f t="shared" ref="I12:J12" si="19">IF(G12="","",IFERROR(G12/C12,""))</f>
        <v/>
      </c>
      <c r="J12" s="18" t="str">
        <f t="shared" si="19"/>
        <v/>
      </c>
      <c r="K12" s="17" t="str">
        <f t="shared" si="7"/>
        <v/>
      </c>
      <c r="L12" s="19" t="str">
        <f t="shared" si="8"/>
        <v>—</v>
      </c>
      <c r="M12" s="21"/>
      <c r="N12" s="21"/>
      <c r="O12" s="21"/>
      <c r="P12" s="21"/>
      <c r="Q12" s="21"/>
      <c r="R12" s="18" t="str">
        <f t="shared" si="9"/>
        <v/>
      </c>
      <c r="S12" s="17" t="str">
        <f t="shared" si="10"/>
        <v/>
      </c>
      <c r="T12" s="22" t="str">
        <f t="shared" si="11"/>
        <v/>
      </c>
      <c r="U12" s="18" t="str">
        <f t="shared" si="12"/>
        <v/>
      </c>
      <c r="V12" s="21"/>
      <c r="W12" s="21"/>
      <c r="X12" s="16"/>
      <c r="Y12" s="24"/>
      <c r="AA12" s="26" t="s">
        <v>67</v>
      </c>
      <c r="AB12" s="28">
        <f t="shared" si="13"/>
        <v>0</v>
      </c>
      <c r="AC12" s="30">
        <f t="shared" si="14"/>
        <v>0</v>
      </c>
      <c r="AD12" s="31">
        <f t="shared" si="15"/>
        <v>0</v>
      </c>
      <c r="AE12" s="28">
        <f t="shared" si="16"/>
        <v>0</v>
      </c>
    </row>
    <row r="13">
      <c r="A13" s="32">
        <v>46362.0</v>
      </c>
      <c r="B13" s="23" t="str">
        <f t="shared" si="2"/>
        <v>日</v>
      </c>
      <c r="C13" s="16"/>
      <c r="D13" s="25">
        <f t="shared" si="3"/>
        <v>0</v>
      </c>
      <c r="E13" s="16"/>
      <c r="F13" s="16"/>
      <c r="G13" s="25" t="str">
        <f t="shared" si="4"/>
        <v/>
      </c>
      <c r="H13" s="25" t="str">
        <f t="shared" si="5"/>
        <v/>
      </c>
      <c r="I13" s="27" t="str">
        <f t="shared" ref="I13:J13" si="20">IF(G13="","",IFERROR(G13/C13,""))</f>
        <v/>
      </c>
      <c r="J13" s="27" t="str">
        <f t="shared" si="20"/>
        <v/>
      </c>
      <c r="K13" s="25" t="str">
        <f t="shared" si="7"/>
        <v/>
      </c>
      <c r="L13" s="33" t="str">
        <f t="shared" si="8"/>
        <v>—</v>
      </c>
      <c r="M13" s="21"/>
      <c r="N13" s="21"/>
      <c r="O13" s="21"/>
      <c r="P13" s="21"/>
      <c r="Q13" s="21"/>
      <c r="R13" s="27" t="str">
        <f t="shared" si="9"/>
        <v/>
      </c>
      <c r="S13" s="25" t="str">
        <f t="shared" si="10"/>
        <v/>
      </c>
      <c r="T13" s="34" t="str">
        <f t="shared" si="11"/>
        <v/>
      </c>
      <c r="U13" s="27" t="str">
        <f t="shared" si="12"/>
        <v/>
      </c>
      <c r="V13" s="21"/>
      <c r="W13" s="21"/>
      <c r="X13" s="16"/>
      <c r="Y13" s="24"/>
      <c r="AA13" s="26" t="s">
        <v>69</v>
      </c>
      <c r="AB13" s="28">
        <f t="shared" si="13"/>
        <v>0</v>
      </c>
      <c r="AC13" s="30">
        <f t="shared" si="14"/>
        <v>0</v>
      </c>
      <c r="AD13" s="31">
        <f t="shared" si="15"/>
        <v>0</v>
      </c>
      <c r="AE13" s="28">
        <f t="shared" si="16"/>
        <v>0</v>
      </c>
    </row>
    <row r="14">
      <c r="A14" s="14">
        <v>46363.0</v>
      </c>
      <c r="B14" s="15" t="str">
        <f t="shared" si="2"/>
        <v>月</v>
      </c>
      <c r="C14" s="16"/>
      <c r="D14" s="17">
        <f t="shared" si="3"/>
        <v>0</v>
      </c>
      <c r="E14" s="16"/>
      <c r="F14" s="16"/>
      <c r="G14" s="17" t="str">
        <f t="shared" si="4"/>
        <v/>
      </c>
      <c r="H14" s="17" t="str">
        <f t="shared" si="5"/>
        <v/>
      </c>
      <c r="I14" s="18" t="str">
        <f t="shared" ref="I14:J14" si="21">IF(G14="","",IFERROR(G14/C14,""))</f>
        <v/>
      </c>
      <c r="J14" s="18" t="str">
        <f t="shared" si="21"/>
        <v/>
      </c>
      <c r="K14" s="17" t="str">
        <f t="shared" si="7"/>
        <v/>
      </c>
      <c r="L14" s="19" t="str">
        <f t="shared" si="8"/>
        <v>—</v>
      </c>
      <c r="M14" s="21"/>
      <c r="N14" s="21"/>
      <c r="O14" s="21"/>
      <c r="P14" s="21"/>
      <c r="Q14" s="21"/>
      <c r="R14" s="18" t="str">
        <f t="shared" si="9"/>
        <v/>
      </c>
      <c r="S14" s="17" t="str">
        <f t="shared" si="10"/>
        <v/>
      </c>
      <c r="T14" s="22" t="str">
        <f t="shared" si="11"/>
        <v/>
      </c>
      <c r="U14" s="18" t="str">
        <f t="shared" si="12"/>
        <v/>
      </c>
      <c r="V14" s="21"/>
      <c r="W14" s="21"/>
      <c r="X14" s="16"/>
      <c r="Y14" s="24"/>
      <c r="AA14" s="26" t="s">
        <v>71</v>
      </c>
      <c r="AB14" s="28">
        <f t="shared" si="13"/>
        <v>0</v>
      </c>
      <c r="AC14" s="30">
        <f t="shared" si="14"/>
        <v>0</v>
      </c>
      <c r="AD14" s="31">
        <f t="shared" si="15"/>
        <v>0</v>
      </c>
      <c r="AE14" s="28">
        <f t="shared" si="16"/>
        <v>0</v>
      </c>
    </row>
    <row r="15">
      <c r="A15" s="32">
        <v>46364.0</v>
      </c>
      <c r="B15" s="23" t="str">
        <f t="shared" si="2"/>
        <v>火</v>
      </c>
      <c r="C15" s="16"/>
      <c r="D15" s="25">
        <f t="shared" si="3"/>
        <v>0</v>
      </c>
      <c r="E15" s="16"/>
      <c r="F15" s="16"/>
      <c r="G15" s="25" t="str">
        <f t="shared" si="4"/>
        <v/>
      </c>
      <c r="H15" s="25" t="str">
        <f t="shared" si="5"/>
        <v/>
      </c>
      <c r="I15" s="27" t="str">
        <f t="shared" ref="I15:J15" si="22">IF(G15="","",IFERROR(G15/C15,""))</f>
        <v/>
      </c>
      <c r="J15" s="27" t="str">
        <f t="shared" si="22"/>
        <v/>
      </c>
      <c r="K15" s="25" t="str">
        <f t="shared" si="7"/>
        <v/>
      </c>
      <c r="L15" s="33" t="str">
        <f t="shared" si="8"/>
        <v>—</v>
      </c>
      <c r="M15" s="21"/>
      <c r="N15" s="21"/>
      <c r="O15" s="21"/>
      <c r="P15" s="21"/>
      <c r="Q15" s="21"/>
      <c r="R15" s="27" t="str">
        <f t="shared" si="9"/>
        <v/>
      </c>
      <c r="S15" s="25" t="str">
        <f t="shared" si="10"/>
        <v/>
      </c>
      <c r="T15" s="34" t="str">
        <f t="shared" si="11"/>
        <v/>
      </c>
      <c r="U15" s="27" t="str">
        <f t="shared" si="12"/>
        <v/>
      </c>
      <c r="V15" s="21"/>
      <c r="W15" s="21"/>
      <c r="X15" s="16"/>
      <c r="Y15" s="24"/>
    </row>
    <row r="16">
      <c r="A16" s="14">
        <v>46365.0</v>
      </c>
      <c r="B16" s="15" t="str">
        <f t="shared" si="2"/>
        <v>水</v>
      </c>
      <c r="C16" s="16"/>
      <c r="D16" s="17">
        <f t="shared" si="3"/>
        <v>0</v>
      </c>
      <c r="E16" s="16"/>
      <c r="F16" s="16"/>
      <c r="G16" s="17" t="str">
        <f t="shared" si="4"/>
        <v/>
      </c>
      <c r="H16" s="17" t="str">
        <f t="shared" si="5"/>
        <v/>
      </c>
      <c r="I16" s="18" t="str">
        <f t="shared" ref="I16:J16" si="23">IF(G16="","",IFERROR(G16/C16,""))</f>
        <v/>
      </c>
      <c r="J16" s="18" t="str">
        <f t="shared" si="23"/>
        <v/>
      </c>
      <c r="K16" s="17" t="str">
        <f t="shared" si="7"/>
        <v/>
      </c>
      <c r="L16" s="19" t="str">
        <f t="shared" si="8"/>
        <v>—</v>
      </c>
      <c r="M16" s="21"/>
      <c r="N16" s="21"/>
      <c r="O16" s="21"/>
      <c r="P16" s="21"/>
      <c r="Q16" s="21"/>
      <c r="R16" s="18" t="str">
        <f t="shared" si="9"/>
        <v/>
      </c>
      <c r="S16" s="17" t="str">
        <f t="shared" si="10"/>
        <v/>
      </c>
      <c r="T16" s="22" t="str">
        <f t="shared" si="11"/>
        <v/>
      </c>
      <c r="U16" s="18" t="str">
        <f t="shared" si="12"/>
        <v/>
      </c>
      <c r="V16" s="21"/>
      <c r="W16" s="21"/>
      <c r="X16" s="16"/>
      <c r="Y16" s="24"/>
      <c r="AA16" s="39" t="s">
        <v>75</v>
      </c>
    </row>
    <row r="17">
      <c r="A17" s="32">
        <v>46366.0</v>
      </c>
      <c r="B17" s="23" t="str">
        <f t="shared" si="2"/>
        <v>木</v>
      </c>
      <c r="C17" s="16"/>
      <c r="D17" s="25">
        <f t="shared" si="3"/>
        <v>0</v>
      </c>
      <c r="E17" s="16"/>
      <c r="F17" s="16"/>
      <c r="G17" s="25" t="str">
        <f t="shared" si="4"/>
        <v/>
      </c>
      <c r="H17" s="25" t="str">
        <f t="shared" si="5"/>
        <v/>
      </c>
      <c r="I17" s="27" t="str">
        <f t="shared" ref="I17:J17" si="24">IF(G17="","",IFERROR(G17/C17,""))</f>
        <v/>
      </c>
      <c r="J17" s="27" t="str">
        <f t="shared" si="24"/>
        <v/>
      </c>
      <c r="K17" s="25" t="str">
        <f t="shared" si="7"/>
        <v/>
      </c>
      <c r="L17" s="33" t="str">
        <f t="shared" si="8"/>
        <v>—</v>
      </c>
      <c r="M17" s="21"/>
      <c r="N17" s="21"/>
      <c r="O17" s="21"/>
      <c r="P17" s="21"/>
      <c r="Q17" s="21"/>
      <c r="R17" s="27" t="str">
        <f t="shared" si="9"/>
        <v/>
      </c>
      <c r="S17" s="25" t="str">
        <f t="shared" si="10"/>
        <v/>
      </c>
      <c r="T17" s="34" t="str">
        <f t="shared" si="11"/>
        <v/>
      </c>
      <c r="U17" s="27" t="str">
        <f t="shared" si="12"/>
        <v/>
      </c>
      <c r="V17" s="21"/>
      <c r="W17" s="21"/>
      <c r="X17" s="16"/>
      <c r="Y17" s="24"/>
    </row>
    <row r="18">
      <c r="A18" s="14">
        <v>46367.0</v>
      </c>
      <c r="B18" s="15" t="str">
        <f t="shared" si="2"/>
        <v>金</v>
      </c>
      <c r="C18" s="16"/>
      <c r="D18" s="17">
        <f t="shared" si="3"/>
        <v>0</v>
      </c>
      <c r="E18" s="16"/>
      <c r="F18" s="16"/>
      <c r="G18" s="17" t="str">
        <f t="shared" si="4"/>
        <v/>
      </c>
      <c r="H18" s="17" t="str">
        <f t="shared" si="5"/>
        <v/>
      </c>
      <c r="I18" s="18" t="str">
        <f t="shared" ref="I18:J18" si="25">IF(G18="","",IFERROR(G18/C18,""))</f>
        <v/>
      </c>
      <c r="J18" s="18" t="str">
        <f t="shared" si="25"/>
        <v/>
      </c>
      <c r="K18" s="17" t="str">
        <f t="shared" si="7"/>
        <v/>
      </c>
      <c r="L18" s="19" t="str">
        <f t="shared" si="8"/>
        <v>—</v>
      </c>
      <c r="M18" s="21"/>
      <c r="N18" s="21"/>
      <c r="O18" s="21"/>
      <c r="P18" s="21"/>
      <c r="Q18" s="21"/>
      <c r="R18" s="18" t="str">
        <f t="shared" si="9"/>
        <v/>
      </c>
      <c r="S18" s="17" t="str">
        <f t="shared" si="10"/>
        <v/>
      </c>
      <c r="T18" s="22" t="str">
        <f t="shared" si="11"/>
        <v/>
      </c>
      <c r="U18" s="18" t="str">
        <f t="shared" si="12"/>
        <v/>
      </c>
      <c r="V18" s="21"/>
      <c r="W18" s="21"/>
      <c r="X18" s="16"/>
      <c r="Y18" s="24"/>
      <c r="AA18" s="40" t="s">
        <v>191</v>
      </c>
      <c r="AH18" s="39" t="s">
        <v>138</v>
      </c>
      <c r="AI18" s="41">
        <f>$A$8+MOD(1-WEEKDAY($A$8,2)+7,7)</f>
        <v>46357</v>
      </c>
    </row>
    <row r="19">
      <c r="A19" s="32">
        <v>46368.0</v>
      </c>
      <c r="B19" s="23" t="str">
        <f t="shared" si="2"/>
        <v>土</v>
      </c>
      <c r="C19" s="16"/>
      <c r="D19" s="25">
        <f t="shared" si="3"/>
        <v>0</v>
      </c>
      <c r="E19" s="16"/>
      <c r="F19" s="16"/>
      <c r="G19" s="25" t="str">
        <f t="shared" si="4"/>
        <v/>
      </c>
      <c r="H19" s="25" t="str">
        <f t="shared" si="5"/>
        <v/>
      </c>
      <c r="I19" s="27" t="str">
        <f t="shared" ref="I19:J19" si="26">IF(G19="","",IFERROR(G19/C19,""))</f>
        <v/>
      </c>
      <c r="J19" s="27" t="str">
        <f t="shared" si="26"/>
        <v/>
      </c>
      <c r="K19" s="25" t="str">
        <f t="shared" si="7"/>
        <v/>
      </c>
      <c r="L19" s="33" t="str">
        <f t="shared" si="8"/>
        <v>—</v>
      </c>
      <c r="M19" s="21"/>
      <c r="N19" s="21"/>
      <c r="O19" s="21"/>
      <c r="P19" s="21"/>
      <c r="Q19" s="21"/>
      <c r="R19" s="27" t="str">
        <f t="shared" si="9"/>
        <v/>
      </c>
      <c r="S19" s="25" t="str">
        <f t="shared" si="10"/>
        <v/>
      </c>
      <c r="T19" s="34" t="str">
        <f t="shared" si="11"/>
        <v/>
      </c>
      <c r="U19" s="27" t="str">
        <f t="shared" si="12"/>
        <v/>
      </c>
      <c r="V19" s="21"/>
      <c r="W19" s="21"/>
      <c r="X19" s="16"/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46369.0</v>
      </c>
      <c r="B20" s="15" t="str">
        <f t="shared" si="2"/>
        <v>日</v>
      </c>
      <c r="C20" s="16"/>
      <c r="D20" s="17">
        <f t="shared" si="3"/>
        <v>0</v>
      </c>
      <c r="E20" s="16"/>
      <c r="F20" s="16"/>
      <c r="G20" s="17" t="str">
        <f t="shared" si="4"/>
        <v/>
      </c>
      <c r="H20" s="17" t="str">
        <f t="shared" si="5"/>
        <v/>
      </c>
      <c r="I20" s="18" t="str">
        <f t="shared" ref="I20:J20" si="27">IF(G20="","",IFERROR(G20/C20,""))</f>
        <v/>
      </c>
      <c r="J20" s="18" t="str">
        <f t="shared" si="27"/>
        <v/>
      </c>
      <c r="K20" s="17" t="str">
        <f t="shared" si="7"/>
        <v/>
      </c>
      <c r="L20" s="19" t="str">
        <f t="shared" si="8"/>
        <v>—</v>
      </c>
      <c r="M20" s="21"/>
      <c r="N20" s="21"/>
      <c r="O20" s="21"/>
      <c r="P20" s="21"/>
      <c r="Q20" s="21"/>
      <c r="R20" s="18" t="str">
        <f t="shared" si="9"/>
        <v/>
      </c>
      <c r="S20" s="17" t="str">
        <f t="shared" si="10"/>
        <v/>
      </c>
      <c r="T20" s="22" t="str">
        <f t="shared" si="11"/>
        <v/>
      </c>
      <c r="U20" s="18" t="str">
        <f t="shared" si="12"/>
        <v/>
      </c>
      <c r="V20" s="21"/>
      <c r="W20" s="21"/>
      <c r="X20" s="16"/>
      <c r="Y20" s="24"/>
      <c r="AA20" s="30">
        <v>1.0</v>
      </c>
      <c r="AB20" s="42" t="str">
        <f>IF($AI$18+7*(1-1)&gt;$A$38,"",TEXT($AI$18+7*(1-1),"m/d")&amp;"-"&amp;TEXT($AI$18+7*(1-1)+6,"m/d"))</f>
        <v>12/1-12/7</v>
      </c>
      <c r="AC20" s="28">
        <f>IF($AB20="","",(SUMIFS($G$8:$G$38,$A$8:$A$38,"&gt;="&amp;$AI$18+7*(1-1),$A$8:$A$38,"&lt;="&amp;$AI$18+7*(1-1)+6)+SUMIFS('2027年01月'!$G$8:$G$38,'2027年01月'!$A$8:$A$38,"&gt;="&amp;$AI$18+7*(1-1),'2027年01月'!$A$8:$A$38,"&lt;="&amp;$AI$18+7*(1-1)+6)))</f>
        <v>0</v>
      </c>
      <c r="AD20" s="31" t="str">
        <f>IF($AB20="","",IFERROR((SUMIFS($M$8:$M$38,$A$8:$A$38,"&gt;="&amp;$AI$18+7*(1-1),$A$8:$A$38,"&lt;="&amp;$AI$18+7*(1-1)+6)+SUMIFS('2027年01月'!$M$8:$M$38,'2027年01月'!$A$8:$A$38,"&gt;="&amp;$AI$18+7*(1-1),'2027年01月'!$A$8:$A$38,"&lt;="&amp;$AI$18+7*(1-1)+6))/(SUMIFS($O$8:$O$38,$A$8:$A$38,"&gt;="&amp;$AI$18+7*(1-1),$A$8:$A$38,"&lt;="&amp;$AI$18+7*(1-1)+6)+SUMIFS('2027年01月'!$O$8:$O$38,'2027年01月'!$A$8:$A$38,"&gt;="&amp;$AI$18+7*(1-1),'2027年01月'!$A$8:$A$38,"&lt;="&amp;$AI$18+7*(1-1)+6)),""))</f>
        <v/>
      </c>
      <c r="AE20" s="28" t="str">
        <f>IF($AB20="","",IFERROR((SUMIFS($G$8:$G$38,$A$8:$A$38,"&gt;="&amp;$AI$18+7*(1-1),$A$8:$A$38,"&lt;="&amp;$AI$18+7*(1-1)+6)+SUMIFS('2027年01月'!$G$8:$G$38,'2027年01月'!$A$8:$A$38,"&gt;="&amp;$AI$18+7*(1-1),'2027年01月'!$A$8:$A$38,"&lt;="&amp;$AI$18+7*(1-1)+6))/(SUMIFS($M$8:$M$38,$A$8:$A$38,"&gt;="&amp;$AI$18+7*(1-1),$A$8:$A$38,"&lt;="&amp;$AI$18+7*(1-1)+6)+SUMIFS('2027年01月'!$M$8:$M$38,'2027年01月'!$A$8:$A$38,"&gt;="&amp;$AI$18+7*(1-1),'2027年01月'!$A$8:$A$38,"&lt;="&amp;$AI$18+7*(1-1)+6)),""))</f>
        <v/>
      </c>
      <c r="AF20" s="43" t="str">
        <f>IF($AB20="","",IFERROR((SUMIFS($N$8:$N$38,$A$8:$A$38,"&gt;="&amp;$AI$18+7*(1-1),$A$8:$A$38,"&lt;="&amp;$AI$18+7*(1-1)+6)+SUMIFS('2027年01月'!$N$8:$N$38,'2027年01月'!$A$8:$A$38,"&gt;="&amp;$AI$18+7*(1-1),'2027年01月'!$A$8:$A$38,"&lt;="&amp;$AI$18+7*(1-1)+6))/(SUMIFS($M$8:$M$38,$A$8:$A$38,"&gt;="&amp;$AI$18+7*(1-1),$A$8:$A$38,"&lt;="&amp;$AI$18+7*(1-1)+6)+SUMIFS('2027年01月'!$M$8:$M$38,'2027年01月'!$A$8:$A$38,"&gt;="&amp;$AI$18+7*(1-1),'2027年01月'!$A$8:$A$38,"&lt;="&amp;$AI$18+7*(1-1)+6)),""))</f>
        <v/>
      </c>
      <c r="AG20" s="31" t="str">
        <f>IF($AB20="","",IFERROR((SUMIFS($P$8:$P$38,$A$8:$A$38,"&gt;="&amp;$AI$18+7*(1-1),$A$8:$A$38,"&lt;="&amp;$AI$18+7*(1-1)+6)+SUMIFS('2027年01月'!$P$8:$P$38,'2027年01月'!$A$8:$A$38,"&gt;="&amp;$AI$18+7*(1-1),'2027年01月'!$A$8:$A$38,"&lt;="&amp;$AI$18+7*(1-1)+6))/(SUMIFS($O$8:$O$38,$A$8:$A$38,"&gt;="&amp;$AI$18+7*(1-1),$A$8:$A$38,"&lt;="&amp;$AI$18+7*(1-1)+6)+SUMIFS('2027年01月'!$O$8:$O$38,'2027年01月'!$A$8:$A$38,"&gt;="&amp;$AI$18+7*(1-1),'2027年01月'!$A$8:$A$38,"&lt;="&amp;$AI$18+7*(1-1)+6)),""))</f>
        <v/>
      </c>
    </row>
    <row r="21" ht="15.75" customHeight="1">
      <c r="A21" s="32">
        <v>46370.0</v>
      </c>
      <c r="B21" s="23" t="str">
        <f t="shared" si="2"/>
        <v>月</v>
      </c>
      <c r="C21" s="16"/>
      <c r="D21" s="25">
        <f t="shared" si="3"/>
        <v>0</v>
      </c>
      <c r="E21" s="16"/>
      <c r="F21" s="16"/>
      <c r="G21" s="25" t="str">
        <f t="shared" si="4"/>
        <v/>
      </c>
      <c r="H21" s="25" t="str">
        <f t="shared" si="5"/>
        <v/>
      </c>
      <c r="I21" s="27" t="str">
        <f t="shared" ref="I21:J21" si="28">IF(G21="","",IFERROR(G21/C21,""))</f>
        <v/>
      </c>
      <c r="J21" s="27" t="str">
        <f t="shared" si="28"/>
        <v/>
      </c>
      <c r="K21" s="25" t="str">
        <f t="shared" si="7"/>
        <v/>
      </c>
      <c r="L21" s="33" t="str">
        <f t="shared" si="8"/>
        <v>—</v>
      </c>
      <c r="M21" s="21"/>
      <c r="N21" s="21"/>
      <c r="O21" s="21"/>
      <c r="P21" s="21"/>
      <c r="Q21" s="21"/>
      <c r="R21" s="27" t="str">
        <f t="shared" si="9"/>
        <v/>
      </c>
      <c r="S21" s="25" t="str">
        <f t="shared" si="10"/>
        <v/>
      </c>
      <c r="T21" s="34" t="str">
        <f t="shared" si="11"/>
        <v/>
      </c>
      <c r="U21" s="27" t="str">
        <f t="shared" si="12"/>
        <v/>
      </c>
      <c r="V21" s="21"/>
      <c r="W21" s="21"/>
      <c r="X21" s="16"/>
      <c r="Y21" s="24"/>
      <c r="AA21" s="30">
        <v>2.0</v>
      </c>
      <c r="AB21" s="42" t="str">
        <f>IF($AI$18+7*(2-1)&gt;$A$38,"",TEXT($AI$18+7*(2-1),"m/d")&amp;"-"&amp;TEXT($AI$18+7*(2-1)+6,"m/d"))</f>
        <v>12/8-12/14</v>
      </c>
      <c r="AC21" s="28">
        <f>IF($AB21="","",(SUMIFS($G$8:$G$38,$A$8:$A$38,"&gt;="&amp;$AI$18+7*(2-1),$A$8:$A$38,"&lt;="&amp;$AI$18+7*(2-1)+6)+SUMIFS('2027年01月'!$G$8:$G$38,'2027年01月'!$A$8:$A$38,"&gt;="&amp;$AI$18+7*(2-1),'2027年01月'!$A$8:$A$38,"&lt;="&amp;$AI$18+7*(2-1)+6)))</f>
        <v>0</v>
      </c>
      <c r="AD21" s="31" t="str">
        <f>IF($AB21="","",IFERROR((SUMIFS($M$8:$M$38,$A$8:$A$38,"&gt;="&amp;$AI$18+7*(2-1),$A$8:$A$38,"&lt;="&amp;$AI$18+7*(2-1)+6)+SUMIFS('2027年01月'!$M$8:$M$38,'2027年01月'!$A$8:$A$38,"&gt;="&amp;$AI$18+7*(2-1),'2027年01月'!$A$8:$A$38,"&lt;="&amp;$AI$18+7*(2-1)+6))/(SUMIFS($O$8:$O$38,$A$8:$A$38,"&gt;="&amp;$AI$18+7*(2-1),$A$8:$A$38,"&lt;="&amp;$AI$18+7*(2-1)+6)+SUMIFS('2027年01月'!$O$8:$O$38,'2027年01月'!$A$8:$A$38,"&gt;="&amp;$AI$18+7*(2-1),'2027年01月'!$A$8:$A$38,"&lt;="&amp;$AI$18+7*(2-1)+6)),""))</f>
        <v/>
      </c>
      <c r="AE21" s="28" t="str">
        <f>IF($AB21="","",IFERROR((SUMIFS($G$8:$G$38,$A$8:$A$38,"&gt;="&amp;$AI$18+7*(2-1),$A$8:$A$38,"&lt;="&amp;$AI$18+7*(2-1)+6)+SUMIFS('2027年01月'!$G$8:$G$38,'2027年01月'!$A$8:$A$38,"&gt;="&amp;$AI$18+7*(2-1),'2027年01月'!$A$8:$A$38,"&lt;="&amp;$AI$18+7*(2-1)+6))/(SUMIFS($M$8:$M$38,$A$8:$A$38,"&gt;="&amp;$AI$18+7*(2-1),$A$8:$A$38,"&lt;="&amp;$AI$18+7*(2-1)+6)+SUMIFS('2027年01月'!$M$8:$M$38,'2027年01月'!$A$8:$A$38,"&gt;="&amp;$AI$18+7*(2-1),'2027年01月'!$A$8:$A$38,"&lt;="&amp;$AI$18+7*(2-1)+6)),""))</f>
        <v/>
      </c>
      <c r="AF21" s="43" t="str">
        <f>IF($AB21="","",IFERROR((SUMIFS($N$8:$N$38,$A$8:$A$38,"&gt;="&amp;$AI$18+7*(2-1),$A$8:$A$38,"&lt;="&amp;$AI$18+7*(2-1)+6)+SUMIFS('2027年01月'!$N$8:$N$38,'2027年01月'!$A$8:$A$38,"&gt;="&amp;$AI$18+7*(2-1),'2027年01月'!$A$8:$A$38,"&lt;="&amp;$AI$18+7*(2-1)+6))/(SUMIFS($M$8:$M$38,$A$8:$A$38,"&gt;="&amp;$AI$18+7*(2-1),$A$8:$A$38,"&lt;="&amp;$AI$18+7*(2-1)+6)+SUMIFS('2027年01月'!$M$8:$M$38,'2027年01月'!$A$8:$A$38,"&gt;="&amp;$AI$18+7*(2-1),'2027年01月'!$A$8:$A$38,"&lt;="&amp;$AI$18+7*(2-1)+6)),""))</f>
        <v/>
      </c>
      <c r="AG21" s="31" t="str">
        <f>IF($AB21="","",IFERROR((SUMIFS($P$8:$P$38,$A$8:$A$38,"&gt;="&amp;$AI$18+7*(2-1),$A$8:$A$38,"&lt;="&amp;$AI$18+7*(2-1)+6)+SUMIFS('2027年01月'!$P$8:$P$38,'2027年01月'!$A$8:$A$38,"&gt;="&amp;$AI$18+7*(2-1),'2027年01月'!$A$8:$A$38,"&lt;="&amp;$AI$18+7*(2-1)+6))/(SUMIFS($O$8:$O$38,$A$8:$A$38,"&gt;="&amp;$AI$18+7*(2-1),$A$8:$A$38,"&lt;="&amp;$AI$18+7*(2-1)+6)+SUMIFS('2027年01月'!$O$8:$O$38,'2027年01月'!$A$8:$A$38,"&gt;="&amp;$AI$18+7*(2-1),'2027年01月'!$A$8:$A$38,"&lt;="&amp;$AI$18+7*(2-1)+6)),""))</f>
        <v/>
      </c>
    </row>
    <row r="22" ht="15.75" customHeight="1">
      <c r="A22" s="14">
        <v>46371.0</v>
      </c>
      <c r="B22" s="15" t="str">
        <f t="shared" si="2"/>
        <v>火</v>
      </c>
      <c r="C22" s="16"/>
      <c r="D22" s="17">
        <f t="shared" si="3"/>
        <v>0</v>
      </c>
      <c r="E22" s="16"/>
      <c r="F22" s="16"/>
      <c r="G22" s="17" t="str">
        <f t="shared" si="4"/>
        <v/>
      </c>
      <c r="H22" s="17" t="str">
        <f t="shared" si="5"/>
        <v/>
      </c>
      <c r="I22" s="18" t="str">
        <f t="shared" ref="I22:J22" si="29">IF(G22="","",IFERROR(G22/C22,""))</f>
        <v/>
      </c>
      <c r="J22" s="18" t="str">
        <f t="shared" si="29"/>
        <v/>
      </c>
      <c r="K22" s="17" t="str">
        <f t="shared" si="7"/>
        <v/>
      </c>
      <c r="L22" s="19" t="str">
        <f t="shared" si="8"/>
        <v>—</v>
      </c>
      <c r="M22" s="21"/>
      <c r="N22" s="21"/>
      <c r="O22" s="21"/>
      <c r="P22" s="21"/>
      <c r="Q22" s="21"/>
      <c r="R22" s="18" t="str">
        <f t="shared" si="9"/>
        <v/>
      </c>
      <c r="S22" s="17" t="str">
        <f t="shared" si="10"/>
        <v/>
      </c>
      <c r="T22" s="22" t="str">
        <f t="shared" si="11"/>
        <v/>
      </c>
      <c r="U22" s="18" t="str">
        <f t="shared" si="12"/>
        <v/>
      </c>
      <c r="V22" s="21"/>
      <c r="W22" s="21"/>
      <c r="X22" s="16"/>
      <c r="Y22" s="24"/>
      <c r="AA22" s="30">
        <v>3.0</v>
      </c>
      <c r="AB22" s="42" t="str">
        <f>IF($AI$18+7*(3-1)&gt;$A$38,"",TEXT($AI$18+7*(3-1),"m/d")&amp;"-"&amp;TEXT($AI$18+7*(3-1)+6,"m/d"))</f>
        <v>12/15-12/21</v>
      </c>
      <c r="AC22" s="28">
        <f>IF($AB22="","",(SUMIFS($G$8:$G$38,$A$8:$A$38,"&gt;="&amp;$AI$18+7*(3-1),$A$8:$A$38,"&lt;="&amp;$AI$18+7*(3-1)+6)+SUMIFS('2027年01月'!$G$8:$G$38,'2027年01月'!$A$8:$A$38,"&gt;="&amp;$AI$18+7*(3-1),'2027年01月'!$A$8:$A$38,"&lt;="&amp;$AI$18+7*(3-1)+6)))</f>
        <v>0</v>
      </c>
      <c r="AD22" s="31" t="str">
        <f>IF($AB22="","",IFERROR((SUMIFS($M$8:$M$38,$A$8:$A$38,"&gt;="&amp;$AI$18+7*(3-1),$A$8:$A$38,"&lt;="&amp;$AI$18+7*(3-1)+6)+SUMIFS('2027年01月'!$M$8:$M$38,'2027年01月'!$A$8:$A$38,"&gt;="&amp;$AI$18+7*(3-1),'2027年01月'!$A$8:$A$38,"&lt;="&amp;$AI$18+7*(3-1)+6))/(SUMIFS($O$8:$O$38,$A$8:$A$38,"&gt;="&amp;$AI$18+7*(3-1),$A$8:$A$38,"&lt;="&amp;$AI$18+7*(3-1)+6)+SUMIFS('2027年01月'!$O$8:$O$38,'2027年01月'!$A$8:$A$38,"&gt;="&amp;$AI$18+7*(3-1),'2027年01月'!$A$8:$A$38,"&lt;="&amp;$AI$18+7*(3-1)+6)),""))</f>
        <v/>
      </c>
      <c r="AE22" s="28" t="str">
        <f>IF($AB22="","",IFERROR((SUMIFS($G$8:$G$38,$A$8:$A$38,"&gt;="&amp;$AI$18+7*(3-1),$A$8:$A$38,"&lt;="&amp;$AI$18+7*(3-1)+6)+SUMIFS('2027年01月'!$G$8:$G$38,'2027年01月'!$A$8:$A$38,"&gt;="&amp;$AI$18+7*(3-1),'2027年01月'!$A$8:$A$38,"&lt;="&amp;$AI$18+7*(3-1)+6))/(SUMIFS($M$8:$M$38,$A$8:$A$38,"&gt;="&amp;$AI$18+7*(3-1),$A$8:$A$38,"&lt;="&amp;$AI$18+7*(3-1)+6)+SUMIFS('2027年01月'!$M$8:$M$38,'2027年01月'!$A$8:$A$38,"&gt;="&amp;$AI$18+7*(3-1),'2027年01月'!$A$8:$A$38,"&lt;="&amp;$AI$18+7*(3-1)+6)),""))</f>
        <v/>
      </c>
      <c r="AF22" s="43" t="str">
        <f>IF($AB22="","",IFERROR((SUMIFS($N$8:$N$38,$A$8:$A$38,"&gt;="&amp;$AI$18+7*(3-1),$A$8:$A$38,"&lt;="&amp;$AI$18+7*(3-1)+6)+SUMIFS('2027年01月'!$N$8:$N$38,'2027年01月'!$A$8:$A$38,"&gt;="&amp;$AI$18+7*(3-1),'2027年01月'!$A$8:$A$38,"&lt;="&amp;$AI$18+7*(3-1)+6))/(SUMIFS($M$8:$M$38,$A$8:$A$38,"&gt;="&amp;$AI$18+7*(3-1),$A$8:$A$38,"&lt;="&amp;$AI$18+7*(3-1)+6)+SUMIFS('2027年01月'!$M$8:$M$38,'2027年01月'!$A$8:$A$38,"&gt;="&amp;$AI$18+7*(3-1),'2027年01月'!$A$8:$A$38,"&lt;="&amp;$AI$18+7*(3-1)+6)),""))</f>
        <v/>
      </c>
      <c r="AG22" s="31" t="str">
        <f>IF($AB22="","",IFERROR((SUMIFS($P$8:$P$38,$A$8:$A$38,"&gt;="&amp;$AI$18+7*(3-1),$A$8:$A$38,"&lt;="&amp;$AI$18+7*(3-1)+6)+SUMIFS('2027年01月'!$P$8:$P$38,'2027年01月'!$A$8:$A$38,"&gt;="&amp;$AI$18+7*(3-1),'2027年01月'!$A$8:$A$38,"&lt;="&amp;$AI$18+7*(3-1)+6))/(SUMIFS($O$8:$O$38,$A$8:$A$38,"&gt;="&amp;$AI$18+7*(3-1),$A$8:$A$38,"&lt;="&amp;$AI$18+7*(3-1)+6)+SUMIFS('2027年01月'!$O$8:$O$38,'2027年01月'!$A$8:$A$38,"&gt;="&amp;$AI$18+7*(3-1),'2027年01月'!$A$8:$A$38,"&lt;="&amp;$AI$18+7*(3-1)+6)),""))</f>
        <v/>
      </c>
    </row>
    <row r="23" ht="15.75" customHeight="1">
      <c r="A23" s="32">
        <v>46372.0</v>
      </c>
      <c r="B23" s="23" t="str">
        <f t="shared" si="2"/>
        <v>水</v>
      </c>
      <c r="C23" s="16"/>
      <c r="D23" s="25">
        <f t="shared" si="3"/>
        <v>0</v>
      </c>
      <c r="E23" s="16"/>
      <c r="F23" s="16"/>
      <c r="G23" s="25" t="str">
        <f t="shared" si="4"/>
        <v/>
      </c>
      <c r="H23" s="25" t="str">
        <f t="shared" si="5"/>
        <v/>
      </c>
      <c r="I23" s="27" t="str">
        <f t="shared" ref="I23:J23" si="30">IF(G23="","",IFERROR(G23/C23,""))</f>
        <v/>
      </c>
      <c r="J23" s="27" t="str">
        <f t="shared" si="30"/>
        <v/>
      </c>
      <c r="K23" s="25" t="str">
        <f t="shared" si="7"/>
        <v/>
      </c>
      <c r="L23" s="33" t="str">
        <f t="shared" si="8"/>
        <v>—</v>
      </c>
      <c r="M23" s="21"/>
      <c r="N23" s="21"/>
      <c r="O23" s="21"/>
      <c r="P23" s="21"/>
      <c r="Q23" s="21"/>
      <c r="R23" s="27" t="str">
        <f t="shared" si="9"/>
        <v/>
      </c>
      <c r="S23" s="25" t="str">
        <f t="shared" si="10"/>
        <v/>
      </c>
      <c r="T23" s="34" t="str">
        <f t="shared" si="11"/>
        <v/>
      </c>
      <c r="U23" s="27" t="str">
        <f t="shared" si="12"/>
        <v/>
      </c>
      <c r="V23" s="21"/>
      <c r="W23" s="21"/>
      <c r="X23" s="16"/>
      <c r="Y23" s="24"/>
      <c r="AA23" s="30">
        <v>4.0</v>
      </c>
      <c r="AB23" s="42" t="str">
        <f>IF($AI$18+7*(4-1)&gt;$A$38,"",TEXT($AI$18+7*(4-1),"m/d")&amp;"-"&amp;TEXT($AI$18+7*(4-1)+6,"m/d"))</f>
        <v>12/22-12/28</v>
      </c>
      <c r="AC23" s="28">
        <f>IF($AB23="","",(SUMIFS($G$8:$G$38,$A$8:$A$38,"&gt;="&amp;$AI$18+7*(4-1),$A$8:$A$38,"&lt;="&amp;$AI$18+7*(4-1)+6)+SUMIFS('2027年01月'!$G$8:$G$38,'2027年01月'!$A$8:$A$38,"&gt;="&amp;$AI$18+7*(4-1),'2027年01月'!$A$8:$A$38,"&lt;="&amp;$AI$18+7*(4-1)+6)))</f>
        <v>0</v>
      </c>
      <c r="AD23" s="31" t="str">
        <f>IF($AB23="","",IFERROR((SUMIFS($M$8:$M$38,$A$8:$A$38,"&gt;="&amp;$AI$18+7*(4-1),$A$8:$A$38,"&lt;="&amp;$AI$18+7*(4-1)+6)+SUMIFS('2027年01月'!$M$8:$M$38,'2027年01月'!$A$8:$A$38,"&gt;="&amp;$AI$18+7*(4-1),'2027年01月'!$A$8:$A$38,"&lt;="&amp;$AI$18+7*(4-1)+6))/(SUMIFS($O$8:$O$38,$A$8:$A$38,"&gt;="&amp;$AI$18+7*(4-1),$A$8:$A$38,"&lt;="&amp;$AI$18+7*(4-1)+6)+SUMIFS('2027年01月'!$O$8:$O$38,'2027年01月'!$A$8:$A$38,"&gt;="&amp;$AI$18+7*(4-1),'2027年01月'!$A$8:$A$38,"&lt;="&amp;$AI$18+7*(4-1)+6)),""))</f>
        <v/>
      </c>
      <c r="AE23" s="28" t="str">
        <f>IF($AB23="","",IFERROR((SUMIFS($G$8:$G$38,$A$8:$A$38,"&gt;="&amp;$AI$18+7*(4-1),$A$8:$A$38,"&lt;="&amp;$AI$18+7*(4-1)+6)+SUMIFS('2027年01月'!$G$8:$G$38,'2027年01月'!$A$8:$A$38,"&gt;="&amp;$AI$18+7*(4-1),'2027年01月'!$A$8:$A$38,"&lt;="&amp;$AI$18+7*(4-1)+6))/(SUMIFS($M$8:$M$38,$A$8:$A$38,"&gt;="&amp;$AI$18+7*(4-1),$A$8:$A$38,"&lt;="&amp;$AI$18+7*(4-1)+6)+SUMIFS('2027年01月'!$M$8:$M$38,'2027年01月'!$A$8:$A$38,"&gt;="&amp;$AI$18+7*(4-1),'2027年01月'!$A$8:$A$38,"&lt;="&amp;$AI$18+7*(4-1)+6)),""))</f>
        <v/>
      </c>
      <c r="AF23" s="43" t="str">
        <f>IF($AB23="","",IFERROR((SUMIFS($N$8:$N$38,$A$8:$A$38,"&gt;="&amp;$AI$18+7*(4-1),$A$8:$A$38,"&lt;="&amp;$AI$18+7*(4-1)+6)+SUMIFS('2027年01月'!$N$8:$N$38,'2027年01月'!$A$8:$A$38,"&gt;="&amp;$AI$18+7*(4-1),'2027年01月'!$A$8:$A$38,"&lt;="&amp;$AI$18+7*(4-1)+6))/(SUMIFS($M$8:$M$38,$A$8:$A$38,"&gt;="&amp;$AI$18+7*(4-1),$A$8:$A$38,"&lt;="&amp;$AI$18+7*(4-1)+6)+SUMIFS('2027年01月'!$M$8:$M$38,'2027年01月'!$A$8:$A$38,"&gt;="&amp;$AI$18+7*(4-1),'2027年01月'!$A$8:$A$38,"&lt;="&amp;$AI$18+7*(4-1)+6)),""))</f>
        <v/>
      </c>
      <c r="AG23" s="31" t="str">
        <f>IF($AB23="","",IFERROR((SUMIFS($P$8:$P$38,$A$8:$A$38,"&gt;="&amp;$AI$18+7*(4-1),$A$8:$A$38,"&lt;="&amp;$AI$18+7*(4-1)+6)+SUMIFS('2027年01月'!$P$8:$P$38,'2027年01月'!$A$8:$A$38,"&gt;="&amp;$AI$18+7*(4-1),'2027年01月'!$A$8:$A$38,"&lt;="&amp;$AI$18+7*(4-1)+6))/(SUMIFS($O$8:$O$38,$A$8:$A$38,"&gt;="&amp;$AI$18+7*(4-1),$A$8:$A$38,"&lt;="&amp;$AI$18+7*(4-1)+6)+SUMIFS('2027年01月'!$O$8:$O$38,'2027年01月'!$A$8:$A$38,"&gt;="&amp;$AI$18+7*(4-1),'2027年01月'!$A$8:$A$38,"&lt;="&amp;$AI$18+7*(4-1)+6)),""))</f>
        <v/>
      </c>
    </row>
    <row r="24" ht="15.75" customHeight="1">
      <c r="A24" s="14">
        <v>46373.0</v>
      </c>
      <c r="B24" s="15" t="str">
        <f t="shared" si="2"/>
        <v>木</v>
      </c>
      <c r="C24" s="16"/>
      <c r="D24" s="17">
        <f t="shared" si="3"/>
        <v>0</v>
      </c>
      <c r="E24" s="16"/>
      <c r="F24" s="16"/>
      <c r="G24" s="17" t="str">
        <f t="shared" si="4"/>
        <v/>
      </c>
      <c r="H24" s="17" t="str">
        <f t="shared" si="5"/>
        <v/>
      </c>
      <c r="I24" s="18" t="str">
        <f t="shared" ref="I24:J24" si="31">IF(G24="","",IFERROR(G24/C24,""))</f>
        <v/>
      </c>
      <c r="J24" s="18" t="str">
        <f t="shared" si="31"/>
        <v/>
      </c>
      <c r="K24" s="17" t="str">
        <f t="shared" si="7"/>
        <v/>
      </c>
      <c r="L24" s="19" t="str">
        <f t="shared" si="8"/>
        <v>—</v>
      </c>
      <c r="M24" s="21"/>
      <c r="N24" s="21"/>
      <c r="O24" s="21"/>
      <c r="P24" s="21"/>
      <c r="Q24" s="21"/>
      <c r="R24" s="18" t="str">
        <f t="shared" si="9"/>
        <v/>
      </c>
      <c r="S24" s="17" t="str">
        <f t="shared" si="10"/>
        <v/>
      </c>
      <c r="T24" s="22" t="str">
        <f t="shared" si="11"/>
        <v/>
      </c>
      <c r="U24" s="18" t="str">
        <f t="shared" si="12"/>
        <v/>
      </c>
      <c r="V24" s="21"/>
      <c r="W24" s="21"/>
      <c r="X24" s="16"/>
      <c r="Y24" s="24"/>
      <c r="AA24" s="30">
        <v>5.0</v>
      </c>
      <c r="AB24" s="42" t="str">
        <f>IF($AI$18+7*(5-1)&gt;$A$38,"",TEXT($AI$18+7*(5-1),"m/d")&amp;"-"&amp;TEXT($AI$18+7*(5-1)+6,"m/d"))</f>
        <v>12/29-1/4</v>
      </c>
      <c r="AC24" s="28">
        <f>IF($AB24="","",(SUMIFS($G$8:$G$38,$A$8:$A$38,"&gt;="&amp;$AI$18+7*(5-1),$A$8:$A$38,"&lt;="&amp;$AI$18+7*(5-1)+6)+SUMIFS('2027年01月'!$G$8:$G$38,'2027年01月'!$A$8:$A$38,"&gt;="&amp;$AI$18+7*(5-1),'2027年01月'!$A$8:$A$38,"&lt;="&amp;$AI$18+7*(5-1)+6)))</f>
        <v>0</v>
      </c>
      <c r="AD24" s="31" t="str">
        <f>IF($AB24="","",IFERROR((SUMIFS($M$8:$M$38,$A$8:$A$38,"&gt;="&amp;$AI$18+7*(5-1),$A$8:$A$38,"&lt;="&amp;$AI$18+7*(5-1)+6)+SUMIFS('2027年01月'!$M$8:$M$38,'2027年01月'!$A$8:$A$38,"&gt;="&amp;$AI$18+7*(5-1),'2027年01月'!$A$8:$A$38,"&lt;="&amp;$AI$18+7*(5-1)+6))/(SUMIFS($O$8:$O$38,$A$8:$A$38,"&gt;="&amp;$AI$18+7*(5-1),$A$8:$A$38,"&lt;="&amp;$AI$18+7*(5-1)+6)+SUMIFS('2027年01月'!$O$8:$O$38,'2027年01月'!$A$8:$A$38,"&gt;="&amp;$AI$18+7*(5-1),'2027年01月'!$A$8:$A$38,"&lt;="&amp;$AI$18+7*(5-1)+6)),""))</f>
        <v/>
      </c>
      <c r="AE24" s="28" t="str">
        <f>IF($AB24="","",IFERROR((SUMIFS($G$8:$G$38,$A$8:$A$38,"&gt;="&amp;$AI$18+7*(5-1),$A$8:$A$38,"&lt;="&amp;$AI$18+7*(5-1)+6)+SUMIFS('2027年01月'!$G$8:$G$38,'2027年01月'!$A$8:$A$38,"&gt;="&amp;$AI$18+7*(5-1),'2027年01月'!$A$8:$A$38,"&lt;="&amp;$AI$18+7*(5-1)+6))/(SUMIFS($M$8:$M$38,$A$8:$A$38,"&gt;="&amp;$AI$18+7*(5-1),$A$8:$A$38,"&lt;="&amp;$AI$18+7*(5-1)+6)+SUMIFS('2027年01月'!$M$8:$M$38,'2027年01月'!$A$8:$A$38,"&gt;="&amp;$AI$18+7*(5-1),'2027年01月'!$A$8:$A$38,"&lt;="&amp;$AI$18+7*(5-1)+6)),""))</f>
        <v/>
      </c>
      <c r="AF24" s="43" t="str">
        <f>IF($AB24="","",IFERROR((SUMIFS($N$8:$N$38,$A$8:$A$38,"&gt;="&amp;$AI$18+7*(5-1),$A$8:$A$38,"&lt;="&amp;$AI$18+7*(5-1)+6)+SUMIFS('2027年01月'!$N$8:$N$38,'2027年01月'!$A$8:$A$38,"&gt;="&amp;$AI$18+7*(5-1),'2027年01月'!$A$8:$A$38,"&lt;="&amp;$AI$18+7*(5-1)+6))/(SUMIFS($M$8:$M$38,$A$8:$A$38,"&gt;="&amp;$AI$18+7*(5-1),$A$8:$A$38,"&lt;="&amp;$AI$18+7*(5-1)+6)+SUMIFS('2027年01月'!$M$8:$M$38,'2027年01月'!$A$8:$A$38,"&gt;="&amp;$AI$18+7*(5-1),'2027年01月'!$A$8:$A$38,"&lt;="&amp;$AI$18+7*(5-1)+6)),""))</f>
        <v/>
      </c>
      <c r="AG24" s="31" t="str">
        <f>IF($AB24="","",IFERROR((SUMIFS($P$8:$P$38,$A$8:$A$38,"&gt;="&amp;$AI$18+7*(5-1),$A$8:$A$38,"&lt;="&amp;$AI$18+7*(5-1)+6)+SUMIFS('2027年01月'!$P$8:$P$38,'2027年01月'!$A$8:$A$38,"&gt;="&amp;$AI$18+7*(5-1),'2027年01月'!$A$8:$A$38,"&lt;="&amp;$AI$18+7*(5-1)+6))/(SUMIFS($O$8:$O$38,$A$8:$A$38,"&gt;="&amp;$AI$18+7*(5-1),$A$8:$A$38,"&lt;="&amp;$AI$18+7*(5-1)+6)+SUMIFS('2027年01月'!$O$8:$O$38,'2027年01月'!$A$8:$A$38,"&gt;="&amp;$AI$18+7*(5-1),'2027年01月'!$A$8:$A$38,"&lt;="&amp;$AI$18+7*(5-1)+6)),""))</f>
        <v/>
      </c>
    </row>
    <row r="25" ht="15.75" customHeight="1">
      <c r="A25" s="32">
        <v>46374.0</v>
      </c>
      <c r="B25" s="23" t="str">
        <f t="shared" si="2"/>
        <v>金</v>
      </c>
      <c r="C25" s="16"/>
      <c r="D25" s="25">
        <f t="shared" si="3"/>
        <v>0</v>
      </c>
      <c r="E25" s="16"/>
      <c r="F25" s="16"/>
      <c r="G25" s="25" t="str">
        <f t="shared" si="4"/>
        <v/>
      </c>
      <c r="H25" s="25" t="str">
        <f t="shared" si="5"/>
        <v/>
      </c>
      <c r="I25" s="27" t="str">
        <f t="shared" ref="I25:J25" si="32">IF(G25="","",IFERROR(G25/C25,""))</f>
        <v/>
      </c>
      <c r="J25" s="27" t="str">
        <f t="shared" si="32"/>
        <v/>
      </c>
      <c r="K25" s="25" t="str">
        <f t="shared" si="7"/>
        <v/>
      </c>
      <c r="L25" s="33" t="str">
        <f t="shared" si="8"/>
        <v>—</v>
      </c>
      <c r="M25" s="21"/>
      <c r="N25" s="21"/>
      <c r="O25" s="21"/>
      <c r="P25" s="21"/>
      <c r="Q25" s="21"/>
      <c r="R25" s="27" t="str">
        <f t="shared" si="9"/>
        <v/>
      </c>
      <c r="S25" s="25" t="str">
        <f t="shared" si="10"/>
        <v/>
      </c>
      <c r="T25" s="34" t="str">
        <f t="shared" si="11"/>
        <v/>
      </c>
      <c r="U25" s="27" t="str">
        <f t="shared" si="12"/>
        <v/>
      </c>
      <c r="V25" s="21"/>
      <c r="W25" s="21"/>
      <c r="X25" s="16"/>
      <c r="Y25" s="24"/>
      <c r="AA25" s="30">
        <v>6.0</v>
      </c>
      <c r="AB25" s="42" t="str">
        <f>IF($AI$18+7*(6-1)&gt;$A$38,"",TEXT($AI$18+7*(6-1),"m/d")&amp;"-"&amp;TEXT($AI$18+7*(6-1)+6,"m/d"))</f>
        <v/>
      </c>
      <c r="AC25" s="28" t="str">
        <f>IF($AB25="","",(SUMIFS($G$8:$G$38,$A$8:$A$38,"&gt;="&amp;$AI$18+7*(6-1),$A$8:$A$38,"&lt;="&amp;$AI$18+7*(6-1)+6)+SUMIFS('2027年01月'!$G$8:$G$38,'2027年01月'!$A$8:$A$38,"&gt;="&amp;$AI$18+7*(6-1),'2027年01月'!$A$8:$A$38,"&lt;="&amp;$AI$18+7*(6-1)+6)))</f>
        <v/>
      </c>
      <c r="AD25" s="31" t="str">
        <f>IF($AB25="","",IFERROR((SUMIFS($M$8:$M$38,$A$8:$A$38,"&gt;="&amp;$AI$18+7*(6-1),$A$8:$A$38,"&lt;="&amp;$AI$18+7*(6-1)+6)+SUMIFS('2027年01月'!$M$8:$M$38,'2027年01月'!$A$8:$A$38,"&gt;="&amp;$AI$18+7*(6-1),'2027年01月'!$A$8:$A$38,"&lt;="&amp;$AI$18+7*(6-1)+6))/(SUMIFS($O$8:$O$38,$A$8:$A$38,"&gt;="&amp;$AI$18+7*(6-1),$A$8:$A$38,"&lt;="&amp;$AI$18+7*(6-1)+6)+SUMIFS('2027年01月'!$O$8:$O$38,'2027年01月'!$A$8:$A$38,"&gt;="&amp;$AI$18+7*(6-1),'2027年01月'!$A$8:$A$38,"&lt;="&amp;$AI$18+7*(6-1)+6)),""))</f>
        <v/>
      </c>
      <c r="AE25" s="28" t="str">
        <f>IF($AB25="","",IFERROR((SUMIFS($G$8:$G$38,$A$8:$A$38,"&gt;="&amp;$AI$18+7*(6-1),$A$8:$A$38,"&lt;="&amp;$AI$18+7*(6-1)+6)+SUMIFS('2027年01月'!$G$8:$G$38,'2027年01月'!$A$8:$A$38,"&gt;="&amp;$AI$18+7*(6-1),'2027年01月'!$A$8:$A$38,"&lt;="&amp;$AI$18+7*(6-1)+6))/(SUMIFS($M$8:$M$38,$A$8:$A$38,"&gt;="&amp;$AI$18+7*(6-1),$A$8:$A$38,"&lt;="&amp;$AI$18+7*(6-1)+6)+SUMIFS('2027年01月'!$M$8:$M$38,'2027年01月'!$A$8:$A$38,"&gt;="&amp;$AI$18+7*(6-1),'2027年01月'!$A$8:$A$38,"&lt;="&amp;$AI$18+7*(6-1)+6)),""))</f>
        <v/>
      </c>
      <c r="AF25" s="43" t="str">
        <f>IF($AB25="","",IFERROR((SUMIFS($N$8:$N$38,$A$8:$A$38,"&gt;="&amp;$AI$18+7*(6-1),$A$8:$A$38,"&lt;="&amp;$AI$18+7*(6-1)+6)+SUMIFS('2027年01月'!$N$8:$N$38,'2027年01月'!$A$8:$A$38,"&gt;="&amp;$AI$18+7*(6-1),'2027年01月'!$A$8:$A$38,"&lt;="&amp;$AI$18+7*(6-1)+6))/(SUMIFS($M$8:$M$38,$A$8:$A$38,"&gt;="&amp;$AI$18+7*(6-1),$A$8:$A$38,"&lt;="&amp;$AI$18+7*(6-1)+6)+SUMIFS('2027年01月'!$M$8:$M$38,'2027年01月'!$A$8:$A$38,"&gt;="&amp;$AI$18+7*(6-1),'2027年01月'!$A$8:$A$38,"&lt;="&amp;$AI$18+7*(6-1)+6)),""))</f>
        <v/>
      </c>
      <c r="AG25" s="31" t="str">
        <f>IF($AB25="","",IFERROR((SUMIFS($P$8:$P$38,$A$8:$A$38,"&gt;="&amp;$AI$18+7*(6-1),$A$8:$A$38,"&lt;="&amp;$AI$18+7*(6-1)+6)+SUMIFS('2027年01月'!$P$8:$P$38,'2027年01月'!$A$8:$A$38,"&gt;="&amp;$AI$18+7*(6-1),'2027年01月'!$A$8:$A$38,"&lt;="&amp;$AI$18+7*(6-1)+6))/(SUMIFS($O$8:$O$38,$A$8:$A$38,"&gt;="&amp;$AI$18+7*(6-1),$A$8:$A$38,"&lt;="&amp;$AI$18+7*(6-1)+6)+SUMIFS('2027年01月'!$O$8:$O$38,'2027年01月'!$A$8:$A$38,"&gt;="&amp;$AI$18+7*(6-1),'2027年01月'!$A$8:$A$38,"&lt;="&amp;$AI$18+7*(6-1)+6)),""))</f>
        <v/>
      </c>
    </row>
    <row r="26" ht="15.75" customHeight="1">
      <c r="A26" s="14">
        <v>46375.0</v>
      </c>
      <c r="B26" s="15" t="str">
        <f t="shared" si="2"/>
        <v>土</v>
      </c>
      <c r="C26" s="16"/>
      <c r="D26" s="17">
        <f t="shared" si="3"/>
        <v>0</v>
      </c>
      <c r="E26" s="16"/>
      <c r="F26" s="16"/>
      <c r="G26" s="17" t="str">
        <f t="shared" si="4"/>
        <v/>
      </c>
      <c r="H26" s="17" t="str">
        <f t="shared" si="5"/>
        <v/>
      </c>
      <c r="I26" s="18" t="str">
        <f t="shared" ref="I26:J26" si="33">IF(G26="","",IFERROR(G26/C26,""))</f>
        <v/>
      </c>
      <c r="J26" s="18" t="str">
        <f t="shared" si="33"/>
        <v/>
      </c>
      <c r="K26" s="17" t="str">
        <f t="shared" si="7"/>
        <v/>
      </c>
      <c r="L26" s="19" t="str">
        <f t="shared" si="8"/>
        <v>—</v>
      </c>
      <c r="M26" s="21"/>
      <c r="N26" s="21"/>
      <c r="O26" s="21"/>
      <c r="P26" s="21"/>
      <c r="Q26" s="21"/>
      <c r="R26" s="18" t="str">
        <f t="shared" si="9"/>
        <v/>
      </c>
      <c r="S26" s="17" t="str">
        <f t="shared" si="10"/>
        <v/>
      </c>
      <c r="T26" s="22" t="str">
        <f t="shared" si="11"/>
        <v/>
      </c>
      <c r="U26" s="18" t="str">
        <f t="shared" si="12"/>
        <v/>
      </c>
      <c r="V26" s="21"/>
      <c r="W26" s="21"/>
      <c r="X26" s="16"/>
      <c r="Y26" s="24"/>
      <c r="AA26" s="39" t="s">
        <v>143</v>
      </c>
    </row>
    <row r="27" ht="15.75" customHeight="1">
      <c r="A27" s="32">
        <v>46376.0</v>
      </c>
      <c r="B27" s="23" t="str">
        <f t="shared" si="2"/>
        <v>日</v>
      </c>
      <c r="C27" s="16"/>
      <c r="D27" s="25">
        <f t="shared" si="3"/>
        <v>0</v>
      </c>
      <c r="E27" s="16"/>
      <c r="F27" s="16"/>
      <c r="G27" s="25" t="str">
        <f t="shared" si="4"/>
        <v/>
      </c>
      <c r="H27" s="25" t="str">
        <f t="shared" si="5"/>
        <v/>
      </c>
      <c r="I27" s="27" t="str">
        <f t="shared" ref="I27:J27" si="34">IF(G27="","",IFERROR(G27/C27,""))</f>
        <v/>
      </c>
      <c r="J27" s="27" t="str">
        <f t="shared" si="34"/>
        <v/>
      </c>
      <c r="K27" s="25" t="str">
        <f t="shared" si="7"/>
        <v/>
      </c>
      <c r="L27" s="33" t="str">
        <f t="shared" si="8"/>
        <v>—</v>
      </c>
      <c r="M27" s="21"/>
      <c r="N27" s="21"/>
      <c r="O27" s="21"/>
      <c r="P27" s="21"/>
      <c r="Q27" s="21"/>
      <c r="R27" s="27" t="str">
        <f t="shared" si="9"/>
        <v/>
      </c>
      <c r="S27" s="25" t="str">
        <f t="shared" si="10"/>
        <v/>
      </c>
      <c r="T27" s="34" t="str">
        <f t="shared" si="11"/>
        <v/>
      </c>
      <c r="U27" s="27" t="str">
        <f t="shared" si="12"/>
        <v/>
      </c>
      <c r="V27" s="21"/>
      <c r="W27" s="21"/>
      <c r="X27" s="16"/>
      <c r="Y27" s="24"/>
      <c r="AA27" s="39" t="s">
        <v>144</v>
      </c>
    </row>
    <row r="28" ht="15.75" customHeight="1">
      <c r="A28" s="14">
        <v>46377.0</v>
      </c>
      <c r="B28" s="15" t="str">
        <f t="shared" si="2"/>
        <v>月</v>
      </c>
      <c r="C28" s="16"/>
      <c r="D28" s="17">
        <f t="shared" si="3"/>
        <v>0</v>
      </c>
      <c r="E28" s="16"/>
      <c r="F28" s="16"/>
      <c r="G28" s="17" t="str">
        <f t="shared" si="4"/>
        <v/>
      </c>
      <c r="H28" s="17" t="str">
        <f t="shared" si="5"/>
        <v/>
      </c>
      <c r="I28" s="18" t="str">
        <f t="shared" ref="I28:J28" si="35">IF(G28="","",IFERROR(G28/C28,""))</f>
        <v/>
      </c>
      <c r="J28" s="18" t="str">
        <f t="shared" si="35"/>
        <v/>
      </c>
      <c r="K28" s="17" t="str">
        <f t="shared" si="7"/>
        <v/>
      </c>
      <c r="L28" s="19" t="str">
        <f t="shared" si="8"/>
        <v>—</v>
      </c>
      <c r="M28" s="21"/>
      <c r="N28" s="21"/>
      <c r="O28" s="21"/>
      <c r="P28" s="21"/>
      <c r="Q28" s="21"/>
      <c r="R28" s="18" t="str">
        <f t="shared" si="9"/>
        <v/>
      </c>
      <c r="S28" s="17" t="str">
        <f t="shared" si="10"/>
        <v/>
      </c>
      <c r="T28" s="22" t="str">
        <f t="shared" si="11"/>
        <v/>
      </c>
      <c r="U28" s="18" t="str">
        <f t="shared" si="12"/>
        <v/>
      </c>
      <c r="V28" s="21"/>
      <c r="W28" s="21"/>
      <c r="X28" s="16"/>
      <c r="Y28" s="24"/>
      <c r="AA28" s="39" t="s">
        <v>145</v>
      </c>
    </row>
    <row r="29" ht="15.75" customHeight="1">
      <c r="A29" s="32">
        <v>46378.0</v>
      </c>
      <c r="B29" s="23" t="str">
        <f t="shared" si="2"/>
        <v>火</v>
      </c>
      <c r="C29" s="16"/>
      <c r="D29" s="25">
        <f t="shared" si="3"/>
        <v>0</v>
      </c>
      <c r="E29" s="16"/>
      <c r="F29" s="16"/>
      <c r="G29" s="25" t="str">
        <f t="shared" si="4"/>
        <v/>
      </c>
      <c r="H29" s="25" t="str">
        <f t="shared" si="5"/>
        <v/>
      </c>
      <c r="I29" s="27" t="str">
        <f t="shared" ref="I29:J29" si="36">IF(G29="","",IFERROR(G29/C29,""))</f>
        <v/>
      </c>
      <c r="J29" s="27" t="str">
        <f t="shared" si="36"/>
        <v/>
      </c>
      <c r="K29" s="25" t="str">
        <f t="shared" si="7"/>
        <v/>
      </c>
      <c r="L29" s="33" t="str">
        <f t="shared" si="8"/>
        <v>—</v>
      </c>
      <c r="M29" s="21"/>
      <c r="N29" s="21"/>
      <c r="O29" s="21"/>
      <c r="P29" s="21"/>
      <c r="Q29" s="21"/>
      <c r="R29" s="27" t="str">
        <f t="shared" si="9"/>
        <v/>
      </c>
      <c r="S29" s="25" t="str">
        <f t="shared" si="10"/>
        <v/>
      </c>
      <c r="T29" s="34" t="str">
        <f t="shared" si="11"/>
        <v/>
      </c>
      <c r="U29" s="27" t="str">
        <f t="shared" si="12"/>
        <v/>
      </c>
      <c r="V29" s="21"/>
      <c r="W29" s="21"/>
      <c r="X29" s="16"/>
      <c r="Y29" s="24"/>
    </row>
    <row r="30" ht="15.75" customHeight="1">
      <c r="A30" s="14">
        <v>46379.0</v>
      </c>
      <c r="B30" s="15" t="str">
        <f t="shared" si="2"/>
        <v>水</v>
      </c>
      <c r="C30" s="16"/>
      <c r="D30" s="17">
        <f t="shared" si="3"/>
        <v>0</v>
      </c>
      <c r="E30" s="16"/>
      <c r="F30" s="16"/>
      <c r="G30" s="17" t="str">
        <f t="shared" si="4"/>
        <v/>
      </c>
      <c r="H30" s="17" t="str">
        <f t="shared" si="5"/>
        <v/>
      </c>
      <c r="I30" s="18" t="str">
        <f t="shared" ref="I30:J30" si="37">IF(G30="","",IFERROR(G30/C30,""))</f>
        <v/>
      </c>
      <c r="J30" s="18" t="str">
        <f t="shared" si="37"/>
        <v/>
      </c>
      <c r="K30" s="17" t="str">
        <f t="shared" si="7"/>
        <v/>
      </c>
      <c r="L30" s="19" t="str">
        <f t="shared" si="8"/>
        <v>—</v>
      </c>
      <c r="M30" s="21"/>
      <c r="N30" s="21"/>
      <c r="O30" s="21"/>
      <c r="P30" s="21"/>
      <c r="Q30" s="21"/>
      <c r="R30" s="18" t="str">
        <f t="shared" si="9"/>
        <v/>
      </c>
      <c r="S30" s="17" t="str">
        <f t="shared" si="10"/>
        <v/>
      </c>
      <c r="T30" s="22" t="str">
        <f t="shared" si="11"/>
        <v/>
      </c>
      <c r="U30" s="18" t="str">
        <f t="shared" si="12"/>
        <v/>
      </c>
      <c r="V30" s="21"/>
      <c r="W30" s="21"/>
      <c r="X30" s="16"/>
      <c r="Y30" s="24"/>
    </row>
    <row r="31" ht="15.75" customHeight="1">
      <c r="A31" s="32">
        <v>46380.0</v>
      </c>
      <c r="B31" s="23" t="str">
        <f t="shared" si="2"/>
        <v>木</v>
      </c>
      <c r="C31" s="16"/>
      <c r="D31" s="25">
        <f t="shared" si="3"/>
        <v>0</v>
      </c>
      <c r="E31" s="16"/>
      <c r="F31" s="16"/>
      <c r="G31" s="25" t="str">
        <f t="shared" si="4"/>
        <v/>
      </c>
      <c r="H31" s="25" t="str">
        <f t="shared" si="5"/>
        <v/>
      </c>
      <c r="I31" s="27" t="str">
        <f t="shared" ref="I31:J31" si="38">IF(G31="","",IFERROR(G31/C31,""))</f>
        <v/>
      </c>
      <c r="J31" s="27" t="str">
        <f t="shared" si="38"/>
        <v/>
      </c>
      <c r="K31" s="25" t="str">
        <f t="shared" si="7"/>
        <v/>
      </c>
      <c r="L31" s="33" t="str">
        <f t="shared" si="8"/>
        <v>—</v>
      </c>
      <c r="M31" s="21"/>
      <c r="N31" s="21"/>
      <c r="O31" s="21"/>
      <c r="P31" s="21"/>
      <c r="Q31" s="21"/>
      <c r="R31" s="27" t="str">
        <f t="shared" si="9"/>
        <v/>
      </c>
      <c r="S31" s="25" t="str">
        <f t="shared" si="10"/>
        <v/>
      </c>
      <c r="T31" s="34" t="str">
        <f t="shared" si="11"/>
        <v/>
      </c>
      <c r="U31" s="27" t="str">
        <f t="shared" si="12"/>
        <v/>
      </c>
      <c r="V31" s="21"/>
      <c r="W31" s="21"/>
      <c r="X31" s="16"/>
      <c r="Y31" s="24"/>
    </row>
    <row r="32" ht="15.75" customHeight="1">
      <c r="A32" s="14">
        <v>46381.0</v>
      </c>
      <c r="B32" s="15" t="str">
        <f t="shared" si="2"/>
        <v>金</v>
      </c>
      <c r="C32" s="16"/>
      <c r="D32" s="17">
        <f t="shared" si="3"/>
        <v>0</v>
      </c>
      <c r="E32" s="16"/>
      <c r="F32" s="16"/>
      <c r="G32" s="17" t="str">
        <f t="shared" si="4"/>
        <v/>
      </c>
      <c r="H32" s="17" t="str">
        <f t="shared" si="5"/>
        <v/>
      </c>
      <c r="I32" s="18" t="str">
        <f t="shared" ref="I32:J32" si="39">IF(G32="","",IFERROR(G32/C32,""))</f>
        <v/>
      </c>
      <c r="J32" s="18" t="str">
        <f t="shared" si="39"/>
        <v/>
      </c>
      <c r="K32" s="17" t="str">
        <f t="shared" si="7"/>
        <v/>
      </c>
      <c r="L32" s="19" t="str">
        <f t="shared" si="8"/>
        <v>—</v>
      </c>
      <c r="M32" s="21"/>
      <c r="N32" s="21"/>
      <c r="O32" s="21"/>
      <c r="P32" s="21"/>
      <c r="Q32" s="21"/>
      <c r="R32" s="18" t="str">
        <f t="shared" si="9"/>
        <v/>
      </c>
      <c r="S32" s="17" t="str">
        <f t="shared" si="10"/>
        <v/>
      </c>
      <c r="T32" s="22" t="str">
        <f t="shared" si="11"/>
        <v/>
      </c>
      <c r="U32" s="18" t="str">
        <f t="shared" si="12"/>
        <v/>
      </c>
      <c r="V32" s="21"/>
      <c r="W32" s="21"/>
      <c r="X32" s="16"/>
      <c r="Y32" s="24"/>
    </row>
    <row r="33" ht="15.75" customHeight="1">
      <c r="A33" s="32">
        <v>46382.0</v>
      </c>
      <c r="B33" s="23" t="str">
        <f t="shared" si="2"/>
        <v>土</v>
      </c>
      <c r="C33" s="16"/>
      <c r="D33" s="25">
        <f t="shared" si="3"/>
        <v>0</v>
      </c>
      <c r="E33" s="16"/>
      <c r="F33" s="16"/>
      <c r="G33" s="25" t="str">
        <f t="shared" si="4"/>
        <v/>
      </c>
      <c r="H33" s="25" t="str">
        <f t="shared" si="5"/>
        <v/>
      </c>
      <c r="I33" s="27" t="str">
        <f t="shared" ref="I33:J33" si="40">IF(G33="","",IFERROR(G33/C33,""))</f>
        <v/>
      </c>
      <c r="J33" s="27" t="str">
        <f t="shared" si="40"/>
        <v/>
      </c>
      <c r="K33" s="25" t="str">
        <f t="shared" si="7"/>
        <v/>
      </c>
      <c r="L33" s="33" t="str">
        <f t="shared" si="8"/>
        <v>—</v>
      </c>
      <c r="M33" s="21"/>
      <c r="N33" s="21"/>
      <c r="O33" s="21"/>
      <c r="P33" s="21"/>
      <c r="Q33" s="21"/>
      <c r="R33" s="27" t="str">
        <f t="shared" si="9"/>
        <v/>
      </c>
      <c r="S33" s="25" t="str">
        <f t="shared" si="10"/>
        <v/>
      </c>
      <c r="T33" s="34" t="str">
        <f t="shared" si="11"/>
        <v/>
      </c>
      <c r="U33" s="27" t="str">
        <f t="shared" si="12"/>
        <v/>
      </c>
      <c r="V33" s="21"/>
      <c r="W33" s="21"/>
      <c r="X33" s="16"/>
      <c r="Y33" s="24"/>
    </row>
    <row r="34" ht="15.75" customHeight="1">
      <c r="A34" s="14">
        <v>46383.0</v>
      </c>
      <c r="B34" s="15" t="str">
        <f t="shared" si="2"/>
        <v>日</v>
      </c>
      <c r="C34" s="16"/>
      <c r="D34" s="17">
        <f t="shared" si="3"/>
        <v>0</v>
      </c>
      <c r="E34" s="16"/>
      <c r="F34" s="16"/>
      <c r="G34" s="17" t="str">
        <f t="shared" si="4"/>
        <v/>
      </c>
      <c r="H34" s="17" t="str">
        <f t="shared" si="5"/>
        <v/>
      </c>
      <c r="I34" s="18" t="str">
        <f t="shared" ref="I34:J34" si="41">IF(G34="","",IFERROR(G34/C34,""))</f>
        <v/>
      </c>
      <c r="J34" s="18" t="str">
        <f t="shared" si="41"/>
        <v/>
      </c>
      <c r="K34" s="17" t="str">
        <f t="shared" si="7"/>
        <v/>
      </c>
      <c r="L34" s="19" t="str">
        <f t="shared" si="8"/>
        <v>—</v>
      </c>
      <c r="M34" s="21"/>
      <c r="N34" s="21"/>
      <c r="O34" s="21"/>
      <c r="P34" s="21"/>
      <c r="Q34" s="21"/>
      <c r="R34" s="18" t="str">
        <f t="shared" si="9"/>
        <v/>
      </c>
      <c r="S34" s="17" t="str">
        <f t="shared" si="10"/>
        <v/>
      </c>
      <c r="T34" s="22" t="str">
        <f t="shared" si="11"/>
        <v/>
      </c>
      <c r="U34" s="18" t="str">
        <f t="shared" si="12"/>
        <v/>
      </c>
      <c r="V34" s="21"/>
      <c r="W34" s="21"/>
      <c r="X34" s="16"/>
      <c r="Y34" s="24"/>
    </row>
    <row r="35" ht="15.75" customHeight="1">
      <c r="A35" s="32">
        <v>46384.0</v>
      </c>
      <c r="B35" s="23" t="str">
        <f t="shared" si="2"/>
        <v>月</v>
      </c>
      <c r="C35" s="16"/>
      <c r="D35" s="25">
        <f t="shared" si="3"/>
        <v>0</v>
      </c>
      <c r="E35" s="16"/>
      <c r="F35" s="16"/>
      <c r="G35" s="25" t="str">
        <f t="shared" si="4"/>
        <v/>
      </c>
      <c r="H35" s="25" t="str">
        <f t="shared" si="5"/>
        <v/>
      </c>
      <c r="I35" s="27" t="str">
        <f t="shared" ref="I35:J35" si="42">IF(G35="","",IFERROR(G35/C35,""))</f>
        <v/>
      </c>
      <c r="J35" s="27" t="str">
        <f t="shared" si="42"/>
        <v/>
      </c>
      <c r="K35" s="25" t="str">
        <f t="shared" si="7"/>
        <v/>
      </c>
      <c r="L35" s="33" t="str">
        <f t="shared" si="8"/>
        <v>—</v>
      </c>
      <c r="M35" s="21"/>
      <c r="N35" s="21"/>
      <c r="O35" s="21"/>
      <c r="P35" s="21"/>
      <c r="Q35" s="21"/>
      <c r="R35" s="27" t="str">
        <f t="shared" si="9"/>
        <v/>
      </c>
      <c r="S35" s="25" t="str">
        <f t="shared" si="10"/>
        <v/>
      </c>
      <c r="T35" s="34" t="str">
        <f t="shared" si="11"/>
        <v/>
      </c>
      <c r="U35" s="27" t="str">
        <f t="shared" si="12"/>
        <v/>
      </c>
      <c r="V35" s="21"/>
      <c r="W35" s="21"/>
      <c r="X35" s="16"/>
      <c r="Y35" s="24"/>
    </row>
    <row r="36" ht="15.75" customHeight="1">
      <c r="A36" s="14">
        <v>46385.0</v>
      </c>
      <c r="B36" s="15" t="str">
        <f t="shared" si="2"/>
        <v>火</v>
      </c>
      <c r="C36" s="16"/>
      <c r="D36" s="17">
        <f t="shared" si="3"/>
        <v>0</v>
      </c>
      <c r="E36" s="16"/>
      <c r="F36" s="16"/>
      <c r="G36" s="17" t="str">
        <f t="shared" si="4"/>
        <v/>
      </c>
      <c r="H36" s="17" t="str">
        <f t="shared" si="5"/>
        <v/>
      </c>
      <c r="I36" s="18" t="str">
        <f t="shared" ref="I36:J36" si="43">IF(G36="","",IFERROR(G36/C36,""))</f>
        <v/>
      </c>
      <c r="J36" s="18" t="str">
        <f t="shared" si="43"/>
        <v/>
      </c>
      <c r="K36" s="17" t="str">
        <f t="shared" si="7"/>
        <v/>
      </c>
      <c r="L36" s="19" t="str">
        <f t="shared" si="8"/>
        <v>—</v>
      </c>
      <c r="M36" s="21"/>
      <c r="N36" s="21"/>
      <c r="O36" s="21"/>
      <c r="P36" s="21"/>
      <c r="Q36" s="21"/>
      <c r="R36" s="18" t="str">
        <f t="shared" si="9"/>
        <v/>
      </c>
      <c r="S36" s="17" t="str">
        <f t="shared" si="10"/>
        <v/>
      </c>
      <c r="T36" s="22" t="str">
        <f t="shared" si="11"/>
        <v/>
      </c>
      <c r="U36" s="18" t="str">
        <f t="shared" si="12"/>
        <v/>
      </c>
      <c r="V36" s="21"/>
      <c r="W36" s="21"/>
      <c r="X36" s="16"/>
      <c r="Y36" s="24"/>
    </row>
    <row r="37" ht="15.75" customHeight="1">
      <c r="A37" s="32">
        <v>46386.0</v>
      </c>
      <c r="B37" s="23" t="str">
        <f t="shared" si="2"/>
        <v>水</v>
      </c>
      <c r="C37" s="16"/>
      <c r="D37" s="25">
        <f t="shared" si="3"/>
        <v>0</v>
      </c>
      <c r="E37" s="16"/>
      <c r="F37" s="16"/>
      <c r="G37" s="25" t="str">
        <f t="shared" si="4"/>
        <v/>
      </c>
      <c r="H37" s="25" t="str">
        <f t="shared" si="5"/>
        <v/>
      </c>
      <c r="I37" s="27" t="str">
        <f t="shared" ref="I37:J37" si="44">IF(G37="","",IFERROR(G37/C37,""))</f>
        <v/>
      </c>
      <c r="J37" s="27" t="str">
        <f t="shared" si="44"/>
        <v/>
      </c>
      <c r="K37" s="25" t="str">
        <f t="shared" si="7"/>
        <v/>
      </c>
      <c r="L37" s="33" t="str">
        <f t="shared" si="8"/>
        <v>—</v>
      </c>
      <c r="M37" s="21"/>
      <c r="N37" s="21"/>
      <c r="O37" s="21"/>
      <c r="P37" s="21"/>
      <c r="Q37" s="21"/>
      <c r="R37" s="27" t="str">
        <f t="shared" si="9"/>
        <v/>
      </c>
      <c r="S37" s="25" t="str">
        <f t="shared" si="10"/>
        <v/>
      </c>
      <c r="T37" s="34" t="str">
        <f t="shared" si="11"/>
        <v/>
      </c>
      <c r="U37" s="27" t="str">
        <f t="shared" si="12"/>
        <v/>
      </c>
      <c r="V37" s="21"/>
      <c r="W37" s="21"/>
      <c r="X37" s="16"/>
      <c r="Y37" s="24"/>
    </row>
    <row r="38" ht="15.75" customHeight="1">
      <c r="A38" s="14">
        <v>46387.0</v>
      </c>
      <c r="B38" s="15" t="str">
        <f t="shared" si="2"/>
        <v>木</v>
      </c>
      <c r="C38" s="16"/>
      <c r="D38" s="17">
        <f t="shared" si="3"/>
        <v>0</v>
      </c>
      <c r="E38" s="16"/>
      <c r="F38" s="16"/>
      <c r="G38" s="17" t="str">
        <f t="shared" si="4"/>
        <v/>
      </c>
      <c r="H38" s="17" t="str">
        <f t="shared" si="5"/>
        <v/>
      </c>
      <c r="I38" s="18" t="str">
        <f t="shared" ref="I38:J38" si="45">IF(G38="","",IFERROR(G38/C38,""))</f>
        <v/>
      </c>
      <c r="J38" s="18" t="str">
        <f t="shared" si="45"/>
        <v/>
      </c>
      <c r="K38" s="17" t="str">
        <f t="shared" si="7"/>
        <v/>
      </c>
      <c r="L38" s="19" t="str">
        <f t="shared" si="8"/>
        <v>—</v>
      </c>
      <c r="M38" s="21"/>
      <c r="N38" s="21"/>
      <c r="O38" s="21"/>
      <c r="P38" s="21"/>
      <c r="Q38" s="21"/>
      <c r="R38" s="18" t="str">
        <f t="shared" si="9"/>
        <v/>
      </c>
      <c r="S38" s="17" t="str">
        <f t="shared" si="10"/>
        <v/>
      </c>
      <c r="T38" s="22" t="str">
        <f t="shared" si="11"/>
        <v/>
      </c>
      <c r="U38" s="18" t="str">
        <f t="shared" si="12"/>
        <v/>
      </c>
      <c r="V38" s="21"/>
      <c r="W38" s="21"/>
      <c r="X38" s="16"/>
      <c r="Y38" s="24"/>
    </row>
    <row r="39" ht="15.75" customHeight="1">
      <c r="A39" s="45" t="s">
        <v>97</v>
      </c>
      <c r="B39" s="35"/>
      <c r="C39" s="36">
        <f>SUM(C8:C38)</f>
        <v>0</v>
      </c>
      <c r="D39" s="36">
        <f>C39</f>
        <v>0</v>
      </c>
      <c r="E39" s="36">
        <f t="shared" ref="E39:G39" si="46">SUM(E8:E38)</f>
        <v>0</v>
      </c>
      <c r="F39" s="36">
        <f t="shared" si="46"/>
        <v>0</v>
      </c>
      <c r="G39" s="36">
        <f t="shared" si="46"/>
        <v>0</v>
      </c>
      <c r="H39" s="36">
        <f>G39</f>
        <v>0</v>
      </c>
      <c r="I39" s="37" t="str">
        <f>IFERROR(G39/C39,"")</f>
        <v/>
      </c>
      <c r="J39" s="37" t="str">
        <f>IFERROR(G39/C39,"")</f>
        <v/>
      </c>
      <c r="K39" s="36">
        <f>G39-C39</f>
        <v>0</v>
      </c>
      <c r="L39" s="46"/>
      <c r="M39" s="38">
        <f t="shared" ref="M39:Q39" si="47">SUM(M8:M38)</f>
        <v>0</v>
      </c>
      <c r="N39" s="38">
        <f t="shared" si="47"/>
        <v>0</v>
      </c>
      <c r="O39" s="38">
        <f t="shared" si="47"/>
        <v>0</v>
      </c>
      <c r="P39" s="38">
        <f t="shared" si="47"/>
        <v>0</v>
      </c>
      <c r="Q39" s="38">
        <f t="shared" si="47"/>
        <v>0</v>
      </c>
      <c r="R39" s="37" t="str">
        <f t="shared" si="9"/>
        <v/>
      </c>
      <c r="S39" s="36" t="str">
        <f t="shared" si="10"/>
        <v/>
      </c>
      <c r="T39" s="47" t="str">
        <f t="shared" si="11"/>
        <v/>
      </c>
      <c r="U39" s="37" t="str">
        <f t="shared" si="12"/>
        <v/>
      </c>
      <c r="V39" s="38">
        <f>SUM(V8:V38)</f>
        <v>0</v>
      </c>
      <c r="W39" s="38" t="str">
        <f>IFERROR(LOOKUP(9.99E+307,W8:W38),"")</f>
        <v/>
      </c>
      <c r="X39" s="36">
        <f>SUM(X8:X38)</f>
        <v>0</v>
      </c>
      <c r="Y39" s="48" t="s">
        <v>107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135</v>
      </c>
      <c r="H3" s="6"/>
      <c r="I3" s="5" t="s">
        <v>8</v>
      </c>
      <c r="J3" s="6"/>
      <c r="K3" s="5" t="s">
        <v>9</v>
      </c>
      <c r="L3" s="6"/>
    </row>
    <row r="4">
      <c r="A4" s="7">
        <f>IF('設定'!$B$17="",SUM(C8:C38),'設定'!$B$17)</f>
        <v>25000000</v>
      </c>
      <c r="B4" s="6"/>
      <c r="C4" s="8">
        <f>SUM(G8:G38)</f>
        <v>0</v>
      </c>
      <c r="D4" s="6"/>
      <c r="E4" s="9">
        <f>IFERROR(C4/A4,0)</f>
        <v>0</v>
      </c>
      <c r="F4" s="6"/>
      <c r="G4" s="10">
        <f>COUNTIF(G8:G38,"&gt;0")</f>
        <v>0</v>
      </c>
      <c r="H4" s="6"/>
      <c r="I4" s="8">
        <f>A4-C4</f>
        <v>25000000</v>
      </c>
      <c r="J4" s="6"/>
      <c r="K4" s="8">
        <f>IF((31-G4)&gt;0,(A4-C4)/(31-G4),0)</f>
        <v>806451.6129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SUM(C8:C38)</f>
        <v>0</v>
      </c>
      <c r="B6" s="6"/>
      <c r="C6" s="8">
        <f>IFERROR(C4/G4*31,0)</f>
        <v>0</v>
      </c>
      <c r="D6" s="6"/>
      <c r="E6" s="9">
        <f>IFERROR(M39/O39,0)</f>
        <v>0</v>
      </c>
      <c r="F6" s="6"/>
      <c r="G6" s="8">
        <f>IFERROR(G39/M39,0)</f>
        <v>0</v>
      </c>
      <c r="H6" s="6"/>
      <c r="I6" s="11">
        <f>IFERROR(N39/M39,0)</f>
        <v>0</v>
      </c>
      <c r="J6" s="6"/>
      <c r="K6" s="9">
        <f>IFERROR(P39/O39,0)</f>
        <v>0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46388.0</v>
      </c>
      <c r="B8" s="15" t="str">
        <f t="shared" ref="B8:B38" si="2">MID("日月火水木金土",WEEKDAY(A8),1)</f>
        <v>金</v>
      </c>
      <c r="C8" s="16"/>
      <c r="D8" s="17">
        <f t="shared" ref="D8:D38" si="3">SUM($C$8:C8)</f>
        <v>0</v>
      </c>
      <c r="E8" s="16"/>
      <c r="F8" s="16"/>
      <c r="G8" s="17" t="str">
        <f t="shared" ref="G8:G38" si="4">IF(COUNT(E8:F8)=0,"",SUM(E8:F8))</f>
        <v/>
      </c>
      <c r="H8" s="17" t="str">
        <f t="shared" ref="H8:H38" si="5">IF(G8="","",SUM($G$8:G8))</f>
        <v/>
      </c>
      <c r="I8" s="18" t="str">
        <f t="shared" ref="I8:J8" si="1">IF(G8="","",IFERROR(G8/C8,""))</f>
        <v/>
      </c>
      <c r="J8" s="18" t="str">
        <f t="shared" si="1"/>
        <v/>
      </c>
      <c r="K8" s="17" t="str">
        <f t="shared" ref="K8:K38" si="7">IF(H8="","",IF(D8=0,"",H8-D8))</f>
        <v/>
      </c>
      <c r="L8" s="19" t="str">
        <f t="shared" ref="L8:L38" si="8">IF(G8="","—",IF(D8=0,"予算未入力",IF(H8&gt;=D8,"◎ ペース内","▲ 遅れ")))</f>
        <v>—</v>
      </c>
      <c r="M8" s="21"/>
      <c r="N8" s="21"/>
      <c r="O8" s="21"/>
      <c r="P8" s="21"/>
      <c r="Q8" s="21"/>
      <c r="R8" s="18" t="str">
        <f t="shared" ref="R8:R39" si="9">IFERROR(M8/O8,"")</f>
        <v/>
      </c>
      <c r="S8" s="17" t="str">
        <f t="shared" ref="S8:S39" si="10">IFERROR(G8/M8,"")</f>
        <v/>
      </c>
      <c r="T8" s="22" t="str">
        <f t="shared" ref="T8:T39" si="11">IFERROR(N8/M8,"")</f>
        <v/>
      </c>
      <c r="U8" s="18" t="str">
        <f t="shared" ref="U8:U39" si="12">IFERROR(P8/O8,"")</f>
        <v/>
      </c>
      <c r="V8" s="21"/>
      <c r="W8" s="21"/>
      <c r="X8" s="16"/>
      <c r="Y8" s="24"/>
      <c r="AA8" s="26" t="s">
        <v>48</v>
      </c>
      <c r="AB8" s="28">
        <f t="shared" ref="AB8:AB14" si="13">IFERROR(AVERAGEIFS($G$8:$G$38,$B$8:$B$38,AA8,$G$8:$G$38,"&gt;0"),0)</f>
        <v>0</v>
      </c>
      <c r="AC8" s="30">
        <f t="shared" ref="AC8:AC14" si="14">COUNTIFS($B$8:$B$38,AA8,$G$8:$G$38,"&gt;0")</f>
        <v>0</v>
      </c>
      <c r="AD8" s="31">
        <f t="shared" ref="AD8:AD14" si="15">IFERROR(SUMIF($B$8:$B$38,AA8,$M$8:$M$38)/SUMIF($B$8:$B$38,AA8,$O$8:$O$38),0)</f>
        <v>0</v>
      </c>
      <c r="AE8" s="28">
        <f t="shared" ref="AE8:AE14" si="16">IFERROR(SUMIF($B$8:$B$38,AA8,$G$8:$G$38)/SUMIF($B$8:$B$38,AA8,$M$8:$M$38),0)</f>
        <v>0</v>
      </c>
    </row>
    <row r="9">
      <c r="A9" s="32">
        <v>46389.0</v>
      </c>
      <c r="B9" s="23" t="str">
        <f t="shared" si="2"/>
        <v>土</v>
      </c>
      <c r="C9" s="16"/>
      <c r="D9" s="25">
        <f t="shared" si="3"/>
        <v>0</v>
      </c>
      <c r="E9" s="16"/>
      <c r="F9" s="16"/>
      <c r="G9" s="25" t="str">
        <f t="shared" si="4"/>
        <v/>
      </c>
      <c r="H9" s="25" t="str">
        <f t="shared" si="5"/>
        <v/>
      </c>
      <c r="I9" s="27" t="str">
        <f t="shared" ref="I9:J9" si="6">IF(G9="","",IFERROR(G9/C9,""))</f>
        <v/>
      </c>
      <c r="J9" s="27" t="str">
        <f t="shared" si="6"/>
        <v/>
      </c>
      <c r="K9" s="25" t="str">
        <f t="shared" si="7"/>
        <v/>
      </c>
      <c r="L9" s="33" t="str">
        <f t="shared" si="8"/>
        <v>—</v>
      </c>
      <c r="M9" s="21"/>
      <c r="N9" s="21"/>
      <c r="O9" s="21"/>
      <c r="P9" s="21"/>
      <c r="Q9" s="21"/>
      <c r="R9" s="27" t="str">
        <f t="shared" si="9"/>
        <v/>
      </c>
      <c r="S9" s="25" t="str">
        <f t="shared" si="10"/>
        <v/>
      </c>
      <c r="T9" s="34" t="str">
        <f t="shared" si="11"/>
        <v/>
      </c>
      <c r="U9" s="27" t="str">
        <f t="shared" si="12"/>
        <v/>
      </c>
      <c r="V9" s="21"/>
      <c r="W9" s="21"/>
      <c r="X9" s="16"/>
      <c r="Y9" s="24"/>
      <c r="AA9" s="26" t="s">
        <v>58</v>
      </c>
      <c r="AB9" s="28">
        <f t="shared" si="13"/>
        <v>0</v>
      </c>
      <c r="AC9" s="30">
        <f t="shared" si="14"/>
        <v>0</v>
      </c>
      <c r="AD9" s="31">
        <f t="shared" si="15"/>
        <v>0</v>
      </c>
      <c r="AE9" s="28">
        <f t="shared" si="16"/>
        <v>0</v>
      </c>
    </row>
    <row r="10">
      <c r="A10" s="14">
        <v>46390.0</v>
      </c>
      <c r="B10" s="15" t="str">
        <f t="shared" si="2"/>
        <v>日</v>
      </c>
      <c r="C10" s="16"/>
      <c r="D10" s="17">
        <f t="shared" si="3"/>
        <v>0</v>
      </c>
      <c r="E10" s="16"/>
      <c r="F10" s="16"/>
      <c r="G10" s="17" t="str">
        <f t="shared" si="4"/>
        <v/>
      </c>
      <c r="H10" s="17" t="str">
        <f t="shared" si="5"/>
        <v/>
      </c>
      <c r="I10" s="18" t="str">
        <f t="shared" ref="I10:J10" si="17">IF(G10="","",IFERROR(G10/C10,""))</f>
        <v/>
      </c>
      <c r="J10" s="18" t="str">
        <f t="shared" si="17"/>
        <v/>
      </c>
      <c r="K10" s="17" t="str">
        <f t="shared" si="7"/>
        <v/>
      </c>
      <c r="L10" s="19" t="str">
        <f t="shared" si="8"/>
        <v>—</v>
      </c>
      <c r="M10" s="21"/>
      <c r="N10" s="21"/>
      <c r="O10" s="21"/>
      <c r="P10" s="21"/>
      <c r="Q10" s="21"/>
      <c r="R10" s="18" t="str">
        <f t="shared" si="9"/>
        <v/>
      </c>
      <c r="S10" s="17" t="str">
        <f t="shared" si="10"/>
        <v/>
      </c>
      <c r="T10" s="22" t="str">
        <f t="shared" si="11"/>
        <v/>
      </c>
      <c r="U10" s="18" t="str">
        <f t="shared" si="12"/>
        <v/>
      </c>
      <c r="V10" s="21"/>
      <c r="W10" s="21"/>
      <c r="X10" s="16"/>
      <c r="Y10" s="24"/>
      <c r="AA10" s="26" t="s">
        <v>61</v>
      </c>
      <c r="AB10" s="28">
        <f t="shared" si="13"/>
        <v>0</v>
      </c>
      <c r="AC10" s="30">
        <f t="shared" si="14"/>
        <v>0</v>
      </c>
      <c r="AD10" s="31">
        <f t="shared" si="15"/>
        <v>0</v>
      </c>
      <c r="AE10" s="28">
        <f t="shared" si="16"/>
        <v>0</v>
      </c>
    </row>
    <row r="11">
      <c r="A11" s="32">
        <v>46391.0</v>
      </c>
      <c r="B11" s="23" t="str">
        <f t="shared" si="2"/>
        <v>月</v>
      </c>
      <c r="C11" s="16"/>
      <c r="D11" s="25">
        <f t="shared" si="3"/>
        <v>0</v>
      </c>
      <c r="E11" s="16"/>
      <c r="F11" s="16"/>
      <c r="G11" s="25" t="str">
        <f t="shared" si="4"/>
        <v/>
      </c>
      <c r="H11" s="25" t="str">
        <f t="shared" si="5"/>
        <v/>
      </c>
      <c r="I11" s="27" t="str">
        <f t="shared" ref="I11:J11" si="18">IF(G11="","",IFERROR(G11/C11,""))</f>
        <v/>
      </c>
      <c r="J11" s="27" t="str">
        <f t="shared" si="18"/>
        <v/>
      </c>
      <c r="K11" s="25" t="str">
        <f t="shared" si="7"/>
        <v/>
      </c>
      <c r="L11" s="33" t="str">
        <f t="shared" si="8"/>
        <v>—</v>
      </c>
      <c r="M11" s="21"/>
      <c r="N11" s="21"/>
      <c r="O11" s="21"/>
      <c r="P11" s="21"/>
      <c r="Q11" s="21"/>
      <c r="R11" s="27" t="str">
        <f t="shared" si="9"/>
        <v/>
      </c>
      <c r="S11" s="25" t="str">
        <f t="shared" si="10"/>
        <v/>
      </c>
      <c r="T11" s="34" t="str">
        <f t="shared" si="11"/>
        <v/>
      </c>
      <c r="U11" s="27" t="str">
        <f t="shared" si="12"/>
        <v/>
      </c>
      <c r="V11" s="21"/>
      <c r="W11" s="21"/>
      <c r="X11" s="16"/>
      <c r="Y11" s="24"/>
      <c r="AA11" s="26" t="s">
        <v>64</v>
      </c>
      <c r="AB11" s="28">
        <f t="shared" si="13"/>
        <v>0</v>
      </c>
      <c r="AC11" s="30">
        <f t="shared" si="14"/>
        <v>0</v>
      </c>
      <c r="AD11" s="31">
        <f t="shared" si="15"/>
        <v>0</v>
      </c>
      <c r="AE11" s="28">
        <f t="shared" si="16"/>
        <v>0</v>
      </c>
    </row>
    <row r="12">
      <c r="A12" s="14">
        <v>46392.0</v>
      </c>
      <c r="B12" s="15" t="str">
        <f t="shared" si="2"/>
        <v>火</v>
      </c>
      <c r="C12" s="16"/>
      <c r="D12" s="17">
        <f t="shared" si="3"/>
        <v>0</v>
      </c>
      <c r="E12" s="16"/>
      <c r="F12" s="16"/>
      <c r="G12" s="17" t="str">
        <f t="shared" si="4"/>
        <v/>
      </c>
      <c r="H12" s="17" t="str">
        <f t="shared" si="5"/>
        <v/>
      </c>
      <c r="I12" s="18" t="str">
        <f t="shared" ref="I12:J12" si="19">IF(G12="","",IFERROR(G12/C12,""))</f>
        <v/>
      </c>
      <c r="J12" s="18" t="str">
        <f t="shared" si="19"/>
        <v/>
      </c>
      <c r="K12" s="17" t="str">
        <f t="shared" si="7"/>
        <v/>
      </c>
      <c r="L12" s="19" t="str">
        <f t="shared" si="8"/>
        <v>—</v>
      </c>
      <c r="M12" s="21"/>
      <c r="N12" s="21"/>
      <c r="O12" s="21"/>
      <c r="P12" s="21"/>
      <c r="Q12" s="21"/>
      <c r="R12" s="18" t="str">
        <f t="shared" si="9"/>
        <v/>
      </c>
      <c r="S12" s="17" t="str">
        <f t="shared" si="10"/>
        <v/>
      </c>
      <c r="T12" s="22" t="str">
        <f t="shared" si="11"/>
        <v/>
      </c>
      <c r="U12" s="18" t="str">
        <f t="shared" si="12"/>
        <v/>
      </c>
      <c r="V12" s="21"/>
      <c r="W12" s="21"/>
      <c r="X12" s="16"/>
      <c r="Y12" s="24"/>
      <c r="AA12" s="26" t="s">
        <v>67</v>
      </c>
      <c r="AB12" s="28">
        <f t="shared" si="13"/>
        <v>0</v>
      </c>
      <c r="AC12" s="30">
        <f t="shared" si="14"/>
        <v>0</v>
      </c>
      <c r="AD12" s="31">
        <f t="shared" si="15"/>
        <v>0</v>
      </c>
      <c r="AE12" s="28">
        <f t="shared" si="16"/>
        <v>0</v>
      </c>
    </row>
    <row r="13">
      <c r="A13" s="32">
        <v>46393.0</v>
      </c>
      <c r="B13" s="23" t="str">
        <f t="shared" si="2"/>
        <v>水</v>
      </c>
      <c r="C13" s="16"/>
      <c r="D13" s="25">
        <f t="shared" si="3"/>
        <v>0</v>
      </c>
      <c r="E13" s="16"/>
      <c r="F13" s="16"/>
      <c r="G13" s="25" t="str">
        <f t="shared" si="4"/>
        <v/>
      </c>
      <c r="H13" s="25" t="str">
        <f t="shared" si="5"/>
        <v/>
      </c>
      <c r="I13" s="27" t="str">
        <f t="shared" ref="I13:J13" si="20">IF(G13="","",IFERROR(G13/C13,""))</f>
        <v/>
      </c>
      <c r="J13" s="27" t="str">
        <f t="shared" si="20"/>
        <v/>
      </c>
      <c r="K13" s="25" t="str">
        <f t="shared" si="7"/>
        <v/>
      </c>
      <c r="L13" s="33" t="str">
        <f t="shared" si="8"/>
        <v>—</v>
      </c>
      <c r="M13" s="21"/>
      <c r="N13" s="21"/>
      <c r="O13" s="21"/>
      <c r="P13" s="21"/>
      <c r="Q13" s="21"/>
      <c r="R13" s="27" t="str">
        <f t="shared" si="9"/>
        <v/>
      </c>
      <c r="S13" s="25" t="str">
        <f t="shared" si="10"/>
        <v/>
      </c>
      <c r="T13" s="34" t="str">
        <f t="shared" si="11"/>
        <v/>
      </c>
      <c r="U13" s="27" t="str">
        <f t="shared" si="12"/>
        <v/>
      </c>
      <c r="V13" s="21"/>
      <c r="W13" s="21"/>
      <c r="X13" s="16"/>
      <c r="Y13" s="24"/>
      <c r="AA13" s="26" t="s">
        <v>69</v>
      </c>
      <c r="AB13" s="28">
        <f t="shared" si="13"/>
        <v>0</v>
      </c>
      <c r="AC13" s="30">
        <f t="shared" si="14"/>
        <v>0</v>
      </c>
      <c r="AD13" s="31">
        <f t="shared" si="15"/>
        <v>0</v>
      </c>
      <c r="AE13" s="28">
        <f t="shared" si="16"/>
        <v>0</v>
      </c>
    </row>
    <row r="14">
      <c r="A14" s="14">
        <v>46394.0</v>
      </c>
      <c r="B14" s="15" t="str">
        <f t="shared" si="2"/>
        <v>木</v>
      </c>
      <c r="C14" s="16"/>
      <c r="D14" s="17">
        <f t="shared" si="3"/>
        <v>0</v>
      </c>
      <c r="E14" s="16"/>
      <c r="F14" s="16"/>
      <c r="G14" s="17" t="str">
        <f t="shared" si="4"/>
        <v/>
      </c>
      <c r="H14" s="17" t="str">
        <f t="shared" si="5"/>
        <v/>
      </c>
      <c r="I14" s="18" t="str">
        <f t="shared" ref="I14:J14" si="21">IF(G14="","",IFERROR(G14/C14,""))</f>
        <v/>
      </c>
      <c r="J14" s="18" t="str">
        <f t="shared" si="21"/>
        <v/>
      </c>
      <c r="K14" s="17" t="str">
        <f t="shared" si="7"/>
        <v/>
      </c>
      <c r="L14" s="19" t="str">
        <f t="shared" si="8"/>
        <v>—</v>
      </c>
      <c r="M14" s="21"/>
      <c r="N14" s="21"/>
      <c r="O14" s="21"/>
      <c r="P14" s="21"/>
      <c r="Q14" s="21"/>
      <c r="R14" s="18" t="str">
        <f t="shared" si="9"/>
        <v/>
      </c>
      <c r="S14" s="17" t="str">
        <f t="shared" si="10"/>
        <v/>
      </c>
      <c r="T14" s="22" t="str">
        <f t="shared" si="11"/>
        <v/>
      </c>
      <c r="U14" s="18" t="str">
        <f t="shared" si="12"/>
        <v/>
      </c>
      <c r="V14" s="21"/>
      <c r="W14" s="21"/>
      <c r="X14" s="16"/>
      <c r="Y14" s="24"/>
      <c r="AA14" s="26" t="s">
        <v>71</v>
      </c>
      <c r="AB14" s="28">
        <f t="shared" si="13"/>
        <v>0</v>
      </c>
      <c r="AC14" s="30">
        <f t="shared" si="14"/>
        <v>0</v>
      </c>
      <c r="AD14" s="31">
        <f t="shared" si="15"/>
        <v>0</v>
      </c>
      <c r="AE14" s="28">
        <f t="shared" si="16"/>
        <v>0</v>
      </c>
    </row>
    <row r="15">
      <c r="A15" s="32">
        <v>46395.0</v>
      </c>
      <c r="B15" s="23" t="str">
        <f t="shared" si="2"/>
        <v>金</v>
      </c>
      <c r="C15" s="16"/>
      <c r="D15" s="25">
        <f t="shared" si="3"/>
        <v>0</v>
      </c>
      <c r="E15" s="16"/>
      <c r="F15" s="16"/>
      <c r="G15" s="25" t="str">
        <f t="shared" si="4"/>
        <v/>
      </c>
      <c r="H15" s="25" t="str">
        <f t="shared" si="5"/>
        <v/>
      </c>
      <c r="I15" s="27" t="str">
        <f t="shared" ref="I15:J15" si="22">IF(G15="","",IFERROR(G15/C15,""))</f>
        <v/>
      </c>
      <c r="J15" s="27" t="str">
        <f t="shared" si="22"/>
        <v/>
      </c>
      <c r="K15" s="25" t="str">
        <f t="shared" si="7"/>
        <v/>
      </c>
      <c r="L15" s="33" t="str">
        <f t="shared" si="8"/>
        <v>—</v>
      </c>
      <c r="M15" s="21"/>
      <c r="N15" s="21"/>
      <c r="O15" s="21"/>
      <c r="P15" s="21"/>
      <c r="Q15" s="21"/>
      <c r="R15" s="27" t="str">
        <f t="shared" si="9"/>
        <v/>
      </c>
      <c r="S15" s="25" t="str">
        <f t="shared" si="10"/>
        <v/>
      </c>
      <c r="T15" s="34" t="str">
        <f t="shared" si="11"/>
        <v/>
      </c>
      <c r="U15" s="27" t="str">
        <f t="shared" si="12"/>
        <v/>
      </c>
      <c r="V15" s="21"/>
      <c r="W15" s="21"/>
      <c r="X15" s="16"/>
      <c r="Y15" s="24"/>
    </row>
    <row r="16">
      <c r="A16" s="14">
        <v>46396.0</v>
      </c>
      <c r="B16" s="15" t="str">
        <f t="shared" si="2"/>
        <v>土</v>
      </c>
      <c r="C16" s="16"/>
      <c r="D16" s="17">
        <f t="shared" si="3"/>
        <v>0</v>
      </c>
      <c r="E16" s="16"/>
      <c r="F16" s="16"/>
      <c r="G16" s="17" t="str">
        <f t="shared" si="4"/>
        <v/>
      </c>
      <c r="H16" s="17" t="str">
        <f t="shared" si="5"/>
        <v/>
      </c>
      <c r="I16" s="18" t="str">
        <f t="shared" ref="I16:J16" si="23">IF(G16="","",IFERROR(G16/C16,""))</f>
        <v/>
      </c>
      <c r="J16" s="18" t="str">
        <f t="shared" si="23"/>
        <v/>
      </c>
      <c r="K16" s="17" t="str">
        <f t="shared" si="7"/>
        <v/>
      </c>
      <c r="L16" s="19" t="str">
        <f t="shared" si="8"/>
        <v>—</v>
      </c>
      <c r="M16" s="21"/>
      <c r="N16" s="21"/>
      <c r="O16" s="21"/>
      <c r="P16" s="21"/>
      <c r="Q16" s="21"/>
      <c r="R16" s="18" t="str">
        <f t="shared" si="9"/>
        <v/>
      </c>
      <c r="S16" s="17" t="str">
        <f t="shared" si="10"/>
        <v/>
      </c>
      <c r="T16" s="22" t="str">
        <f t="shared" si="11"/>
        <v/>
      </c>
      <c r="U16" s="18" t="str">
        <f t="shared" si="12"/>
        <v/>
      </c>
      <c r="V16" s="21"/>
      <c r="W16" s="21"/>
      <c r="X16" s="16"/>
      <c r="Y16" s="24"/>
      <c r="AA16" s="39" t="s">
        <v>75</v>
      </c>
    </row>
    <row r="17">
      <c r="A17" s="32">
        <v>46397.0</v>
      </c>
      <c r="B17" s="23" t="str">
        <f t="shared" si="2"/>
        <v>日</v>
      </c>
      <c r="C17" s="16"/>
      <c r="D17" s="25">
        <f t="shared" si="3"/>
        <v>0</v>
      </c>
      <c r="E17" s="16"/>
      <c r="F17" s="16"/>
      <c r="G17" s="25" t="str">
        <f t="shared" si="4"/>
        <v/>
      </c>
      <c r="H17" s="25" t="str">
        <f t="shared" si="5"/>
        <v/>
      </c>
      <c r="I17" s="27" t="str">
        <f t="shared" ref="I17:J17" si="24">IF(G17="","",IFERROR(G17/C17,""))</f>
        <v/>
      </c>
      <c r="J17" s="27" t="str">
        <f t="shared" si="24"/>
        <v/>
      </c>
      <c r="K17" s="25" t="str">
        <f t="shared" si="7"/>
        <v/>
      </c>
      <c r="L17" s="33" t="str">
        <f t="shared" si="8"/>
        <v>—</v>
      </c>
      <c r="M17" s="21"/>
      <c r="N17" s="21"/>
      <c r="O17" s="21"/>
      <c r="P17" s="21"/>
      <c r="Q17" s="21"/>
      <c r="R17" s="27" t="str">
        <f t="shared" si="9"/>
        <v/>
      </c>
      <c r="S17" s="25" t="str">
        <f t="shared" si="10"/>
        <v/>
      </c>
      <c r="T17" s="34" t="str">
        <f t="shared" si="11"/>
        <v/>
      </c>
      <c r="U17" s="27" t="str">
        <f t="shared" si="12"/>
        <v/>
      </c>
      <c r="V17" s="21"/>
      <c r="W17" s="21"/>
      <c r="X17" s="16"/>
      <c r="Y17" s="24"/>
    </row>
    <row r="18">
      <c r="A18" s="14">
        <v>46398.0</v>
      </c>
      <c r="B18" s="15" t="str">
        <f t="shared" si="2"/>
        <v>月</v>
      </c>
      <c r="C18" s="16"/>
      <c r="D18" s="17">
        <f t="shared" si="3"/>
        <v>0</v>
      </c>
      <c r="E18" s="16"/>
      <c r="F18" s="16"/>
      <c r="G18" s="17" t="str">
        <f t="shared" si="4"/>
        <v/>
      </c>
      <c r="H18" s="17" t="str">
        <f t="shared" si="5"/>
        <v/>
      </c>
      <c r="I18" s="18" t="str">
        <f t="shared" ref="I18:J18" si="25">IF(G18="","",IFERROR(G18/C18,""))</f>
        <v/>
      </c>
      <c r="J18" s="18" t="str">
        <f t="shared" si="25"/>
        <v/>
      </c>
      <c r="K18" s="17" t="str">
        <f t="shared" si="7"/>
        <v/>
      </c>
      <c r="L18" s="19" t="str">
        <f t="shared" si="8"/>
        <v>—</v>
      </c>
      <c r="M18" s="21"/>
      <c r="N18" s="21"/>
      <c r="O18" s="21"/>
      <c r="P18" s="21"/>
      <c r="Q18" s="21"/>
      <c r="R18" s="18" t="str">
        <f t="shared" si="9"/>
        <v/>
      </c>
      <c r="S18" s="17" t="str">
        <f t="shared" si="10"/>
        <v/>
      </c>
      <c r="T18" s="22" t="str">
        <f t="shared" si="11"/>
        <v/>
      </c>
      <c r="U18" s="18" t="str">
        <f t="shared" si="12"/>
        <v/>
      </c>
      <c r="V18" s="21"/>
      <c r="W18" s="21"/>
      <c r="X18" s="16"/>
      <c r="Y18" s="24"/>
      <c r="AA18" s="40" t="s">
        <v>192</v>
      </c>
      <c r="AH18" s="39" t="s">
        <v>139</v>
      </c>
      <c r="AI18" s="41">
        <f>$A$8+MOD(1-WEEKDAY($A$8,2)+7,7)</f>
        <v>46392</v>
      </c>
    </row>
    <row r="19">
      <c r="A19" s="32">
        <v>46399.0</v>
      </c>
      <c r="B19" s="23" t="str">
        <f t="shared" si="2"/>
        <v>火</v>
      </c>
      <c r="C19" s="16"/>
      <c r="D19" s="25">
        <f t="shared" si="3"/>
        <v>0</v>
      </c>
      <c r="E19" s="16"/>
      <c r="F19" s="16"/>
      <c r="G19" s="25" t="str">
        <f t="shared" si="4"/>
        <v/>
      </c>
      <c r="H19" s="25" t="str">
        <f t="shared" si="5"/>
        <v/>
      </c>
      <c r="I19" s="27" t="str">
        <f t="shared" ref="I19:J19" si="26">IF(G19="","",IFERROR(G19/C19,""))</f>
        <v/>
      </c>
      <c r="J19" s="27" t="str">
        <f t="shared" si="26"/>
        <v/>
      </c>
      <c r="K19" s="25" t="str">
        <f t="shared" si="7"/>
        <v/>
      </c>
      <c r="L19" s="33" t="str">
        <f t="shared" si="8"/>
        <v>—</v>
      </c>
      <c r="M19" s="21"/>
      <c r="N19" s="21"/>
      <c r="O19" s="21"/>
      <c r="P19" s="21"/>
      <c r="Q19" s="21"/>
      <c r="R19" s="27" t="str">
        <f t="shared" si="9"/>
        <v/>
      </c>
      <c r="S19" s="25" t="str">
        <f t="shared" si="10"/>
        <v/>
      </c>
      <c r="T19" s="34" t="str">
        <f t="shared" si="11"/>
        <v/>
      </c>
      <c r="U19" s="27" t="str">
        <f t="shared" si="12"/>
        <v/>
      </c>
      <c r="V19" s="21"/>
      <c r="W19" s="21"/>
      <c r="X19" s="16"/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46400.0</v>
      </c>
      <c r="B20" s="15" t="str">
        <f t="shared" si="2"/>
        <v>水</v>
      </c>
      <c r="C20" s="16"/>
      <c r="D20" s="17">
        <f t="shared" si="3"/>
        <v>0</v>
      </c>
      <c r="E20" s="16"/>
      <c r="F20" s="16"/>
      <c r="G20" s="17" t="str">
        <f t="shared" si="4"/>
        <v/>
      </c>
      <c r="H20" s="17" t="str">
        <f t="shared" si="5"/>
        <v/>
      </c>
      <c r="I20" s="18" t="str">
        <f t="shared" ref="I20:J20" si="27">IF(G20="","",IFERROR(G20/C20,""))</f>
        <v/>
      </c>
      <c r="J20" s="18" t="str">
        <f t="shared" si="27"/>
        <v/>
      </c>
      <c r="K20" s="17" t="str">
        <f t="shared" si="7"/>
        <v/>
      </c>
      <c r="L20" s="19" t="str">
        <f t="shared" si="8"/>
        <v>—</v>
      </c>
      <c r="M20" s="21"/>
      <c r="N20" s="21"/>
      <c r="O20" s="21"/>
      <c r="P20" s="21"/>
      <c r="Q20" s="21"/>
      <c r="R20" s="18" t="str">
        <f t="shared" si="9"/>
        <v/>
      </c>
      <c r="S20" s="17" t="str">
        <f t="shared" si="10"/>
        <v/>
      </c>
      <c r="T20" s="22" t="str">
        <f t="shared" si="11"/>
        <v/>
      </c>
      <c r="U20" s="18" t="str">
        <f t="shared" si="12"/>
        <v/>
      </c>
      <c r="V20" s="21"/>
      <c r="W20" s="21"/>
      <c r="X20" s="16"/>
      <c r="Y20" s="24"/>
      <c r="AA20" s="30">
        <v>1.0</v>
      </c>
      <c r="AB20" s="42" t="str">
        <f>IF($AI$18+7*(1-1)&gt;$A$38,"",TEXT($AI$18+7*(1-1),"m/d")&amp;"-"&amp;TEXT($AI$18+7*(1-1)+6,"m/d"))</f>
        <v>1/5-1/11</v>
      </c>
      <c r="AC20" s="28">
        <f>IF($AB20="","",(SUMIFS($G$8:$G$38,$A$8:$A$38,"&gt;="&amp;$AI$18+7*(1-1),$A$8:$A$38,"&lt;="&amp;$AI$18+7*(1-1)+6)+SUMIFS('2027年02月'!$G$8:$G$35,'2027年02月'!$A$8:$A$35,"&gt;="&amp;$AI$18+7*(1-1),'2027年02月'!$A$8:$A$35,"&lt;="&amp;$AI$18+7*(1-1)+6)))</f>
        <v>0</v>
      </c>
      <c r="AD20" s="31" t="str">
        <f>IF($AB20="","",IFERROR((SUMIFS($M$8:$M$38,$A$8:$A$38,"&gt;="&amp;$AI$18+7*(1-1),$A$8:$A$38,"&lt;="&amp;$AI$18+7*(1-1)+6)+SUMIFS('2027年02月'!$M$8:$M$35,'2027年02月'!$A$8:$A$35,"&gt;="&amp;$AI$18+7*(1-1),'2027年02月'!$A$8:$A$35,"&lt;="&amp;$AI$18+7*(1-1)+6))/(SUMIFS($O$8:$O$38,$A$8:$A$38,"&gt;="&amp;$AI$18+7*(1-1),$A$8:$A$38,"&lt;="&amp;$AI$18+7*(1-1)+6)+SUMIFS('2027年02月'!$O$8:$O$35,'2027年02月'!$A$8:$A$35,"&gt;="&amp;$AI$18+7*(1-1),'2027年02月'!$A$8:$A$35,"&lt;="&amp;$AI$18+7*(1-1)+6)),""))</f>
        <v/>
      </c>
      <c r="AE20" s="28" t="str">
        <f>IF($AB20="","",IFERROR((SUMIFS($G$8:$G$38,$A$8:$A$38,"&gt;="&amp;$AI$18+7*(1-1),$A$8:$A$38,"&lt;="&amp;$AI$18+7*(1-1)+6)+SUMIFS('2027年02月'!$G$8:$G$35,'2027年02月'!$A$8:$A$35,"&gt;="&amp;$AI$18+7*(1-1),'2027年02月'!$A$8:$A$35,"&lt;="&amp;$AI$18+7*(1-1)+6))/(SUMIFS($M$8:$M$38,$A$8:$A$38,"&gt;="&amp;$AI$18+7*(1-1),$A$8:$A$38,"&lt;="&amp;$AI$18+7*(1-1)+6)+SUMIFS('2027年02月'!$M$8:$M$35,'2027年02月'!$A$8:$A$35,"&gt;="&amp;$AI$18+7*(1-1),'2027年02月'!$A$8:$A$35,"&lt;="&amp;$AI$18+7*(1-1)+6)),""))</f>
        <v/>
      </c>
      <c r="AF20" s="43" t="str">
        <f>IF($AB20="","",IFERROR((SUMIFS($N$8:$N$38,$A$8:$A$38,"&gt;="&amp;$AI$18+7*(1-1),$A$8:$A$38,"&lt;="&amp;$AI$18+7*(1-1)+6)+SUMIFS('2027年02月'!$N$8:$N$35,'2027年02月'!$A$8:$A$35,"&gt;="&amp;$AI$18+7*(1-1),'2027年02月'!$A$8:$A$35,"&lt;="&amp;$AI$18+7*(1-1)+6))/(SUMIFS($M$8:$M$38,$A$8:$A$38,"&gt;="&amp;$AI$18+7*(1-1),$A$8:$A$38,"&lt;="&amp;$AI$18+7*(1-1)+6)+SUMIFS('2027年02月'!$M$8:$M$35,'2027年02月'!$A$8:$A$35,"&gt;="&amp;$AI$18+7*(1-1),'2027年02月'!$A$8:$A$35,"&lt;="&amp;$AI$18+7*(1-1)+6)),""))</f>
        <v/>
      </c>
      <c r="AG20" s="31" t="str">
        <f>IF($AB20="","",IFERROR((SUMIFS($P$8:$P$38,$A$8:$A$38,"&gt;="&amp;$AI$18+7*(1-1),$A$8:$A$38,"&lt;="&amp;$AI$18+7*(1-1)+6)+SUMIFS('2027年02月'!$P$8:$P$35,'2027年02月'!$A$8:$A$35,"&gt;="&amp;$AI$18+7*(1-1),'2027年02月'!$A$8:$A$35,"&lt;="&amp;$AI$18+7*(1-1)+6))/(SUMIFS($O$8:$O$38,$A$8:$A$38,"&gt;="&amp;$AI$18+7*(1-1),$A$8:$A$38,"&lt;="&amp;$AI$18+7*(1-1)+6)+SUMIFS('2027年02月'!$O$8:$O$35,'2027年02月'!$A$8:$A$35,"&gt;="&amp;$AI$18+7*(1-1),'2027年02月'!$A$8:$A$35,"&lt;="&amp;$AI$18+7*(1-1)+6)),""))</f>
        <v/>
      </c>
    </row>
    <row r="21" ht="15.75" customHeight="1">
      <c r="A21" s="32">
        <v>46401.0</v>
      </c>
      <c r="B21" s="23" t="str">
        <f t="shared" si="2"/>
        <v>木</v>
      </c>
      <c r="C21" s="16"/>
      <c r="D21" s="25">
        <f t="shared" si="3"/>
        <v>0</v>
      </c>
      <c r="E21" s="16"/>
      <c r="F21" s="16"/>
      <c r="G21" s="25" t="str">
        <f t="shared" si="4"/>
        <v/>
      </c>
      <c r="H21" s="25" t="str">
        <f t="shared" si="5"/>
        <v/>
      </c>
      <c r="I21" s="27" t="str">
        <f t="shared" ref="I21:J21" si="28">IF(G21="","",IFERROR(G21/C21,""))</f>
        <v/>
      </c>
      <c r="J21" s="27" t="str">
        <f t="shared" si="28"/>
        <v/>
      </c>
      <c r="K21" s="25" t="str">
        <f t="shared" si="7"/>
        <v/>
      </c>
      <c r="L21" s="33" t="str">
        <f t="shared" si="8"/>
        <v>—</v>
      </c>
      <c r="M21" s="21"/>
      <c r="N21" s="21"/>
      <c r="O21" s="21"/>
      <c r="P21" s="21"/>
      <c r="Q21" s="21"/>
      <c r="R21" s="27" t="str">
        <f t="shared" si="9"/>
        <v/>
      </c>
      <c r="S21" s="25" t="str">
        <f t="shared" si="10"/>
        <v/>
      </c>
      <c r="T21" s="34" t="str">
        <f t="shared" si="11"/>
        <v/>
      </c>
      <c r="U21" s="27" t="str">
        <f t="shared" si="12"/>
        <v/>
      </c>
      <c r="V21" s="21"/>
      <c r="W21" s="21"/>
      <c r="X21" s="16"/>
      <c r="Y21" s="24"/>
      <c r="AA21" s="30">
        <v>2.0</v>
      </c>
      <c r="AB21" s="42" t="str">
        <f>IF($AI$18+7*(2-1)&gt;$A$38,"",TEXT($AI$18+7*(2-1),"m/d")&amp;"-"&amp;TEXT($AI$18+7*(2-1)+6,"m/d"))</f>
        <v>1/12-1/18</v>
      </c>
      <c r="AC21" s="28">
        <f>IF($AB21="","",(SUMIFS($G$8:$G$38,$A$8:$A$38,"&gt;="&amp;$AI$18+7*(2-1),$A$8:$A$38,"&lt;="&amp;$AI$18+7*(2-1)+6)+SUMIFS('2027年02月'!$G$8:$G$35,'2027年02月'!$A$8:$A$35,"&gt;="&amp;$AI$18+7*(2-1),'2027年02月'!$A$8:$A$35,"&lt;="&amp;$AI$18+7*(2-1)+6)))</f>
        <v>0</v>
      </c>
      <c r="AD21" s="31" t="str">
        <f>IF($AB21="","",IFERROR((SUMIFS($M$8:$M$38,$A$8:$A$38,"&gt;="&amp;$AI$18+7*(2-1),$A$8:$A$38,"&lt;="&amp;$AI$18+7*(2-1)+6)+SUMIFS('2027年02月'!$M$8:$M$35,'2027年02月'!$A$8:$A$35,"&gt;="&amp;$AI$18+7*(2-1),'2027年02月'!$A$8:$A$35,"&lt;="&amp;$AI$18+7*(2-1)+6))/(SUMIFS($O$8:$O$38,$A$8:$A$38,"&gt;="&amp;$AI$18+7*(2-1),$A$8:$A$38,"&lt;="&amp;$AI$18+7*(2-1)+6)+SUMIFS('2027年02月'!$O$8:$O$35,'2027年02月'!$A$8:$A$35,"&gt;="&amp;$AI$18+7*(2-1),'2027年02月'!$A$8:$A$35,"&lt;="&amp;$AI$18+7*(2-1)+6)),""))</f>
        <v/>
      </c>
      <c r="AE21" s="28" t="str">
        <f>IF($AB21="","",IFERROR((SUMIFS($G$8:$G$38,$A$8:$A$38,"&gt;="&amp;$AI$18+7*(2-1),$A$8:$A$38,"&lt;="&amp;$AI$18+7*(2-1)+6)+SUMIFS('2027年02月'!$G$8:$G$35,'2027年02月'!$A$8:$A$35,"&gt;="&amp;$AI$18+7*(2-1),'2027年02月'!$A$8:$A$35,"&lt;="&amp;$AI$18+7*(2-1)+6))/(SUMIFS($M$8:$M$38,$A$8:$A$38,"&gt;="&amp;$AI$18+7*(2-1),$A$8:$A$38,"&lt;="&amp;$AI$18+7*(2-1)+6)+SUMIFS('2027年02月'!$M$8:$M$35,'2027年02月'!$A$8:$A$35,"&gt;="&amp;$AI$18+7*(2-1),'2027年02月'!$A$8:$A$35,"&lt;="&amp;$AI$18+7*(2-1)+6)),""))</f>
        <v/>
      </c>
      <c r="AF21" s="43" t="str">
        <f>IF($AB21="","",IFERROR((SUMIFS($N$8:$N$38,$A$8:$A$38,"&gt;="&amp;$AI$18+7*(2-1),$A$8:$A$38,"&lt;="&amp;$AI$18+7*(2-1)+6)+SUMIFS('2027年02月'!$N$8:$N$35,'2027年02月'!$A$8:$A$35,"&gt;="&amp;$AI$18+7*(2-1),'2027年02月'!$A$8:$A$35,"&lt;="&amp;$AI$18+7*(2-1)+6))/(SUMIFS($M$8:$M$38,$A$8:$A$38,"&gt;="&amp;$AI$18+7*(2-1),$A$8:$A$38,"&lt;="&amp;$AI$18+7*(2-1)+6)+SUMIFS('2027年02月'!$M$8:$M$35,'2027年02月'!$A$8:$A$35,"&gt;="&amp;$AI$18+7*(2-1),'2027年02月'!$A$8:$A$35,"&lt;="&amp;$AI$18+7*(2-1)+6)),""))</f>
        <v/>
      </c>
      <c r="AG21" s="31" t="str">
        <f>IF($AB21="","",IFERROR((SUMIFS($P$8:$P$38,$A$8:$A$38,"&gt;="&amp;$AI$18+7*(2-1),$A$8:$A$38,"&lt;="&amp;$AI$18+7*(2-1)+6)+SUMIFS('2027年02月'!$P$8:$P$35,'2027年02月'!$A$8:$A$35,"&gt;="&amp;$AI$18+7*(2-1),'2027年02月'!$A$8:$A$35,"&lt;="&amp;$AI$18+7*(2-1)+6))/(SUMIFS($O$8:$O$38,$A$8:$A$38,"&gt;="&amp;$AI$18+7*(2-1),$A$8:$A$38,"&lt;="&amp;$AI$18+7*(2-1)+6)+SUMIFS('2027年02月'!$O$8:$O$35,'2027年02月'!$A$8:$A$35,"&gt;="&amp;$AI$18+7*(2-1),'2027年02月'!$A$8:$A$35,"&lt;="&amp;$AI$18+7*(2-1)+6)),""))</f>
        <v/>
      </c>
    </row>
    <row r="22" ht="15.75" customHeight="1">
      <c r="A22" s="14">
        <v>46402.0</v>
      </c>
      <c r="B22" s="15" t="str">
        <f t="shared" si="2"/>
        <v>金</v>
      </c>
      <c r="C22" s="16"/>
      <c r="D22" s="17">
        <f t="shared" si="3"/>
        <v>0</v>
      </c>
      <c r="E22" s="16"/>
      <c r="F22" s="16"/>
      <c r="G22" s="17" t="str">
        <f t="shared" si="4"/>
        <v/>
      </c>
      <c r="H22" s="17" t="str">
        <f t="shared" si="5"/>
        <v/>
      </c>
      <c r="I22" s="18" t="str">
        <f t="shared" ref="I22:J22" si="29">IF(G22="","",IFERROR(G22/C22,""))</f>
        <v/>
      </c>
      <c r="J22" s="18" t="str">
        <f t="shared" si="29"/>
        <v/>
      </c>
      <c r="K22" s="17" t="str">
        <f t="shared" si="7"/>
        <v/>
      </c>
      <c r="L22" s="19" t="str">
        <f t="shared" si="8"/>
        <v>—</v>
      </c>
      <c r="M22" s="21"/>
      <c r="N22" s="21"/>
      <c r="O22" s="21"/>
      <c r="P22" s="21"/>
      <c r="Q22" s="21"/>
      <c r="R22" s="18" t="str">
        <f t="shared" si="9"/>
        <v/>
      </c>
      <c r="S22" s="17" t="str">
        <f t="shared" si="10"/>
        <v/>
      </c>
      <c r="T22" s="22" t="str">
        <f t="shared" si="11"/>
        <v/>
      </c>
      <c r="U22" s="18" t="str">
        <f t="shared" si="12"/>
        <v/>
      </c>
      <c r="V22" s="21"/>
      <c r="W22" s="21"/>
      <c r="X22" s="16"/>
      <c r="Y22" s="24"/>
      <c r="AA22" s="30">
        <v>3.0</v>
      </c>
      <c r="AB22" s="42" t="str">
        <f>IF($AI$18+7*(3-1)&gt;$A$38,"",TEXT($AI$18+7*(3-1),"m/d")&amp;"-"&amp;TEXT($AI$18+7*(3-1)+6,"m/d"))</f>
        <v>1/19-1/25</v>
      </c>
      <c r="AC22" s="28">
        <f>IF($AB22="","",(SUMIFS($G$8:$G$38,$A$8:$A$38,"&gt;="&amp;$AI$18+7*(3-1),$A$8:$A$38,"&lt;="&amp;$AI$18+7*(3-1)+6)+SUMIFS('2027年02月'!$G$8:$G$35,'2027年02月'!$A$8:$A$35,"&gt;="&amp;$AI$18+7*(3-1),'2027年02月'!$A$8:$A$35,"&lt;="&amp;$AI$18+7*(3-1)+6)))</f>
        <v>0</v>
      </c>
      <c r="AD22" s="31" t="str">
        <f>IF($AB22="","",IFERROR((SUMIFS($M$8:$M$38,$A$8:$A$38,"&gt;="&amp;$AI$18+7*(3-1),$A$8:$A$38,"&lt;="&amp;$AI$18+7*(3-1)+6)+SUMIFS('2027年02月'!$M$8:$M$35,'2027年02月'!$A$8:$A$35,"&gt;="&amp;$AI$18+7*(3-1),'2027年02月'!$A$8:$A$35,"&lt;="&amp;$AI$18+7*(3-1)+6))/(SUMIFS($O$8:$O$38,$A$8:$A$38,"&gt;="&amp;$AI$18+7*(3-1),$A$8:$A$38,"&lt;="&amp;$AI$18+7*(3-1)+6)+SUMIFS('2027年02月'!$O$8:$O$35,'2027年02月'!$A$8:$A$35,"&gt;="&amp;$AI$18+7*(3-1),'2027年02月'!$A$8:$A$35,"&lt;="&amp;$AI$18+7*(3-1)+6)),""))</f>
        <v/>
      </c>
      <c r="AE22" s="28" t="str">
        <f>IF($AB22="","",IFERROR((SUMIFS($G$8:$G$38,$A$8:$A$38,"&gt;="&amp;$AI$18+7*(3-1),$A$8:$A$38,"&lt;="&amp;$AI$18+7*(3-1)+6)+SUMIFS('2027年02月'!$G$8:$G$35,'2027年02月'!$A$8:$A$35,"&gt;="&amp;$AI$18+7*(3-1),'2027年02月'!$A$8:$A$35,"&lt;="&amp;$AI$18+7*(3-1)+6))/(SUMIFS($M$8:$M$38,$A$8:$A$38,"&gt;="&amp;$AI$18+7*(3-1),$A$8:$A$38,"&lt;="&amp;$AI$18+7*(3-1)+6)+SUMIFS('2027年02月'!$M$8:$M$35,'2027年02月'!$A$8:$A$35,"&gt;="&amp;$AI$18+7*(3-1),'2027年02月'!$A$8:$A$35,"&lt;="&amp;$AI$18+7*(3-1)+6)),""))</f>
        <v/>
      </c>
      <c r="AF22" s="43" t="str">
        <f>IF($AB22="","",IFERROR((SUMIFS($N$8:$N$38,$A$8:$A$38,"&gt;="&amp;$AI$18+7*(3-1),$A$8:$A$38,"&lt;="&amp;$AI$18+7*(3-1)+6)+SUMIFS('2027年02月'!$N$8:$N$35,'2027年02月'!$A$8:$A$35,"&gt;="&amp;$AI$18+7*(3-1),'2027年02月'!$A$8:$A$35,"&lt;="&amp;$AI$18+7*(3-1)+6))/(SUMIFS($M$8:$M$38,$A$8:$A$38,"&gt;="&amp;$AI$18+7*(3-1),$A$8:$A$38,"&lt;="&amp;$AI$18+7*(3-1)+6)+SUMIFS('2027年02月'!$M$8:$M$35,'2027年02月'!$A$8:$A$35,"&gt;="&amp;$AI$18+7*(3-1),'2027年02月'!$A$8:$A$35,"&lt;="&amp;$AI$18+7*(3-1)+6)),""))</f>
        <v/>
      </c>
      <c r="AG22" s="31" t="str">
        <f>IF($AB22="","",IFERROR((SUMIFS($P$8:$P$38,$A$8:$A$38,"&gt;="&amp;$AI$18+7*(3-1),$A$8:$A$38,"&lt;="&amp;$AI$18+7*(3-1)+6)+SUMIFS('2027年02月'!$P$8:$P$35,'2027年02月'!$A$8:$A$35,"&gt;="&amp;$AI$18+7*(3-1),'2027年02月'!$A$8:$A$35,"&lt;="&amp;$AI$18+7*(3-1)+6))/(SUMIFS($O$8:$O$38,$A$8:$A$38,"&gt;="&amp;$AI$18+7*(3-1),$A$8:$A$38,"&lt;="&amp;$AI$18+7*(3-1)+6)+SUMIFS('2027年02月'!$O$8:$O$35,'2027年02月'!$A$8:$A$35,"&gt;="&amp;$AI$18+7*(3-1),'2027年02月'!$A$8:$A$35,"&lt;="&amp;$AI$18+7*(3-1)+6)),""))</f>
        <v/>
      </c>
    </row>
    <row r="23" ht="15.75" customHeight="1">
      <c r="A23" s="32">
        <v>46403.0</v>
      </c>
      <c r="B23" s="23" t="str">
        <f t="shared" si="2"/>
        <v>土</v>
      </c>
      <c r="C23" s="16"/>
      <c r="D23" s="25">
        <f t="shared" si="3"/>
        <v>0</v>
      </c>
      <c r="E23" s="16"/>
      <c r="F23" s="16"/>
      <c r="G23" s="25" t="str">
        <f t="shared" si="4"/>
        <v/>
      </c>
      <c r="H23" s="25" t="str">
        <f t="shared" si="5"/>
        <v/>
      </c>
      <c r="I23" s="27" t="str">
        <f t="shared" ref="I23:J23" si="30">IF(G23="","",IFERROR(G23/C23,""))</f>
        <v/>
      </c>
      <c r="J23" s="27" t="str">
        <f t="shared" si="30"/>
        <v/>
      </c>
      <c r="K23" s="25" t="str">
        <f t="shared" si="7"/>
        <v/>
      </c>
      <c r="L23" s="33" t="str">
        <f t="shared" si="8"/>
        <v>—</v>
      </c>
      <c r="M23" s="21"/>
      <c r="N23" s="21"/>
      <c r="O23" s="21"/>
      <c r="P23" s="21"/>
      <c r="Q23" s="21"/>
      <c r="R23" s="27" t="str">
        <f t="shared" si="9"/>
        <v/>
      </c>
      <c r="S23" s="25" t="str">
        <f t="shared" si="10"/>
        <v/>
      </c>
      <c r="T23" s="34" t="str">
        <f t="shared" si="11"/>
        <v/>
      </c>
      <c r="U23" s="27" t="str">
        <f t="shared" si="12"/>
        <v/>
      </c>
      <c r="V23" s="21"/>
      <c r="W23" s="21"/>
      <c r="X23" s="16"/>
      <c r="Y23" s="24"/>
      <c r="AA23" s="30">
        <v>4.0</v>
      </c>
      <c r="AB23" s="42" t="str">
        <f>IF($AI$18+7*(4-1)&gt;$A$38,"",TEXT($AI$18+7*(4-1),"m/d")&amp;"-"&amp;TEXT($AI$18+7*(4-1)+6,"m/d"))</f>
        <v>1/26-2/1</v>
      </c>
      <c r="AC23" s="28">
        <f>IF($AB23="","",(SUMIFS($G$8:$G$38,$A$8:$A$38,"&gt;="&amp;$AI$18+7*(4-1),$A$8:$A$38,"&lt;="&amp;$AI$18+7*(4-1)+6)+SUMIFS('2027年02月'!$G$8:$G$35,'2027年02月'!$A$8:$A$35,"&gt;="&amp;$AI$18+7*(4-1),'2027年02月'!$A$8:$A$35,"&lt;="&amp;$AI$18+7*(4-1)+6)))</f>
        <v>0</v>
      </c>
      <c r="AD23" s="31" t="str">
        <f>IF($AB23="","",IFERROR((SUMIFS($M$8:$M$38,$A$8:$A$38,"&gt;="&amp;$AI$18+7*(4-1),$A$8:$A$38,"&lt;="&amp;$AI$18+7*(4-1)+6)+SUMIFS('2027年02月'!$M$8:$M$35,'2027年02月'!$A$8:$A$35,"&gt;="&amp;$AI$18+7*(4-1),'2027年02月'!$A$8:$A$35,"&lt;="&amp;$AI$18+7*(4-1)+6))/(SUMIFS($O$8:$O$38,$A$8:$A$38,"&gt;="&amp;$AI$18+7*(4-1),$A$8:$A$38,"&lt;="&amp;$AI$18+7*(4-1)+6)+SUMIFS('2027年02月'!$O$8:$O$35,'2027年02月'!$A$8:$A$35,"&gt;="&amp;$AI$18+7*(4-1),'2027年02月'!$A$8:$A$35,"&lt;="&amp;$AI$18+7*(4-1)+6)),""))</f>
        <v/>
      </c>
      <c r="AE23" s="28" t="str">
        <f>IF($AB23="","",IFERROR((SUMIFS($G$8:$G$38,$A$8:$A$38,"&gt;="&amp;$AI$18+7*(4-1),$A$8:$A$38,"&lt;="&amp;$AI$18+7*(4-1)+6)+SUMIFS('2027年02月'!$G$8:$G$35,'2027年02月'!$A$8:$A$35,"&gt;="&amp;$AI$18+7*(4-1),'2027年02月'!$A$8:$A$35,"&lt;="&amp;$AI$18+7*(4-1)+6))/(SUMIFS($M$8:$M$38,$A$8:$A$38,"&gt;="&amp;$AI$18+7*(4-1),$A$8:$A$38,"&lt;="&amp;$AI$18+7*(4-1)+6)+SUMIFS('2027年02月'!$M$8:$M$35,'2027年02月'!$A$8:$A$35,"&gt;="&amp;$AI$18+7*(4-1),'2027年02月'!$A$8:$A$35,"&lt;="&amp;$AI$18+7*(4-1)+6)),""))</f>
        <v/>
      </c>
      <c r="AF23" s="43" t="str">
        <f>IF($AB23="","",IFERROR((SUMIFS($N$8:$N$38,$A$8:$A$38,"&gt;="&amp;$AI$18+7*(4-1),$A$8:$A$38,"&lt;="&amp;$AI$18+7*(4-1)+6)+SUMIFS('2027年02月'!$N$8:$N$35,'2027年02月'!$A$8:$A$35,"&gt;="&amp;$AI$18+7*(4-1),'2027年02月'!$A$8:$A$35,"&lt;="&amp;$AI$18+7*(4-1)+6))/(SUMIFS($M$8:$M$38,$A$8:$A$38,"&gt;="&amp;$AI$18+7*(4-1),$A$8:$A$38,"&lt;="&amp;$AI$18+7*(4-1)+6)+SUMIFS('2027年02月'!$M$8:$M$35,'2027年02月'!$A$8:$A$35,"&gt;="&amp;$AI$18+7*(4-1),'2027年02月'!$A$8:$A$35,"&lt;="&amp;$AI$18+7*(4-1)+6)),""))</f>
        <v/>
      </c>
      <c r="AG23" s="31" t="str">
        <f>IF($AB23="","",IFERROR((SUMIFS($P$8:$P$38,$A$8:$A$38,"&gt;="&amp;$AI$18+7*(4-1),$A$8:$A$38,"&lt;="&amp;$AI$18+7*(4-1)+6)+SUMIFS('2027年02月'!$P$8:$P$35,'2027年02月'!$A$8:$A$35,"&gt;="&amp;$AI$18+7*(4-1),'2027年02月'!$A$8:$A$35,"&lt;="&amp;$AI$18+7*(4-1)+6))/(SUMIFS($O$8:$O$38,$A$8:$A$38,"&gt;="&amp;$AI$18+7*(4-1),$A$8:$A$38,"&lt;="&amp;$AI$18+7*(4-1)+6)+SUMIFS('2027年02月'!$O$8:$O$35,'2027年02月'!$A$8:$A$35,"&gt;="&amp;$AI$18+7*(4-1),'2027年02月'!$A$8:$A$35,"&lt;="&amp;$AI$18+7*(4-1)+6)),""))</f>
        <v/>
      </c>
    </row>
    <row r="24" ht="15.75" customHeight="1">
      <c r="A24" s="14">
        <v>46404.0</v>
      </c>
      <c r="B24" s="15" t="str">
        <f t="shared" si="2"/>
        <v>日</v>
      </c>
      <c r="C24" s="16"/>
      <c r="D24" s="17">
        <f t="shared" si="3"/>
        <v>0</v>
      </c>
      <c r="E24" s="16"/>
      <c r="F24" s="16"/>
      <c r="G24" s="17" t="str">
        <f t="shared" si="4"/>
        <v/>
      </c>
      <c r="H24" s="17" t="str">
        <f t="shared" si="5"/>
        <v/>
      </c>
      <c r="I24" s="18" t="str">
        <f t="shared" ref="I24:J24" si="31">IF(G24="","",IFERROR(G24/C24,""))</f>
        <v/>
      </c>
      <c r="J24" s="18" t="str">
        <f t="shared" si="31"/>
        <v/>
      </c>
      <c r="K24" s="17" t="str">
        <f t="shared" si="7"/>
        <v/>
      </c>
      <c r="L24" s="19" t="str">
        <f t="shared" si="8"/>
        <v>—</v>
      </c>
      <c r="M24" s="21"/>
      <c r="N24" s="21"/>
      <c r="O24" s="21"/>
      <c r="P24" s="21"/>
      <c r="Q24" s="21"/>
      <c r="R24" s="18" t="str">
        <f t="shared" si="9"/>
        <v/>
      </c>
      <c r="S24" s="17" t="str">
        <f t="shared" si="10"/>
        <v/>
      </c>
      <c r="T24" s="22" t="str">
        <f t="shared" si="11"/>
        <v/>
      </c>
      <c r="U24" s="18" t="str">
        <f t="shared" si="12"/>
        <v/>
      </c>
      <c r="V24" s="21"/>
      <c r="W24" s="21"/>
      <c r="X24" s="16"/>
      <c r="Y24" s="24"/>
      <c r="AA24" s="30">
        <v>5.0</v>
      </c>
      <c r="AB24" s="42" t="str">
        <f>IF($AI$18+7*(5-1)&gt;$A$38,"",TEXT($AI$18+7*(5-1),"m/d")&amp;"-"&amp;TEXT($AI$18+7*(5-1)+6,"m/d"))</f>
        <v/>
      </c>
      <c r="AC24" s="28" t="str">
        <f>IF($AB24="","",(SUMIFS($G$8:$G$38,$A$8:$A$38,"&gt;="&amp;$AI$18+7*(5-1),$A$8:$A$38,"&lt;="&amp;$AI$18+7*(5-1)+6)+SUMIFS('2027年02月'!$G$8:$G$35,'2027年02月'!$A$8:$A$35,"&gt;="&amp;$AI$18+7*(5-1),'2027年02月'!$A$8:$A$35,"&lt;="&amp;$AI$18+7*(5-1)+6)))</f>
        <v/>
      </c>
      <c r="AD24" s="31" t="str">
        <f>IF($AB24="","",IFERROR((SUMIFS($M$8:$M$38,$A$8:$A$38,"&gt;="&amp;$AI$18+7*(5-1),$A$8:$A$38,"&lt;="&amp;$AI$18+7*(5-1)+6)+SUMIFS('2027年02月'!$M$8:$M$35,'2027年02月'!$A$8:$A$35,"&gt;="&amp;$AI$18+7*(5-1),'2027年02月'!$A$8:$A$35,"&lt;="&amp;$AI$18+7*(5-1)+6))/(SUMIFS($O$8:$O$38,$A$8:$A$38,"&gt;="&amp;$AI$18+7*(5-1),$A$8:$A$38,"&lt;="&amp;$AI$18+7*(5-1)+6)+SUMIFS('2027年02月'!$O$8:$O$35,'2027年02月'!$A$8:$A$35,"&gt;="&amp;$AI$18+7*(5-1),'2027年02月'!$A$8:$A$35,"&lt;="&amp;$AI$18+7*(5-1)+6)),""))</f>
        <v/>
      </c>
      <c r="AE24" s="28" t="str">
        <f>IF($AB24="","",IFERROR((SUMIFS($G$8:$G$38,$A$8:$A$38,"&gt;="&amp;$AI$18+7*(5-1),$A$8:$A$38,"&lt;="&amp;$AI$18+7*(5-1)+6)+SUMIFS('2027年02月'!$G$8:$G$35,'2027年02月'!$A$8:$A$35,"&gt;="&amp;$AI$18+7*(5-1),'2027年02月'!$A$8:$A$35,"&lt;="&amp;$AI$18+7*(5-1)+6))/(SUMIFS($M$8:$M$38,$A$8:$A$38,"&gt;="&amp;$AI$18+7*(5-1),$A$8:$A$38,"&lt;="&amp;$AI$18+7*(5-1)+6)+SUMIFS('2027年02月'!$M$8:$M$35,'2027年02月'!$A$8:$A$35,"&gt;="&amp;$AI$18+7*(5-1),'2027年02月'!$A$8:$A$35,"&lt;="&amp;$AI$18+7*(5-1)+6)),""))</f>
        <v/>
      </c>
      <c r="AF24" s="43" t="str">
        <f>IF($AB24="","",IFERROR((SUMIFS($N$8:$N$38,$A$8:$A$38,"&gt;="&amp;$AI$18+7*(5-1),$A$8:$A$38,"&lt;="&amp;$AI$18+7*(5-1)+6)+SUMIFS('2027年02月'!$N$8:$N$35,'2027年02月'!$A$8:$A$35,"&gt;="&amp;$AI$18+7*(5-1),'2027年02月'!$A$8:$A$35,"&lt;="&amp;$AI$18+7*(5-1)+6))/(SUMIFS($M$8:$M$38,$A$8:$A$38,"&gt;="&amp;$AI$18+7*(5-1),$A$8:$A$38,"&lt;="&amp;$AI$18+7*(5-1)+6)+SUMIFS('2027年02月'!$M$8:$M$35,'2027年02月'!$A$8:$A$35,"&gt;="&amp;$AI$18+7*(5-1),'2027年02月'!$A$8:$A$35,"&lt;="&amp;$AI$18+7*(5-1)+6)),""))</f>
        <v/>
      </c>
      <c r="AG24" s="31" t="str">
        <f>IF($AB24="","",IFERROR((SUMIFS($P$8:$P$38,$A$8:$A$38,"&gt;="&amp;$AI$18+7*(5-1),$A$8:$A$38,"&lt;="&amp;$AI$18+7*(5-1)+6)+SUMIFS('2027年02月'!$P$8:$P$35,'2027年02月'!$A$8:$A$35,"&gt;="&amp;$AI$18+7*(5-1),'2027年02月'!$A$8:$A$35,"&lt;="&amp;$AI$18+7*(5-1)+6))/(SUMIFS($O$8:$O$38,$A$8:$A$38,"&gt;="&amp;$AI$18+7*(5-1),$A$8:$A$38,"&lt;="&amp;$AI$18+7*(5-1)+6)+SUMIFS('2027年02月'!$O$8:$O$35,'2027年02月'!$A$8:$A$35,"&gt;="&amp;$AI$18+7*(5-1),'2027年02月'!$A$8:$A$35,"&lt;="&amp;$AI$18+7*(5-1)+6)),""))</f>
        <v/>
      </c>
    </row>
    <row r="25" ht="15.75" customHeight="1">
      <c r="A25" s="32">
        <v>46405.0</v>
      </c>
      <c r="B25" s="23" t="str">
        <f t="shared" si="2"/>
        <v>月</v>
      </c>
      <c r="C25" s="16"/>
      <c r="D25" s="25">
        <f t="shared" si="3"/>
        <v>0</v>
      </c>
      <c r="E25" s="16"/>
      <c r="F25" s="16"/>
      <c r="G25" s="25" t="str">
        <f t="shared" si="4"/>
        <v/>
      </c>
      <c r="H25" s="25" t="str">
        <f t="shared" si="5"/>
        <v/>
      </c>
      <c r="I25" s="27" t="str">
        <f t="shared" ref="I25:J25" si="32">IF(G25="","",IFERROR(G25/C25,""))</f>
        <v/>
      </c>
      <c r="J25" s="27" t="str">
        <f t="shared" si="32"/>
        <v/>
      </c>
      <c r="K25" s="25" t="str">
        <f t="shared" si="7"/>
        <v/>
      </c>
      <c r="L25" s="33" t="str">
        <f t="shared" si="8"/>
        <v>—</v>
      </c>
      <c r="M25" s="21"/>
      <c r="N25" s="21"/>
      <c r="O25" s="21"/>
      <c r="P25" s="21"/>
      <c r="Q25" s="21"/>
      <c r="R25" s="27" t="str">
        <f t="shared" si="9"/>
        <v/>
      </c>
      <c r="S25" s="25" t="str">
        <f t="shared" si="10"/>
        <v/>
      </c>
      <c r="T25" s="34" t="str">
        <f t="shared" si="11"/>
        <v/>
      </c>
      <c r="U25" s="27" t="str">
        <f t="shared" si="12"/>
        <v/>
      </c>
      <c r="V25" s="21"/>
      <c r="W25" s="21"/>
      <c r="X25" s="16"/>
      <c r="Y25" s="24"/>
      <c r="AA25" s="30">
        <v>6.0</v>
      </c>
      <c r="AB25" s="42" t="str">
        <f>IF($AI$18+7*(6-1)&gt;$A$38,"",TEXT($AI$18+7*(6-1),"m/d")&amp;"-"&amp;TEXT($AI$18+7*(6-1)+6,"m/d"))</f>
        <v/>
      </c>
      <c r="AC25" s="28" t="str">
        <f>IF($AB25="","",(SUMIFS($G$8:$G$38,$A$8:$A$38,"&gt;="&amp;$AI$18+7*(6-1),$A$8:$A$38,"&lt;="&amp;$AI$18+7*(6-1)+6)+SUMIFS('2027年02月'!$G$8:$G$35,'2027年02月'!$A$8:$A$35,"&gt;="&amp;$AI$18+7*(6-1),'2027年02月'!$A$8:$A$35,"&lt;="&amp;$AI$18+7*(6-1)+6)))</f>
        <v/>
      </c>
      <c r="AD25" s="31" t="str">
        <f>IF($AB25="","",IFERROR((SUMIFS($M$8:$M$38,$A$8:$A$38,"&gt;="&amp;$AI$18+7*(6-1),$A$8:$A$38,"&lt;="&amp;$AI$18+7*(6-1)+6)+SUMIFS('2027年02月'!$M$8:$M$35,'2027年02月'!$A$8:$A$35,"&gt;="&amp;$AI$18+7*(6-1),'2027年02月'!$A$8:$A$35,"&lt;="&amp;$AI$18+7*(6-1)+6))/(SUMIFS($O$8:$O$38,$A$8:$A$38,"&gt;="&amp;$AI$18+7*(6-1),$A$8:$A$38,"&lt;="&amp;$AI$18+7*(6-1)+6)+SUMIFS('2027年02月'!$O$8:$O$35,'2027年02月'!$A$8:$A$35,"&gt;="&amp;$AI$18+7*(6-1),'2027年02月'!$A$8:$A$35,"&lt;="&amp;$AI$18+7*(6-1)+6)),""))</f>
        <v/>
      </c>
      <c r="AE25" s="28" t="str">
        <f>IF($AB25="","",IFERROR((SUMIFS($G$8:$G$38,$A$8:$A$38,"&gt;="&amp;$AI$18+7*(6-1),$A$8:$A$38,"&lt;="&amp;$AI$18+7*(6-1)+6)+SUMIFS('2027年02月'!$G$8:$G$35,'2027年02月'!$A$8:$A$35,"&gt;="&amp;$AI$18+7*(6-1),'2027年02月'!$A$8:$A$35,"&lt;="&amp;$AI$18+7*(6-1)+6))/(SUMIFS($M$8:$M$38,$A$8:$A$38,"&gt;="&amp;$AI$18+7*(6-1),$A$8:$A$38,"&lt;="&amp;$AI$18+7*(6-1)+6)+SUMIFS('2027年02月'!$M$8:$M$35,'2027年02月'!$A$8:$A$35,"&gt;="&amp;$AI$18+7*(6-1),'2027年02月'!$A$8:$A$35,"&lt;="&amp;$AI$18+7*(6-1)+6)),""))</f>
        <v/>
      </c>
      <c r="AF25" s="43" t="str">
        <f>IF($AB25="","",IFERROR((SUMIFS($N$8:$N$38,$A$8:$A$38,"&gt;="&amp;$AI$18+7*(6-1),$A$8:$A$38,"&lt;="&amp;$AI$18+7*(6-1)+6)+SUMIFS('2027年02月'!$N$8:$N$35,'2027年02月'!$A$8:$A$35,"&gt;="&amp;$AI$18+7*(6-1),'2027年02月'!$A$8:$A$35,"&lt;="&amp;$AI$18+7*(6-1)+6))/(SUMIFS($M$8:$M$38,$A$8:$A$38,"&gt;="&amp;$AI$18+7*(6-1),$A$8:$A$38,"&lt;="&amp;$AI$18+7*(6-1)+6)+SUMIFS('2027年02月'!$M$8:$M$35,'2027年02月'!$A$8:$A$35,"&gt;="&amp;$AI$18+7*(6-1),'2027年02月'!$A$8:$A$35,"&lt;="&amp;$AI$18+7*(6-1)+6)),""))</f>
        <v/>
      </c>
      <c r="AG25" s="31" t="str">
        <f>IF($AB25="","",IFERROR((SUMIFS($P$8:$P$38,$A$8:$A$38,"&gt;="&amp;$AI$18+7*(6-1),$A$8:$A$38,"&lt;="&amp;$AI$18+7*(6-1)+6)+SUMIFS('2027年02月'!$P$8:$P$35,'2027年02月'!$A$8:$A$35,"&gt;="&amp;$AI$18+7*(6-1),'2027年02月'!$A$8:$A$35,"&lt;="&amp;$AI$18+7*(6-1)+6))/(SUMIFS($O$8:$O$38,$A$8:$A$38,"&gt;="&amp;$AI$18+7*(6-1),$A$8:$A$38,"&lt;="&amp;$AI$18+7*(6-1)+6)+SUMIFS('2027年02月'!$O$8:$O$35,'2027年02月'!$A$8:$A$35,"&gt;="&amp;$AI$18+7*(6-1),'2027年02月'!$A$8:$A$35,"&lt;="&amp;$AI$18+7*(6-1)+6)),""))</f>
        <v/>
      </c>
    </row>
    <row r="26" ht="15.75" customHeight="1">
      <c r="A26" s="14">
        <v>46406.0</v>
      </c>
      <c r="B26" s="15" t="str">
        <f t="shared" si="2"/>
        <v>火</v>
      </c>
      <c r="C26" s="16"/>
      <c r="D26" s="17">
        <f t="shared" si="3"/>
        <v>0</v>
      </c>
      <c r="E26" s="16"/>
      <c r="F26" s="16"/>
      <c r="G26" s="17" t="str">
        <f t="shared" si="4"/>
        <v/>
      </c>
      <c r="H26" s="17" t="str">
        <f t="shared" si="5"/>
        <v/>
      </c>
      <c r="I26" s="18" t="str">
        <f t="shared" ref="I26:J26" si="33">IF(G26="","",IFERROR(G26/C26,""))</f>
        <v/>
      </c>
      <c r="J26" s="18" t="str">
        <f t="shared" si="33"/>
        <v/>
      </c>
      <c r="K26" s="17" t="str">
        <f t="shared" si="7"/>
        <v/>
      </c>
      <c r="L26" s="19" t="str">
        <f t="shared" si="8"/>
        <v>—</v>
      </c>
      <c r="M26" s="21"/>
      <c r="N26" s="21"/>
      <c r="O26" s="21"/>
      <c r="P26" s="21"/>
      <c r="Q26" s="21"/>
      <c r="R26" s="18" t="str">
        <f t="shared" si="9"/>
        <v/>
      </c>
      <c r="S26" s="17" t="str">
        <f t="shared" si="10"/>
        <v/>
      </c>
      <c r="T26" s="22" t="str">
        <f t="shared" si="11"/>
        <v/>
      </c>
      <c r="U26" s="18" t="str">
        <f t="shared" si="12"/>
        <v/>
      </c>
      <c r="V26" s="21"/>
      <c r="W26" s="21"/>
      <c r="X26" s="16"/>
      <c r="Y26" s="24"/>
      <c r="AA26" s="39" t="s">
        <v>147</v>
      </c>
    </row>
    <row r="27" ht="15.75" customHeight="1">
      <c r="A27" s="32">
        <v>46407.0</v>
      </c>
      <c r="B27" s="23" t="str">
        <f t="shared" si="2"/>
        <v>水</v>
      </c>
      <c r="C27" s="16"/>
      <c r="D27" s="25">
        <f t="shared" si="3"/>
        <v>0</v>
      </c>
      <c r="E27" s="16"/>
      <c r="F27" s="16"/>
      <c r="G27" s="25" t="str">
        <f t="shared" si="4"/>
        <v/>
      </c>
      <c r="H27" s="25" t="str">
        <f t="shared" si="5"/>
        <v/>
      </c>
      <c r="I27" s="27" t="str">
        <f t="shared" ref="I27:J27" si="34">IF(G27="","",IFERROR(G27/C27,""))</f>
        <v/>
      </c>
      <c r="J27" s="27" t="str">
        <f t="shared" si="34"/>
        <v/>
      </c>
      <c r="K27" s="25" t="str">
        <f t="shared" si="7"/>
        <v/>
      </c>
      <c r="L27" s="33" t="str">
        <f t="shared" si="8"/>
        <v>—</v>
      </c>
      <c r="M27" s="21"/>
      <c r="N27" s="21"/>
      <c r="O27" s="21"/>
      <c r="P27" s="21"/>
      <c r="Q27" s="21"/>
      <c r="R27" s="27" t="str">
        <f t="shared" si="9"/>
        <v/>
      </c>
      <c r="S27" s="25" t="str">
        <f t="shared" si="10"/>
        <v/>
      </c>
      <c r="T27" s="34" t="str">
        <f t="shared" si="11"/>
        <v/>
      </c>
      <c r="U27" s="27" t="str">
        <f t="shared" si="12"/>
        <v/>
      </c>
      <c r="V27" s="21"/>
      <c r="W27" s="21"/>
      <c r="X27" s="16"/>
      <c r="Y27" s="24"/>
      <c r="AA27" s="39" t="s">
        <v>148</v>
      </c>
    </row>
    <row r="28" ht="15.75" customHeight="1">
      <c r="A28" s="14">
        <v>46408.0</v>
      </c>
      <c r="B28" s="15" t="str">
        <f t="shared" si="2"/>
        <v>木</v>
      </c>
      <c r="C28" s="16"/>
      <c r="D28" s="17">
        <f t="shared" si="3"/>
        <v>0</v>
      </c>
      <c r="E28" s="16"/>
      <c r="F28" s="16"/>
      <c r="G28" s="17" t="str">
        <f t="shared" si="4"/>
        <v/>
      </c>
      <c r="H28" s="17" t="str">
        <f t="shared" si="5"/>
        <v/>
      </c>
      <c r="I28" s="18" t="str">
        <f t="shared" ref="I28:J28" si="35">IF(G28="","",IFERROR(G28/C28,""))</f>
        <v/>
      </c>
      <c r="J28" s="18" t="str">
        <f t="shared" si="35"/>
        <v/>
      </c>
      <c r="K28" s="17" t="str">
        <f t="shared" si="7"/>
        <v/>
      </c>
      <c r="L28" s="19" t="str">
        <f t="shared" si="8"/>
        <v>—</v>
      </c>
      <c r="M28" s="21"/>
      <c r="N28" s="21"/>
      <c r="O28" s="21"/>
      <c r="P28" s="21"/>
      <c r="Q28" s="21"/>
      <c r="R28" s="18" t="str">
        <f t="shared" si="9"/>
        <v/>
      </c>
      <c r="S28" s="17" t="str">
        <f t="shared" si="10"/>
        <v/>
      </c>
      <c r="T28" s="22" t="str">
        <f t="shared" si="11"/>
        <v/>
      </c>
      <c r="U28" s="18" t="str">
        <f t="shared" si="12"/>
        <v/>
      </c>
      <c r="V28" s="21"/>
      <c r="W28" s="21"/>
      <c r="X28" s="16"/>
      <c r="Y28" s="24"/>
      <c r="AA28" s="39" t="s">
        <v>149</v>
      </c>
    </row>
    <row r="29" ht="15.75" customHeight="1">
      <c r="A29" s="32">
        <v>46409.0</v>
      </c>
      <c r="B29" s="23" t="str">
        <f t="shared" si="2"/>
        <v>金</v>
      </c>
      <c r="C29" s="16"/>
      <c r="D29" s="25">
        <f t="shared" si="3"/>
        <v>0</v>
      </c>
      <c r="E29" s="16"/>
      <c r="F29" s="16"/>
      <c r="G29" s="25" t="str">
        <f t="shared" si="4"/>
        <v/>
      </c>
      <c r="H29" s="25" t="str">
        <f t="shared" si="5"/>
        <v/>
      </c>
      <c r="I29" s="27" t="str">
        <f t="shared" ref="I29:J29" si="36">IF(G29="","",IFERROR(G29/C29,""))</f>
        <v/>
      </c>
      <c r="J29" s="27" t="str">
        <f t="shared" si="36"/>
        <v/>
      </c>
      <c r="K29" s="25" t="str">
        <f t="shared" si="7"/>
        <v/>
      </c>
      <c r="L29" s="33" t="str">
        <f t="shared" si="8"/>
        <v>—</v>
      </c>
      <c r="M29" s="21"/>
      <c r="N29" s="21"/>
      <c r="O29" s="21"/>
      <c r="P29" s="21"/>
      <c r="Q29" s="21"/>
      <c r="R29" s="27" t="str">
        <f t="shared" si="9"/>
        <v/>
      </c>
      <c r="S29" s="25" t="str">
        <f t="shared" si="10"/>
        <v/>
      </c>
      <c r="T29" s="34" t="str">
        <f t="shared" si="11"/>
        <v/>
      </c>
      <c r="U29" s="27" t="str">
        <f t="shared" si="12"/>
        <v/>
      </c>
      <c r="V29" s="21"/>
      <c r="W29" s="21"/>
      <c r="X29" s="16"/>
      <c r="Y29" s="24"/>
    </row>
    <row r="30" ht="15.75" customHeight="1">
      <c r="A30" s="14">
        <v>46410.0</v>
      </c>
      <c r="B30" s="15" t="str">
        <f t="shared" si="2"/>
        <v>土</v>
      </c>
      <c r="C30" s="16"/>
      <c r="D30" s="17">
        <f t="shared" si="3"/>
        <v>0</v>
      </c>
      <c r="E30" s="16"/>
      <c r="F30" s="16"/>
      <c r="G30" s="17" t="str">
        <f t="shared" si="4"/>
        <v/>
      </c>
      <c r="H30" s="17" t="str">
        <f t="shared" si="5"/>
        <v/>
      </c>
      <c r="I30" s="18" t="str">
        <f t="shared" ref="I30:J30" si="37">IF(G30="","",IFERROR(G30/C30,""))</f>
        <v/>
      </c>
      <c r="J30" s="18" t="str">
        <f t="shared" si="37"/>
        <v/>
      </c>
      <c r="K30" s="17" t="str">
        <f t="shared" si="7"/>
        <v/>
      </c>
      <c r="L30" s="19" t="str">
        <f t="shared" si="8"/>
        <v>—</v>
      </c>
      <c r="M30" s="21"/>
      <c r="N30" s="21"/>
      <c r="O30" s="21"/>
      <c r="P30" s="21"/>
      <c r="Q30" s="21"/>
      <c r="R30" s="18" t="str">
        <f t="shared" si="9"/>
        <v/>
      </c>
      <c r="S30" s="17" t="str">
        <f t="shared" si="10"/>
        <v/>
      </c>
      <c r="T30" s="22" t="str">
        <f t="shared" si="11"/>
        <v/>
      </c>
      <c r="U30" s="18" t="str">
        <f t="shared" si="12"/>
        <v/>
      </c>
      <c r="V30" s="21"/>
      <c r="W30" s="21"/>
      <c r="X30" s="16"/>
      <c r="Y30" s="24"/>
    </row>
    <row r="31" ht="15.75" customHeight="1">
      <c r="A31" s="32">
        <v>46411.0</v>
      </c>
      <c r="B31" s="23" t="str">
        <f t="shared" si="2"/>
        <v>日</v>
      </c>
      <c r="C31" s="16"/>
      <c r="D31" s="25">
        <f t="shared" si="3"/>
        <v>0</v>
      </c>
      <c r="E31" s="16"/>
      <c r="F31" s="16"/>
      <c r="G31" s="25" t="str">
        <f t="shared" si="4"/>
        <v/>
      </c>
      <c r="H31" s="25" t="str">
        <f t="shared" si="5"/>
        <v/>
      </c>
      <c r="I31" s="27" t="str">
        <f t="shared" ref="I31:J31" si="38">IF(G31="","",IFERROR(G31/C31,""))</f>
        <v/>
      </c>
      <c r="J31" s="27" t="str">
        <f t="shared" si="38"/>
        <v/>
      </c>
      <c r="K31" s="25" t="str">
        <f t="shared" si="7"/>
        <v/>
      </c>
      <c r="L31" s="33" t="str">
        <f t="shared" si="8"/>
        <v>—</v>
      </c>
      <c r="M31" s="21"/>
      <c r="N31" s="21"/>
      <c r="O31" s="21"/>
      <c r="P31" s="21"/>
      <c r="Q31" s="21"/>
      <c r="R31" s="27" t="str">
        <f t="shared" si="9"/>
        <v/>
      </c>
      <c r="S31" s="25" t="str">
        <f t="shared" si="10"/>
        <v/>
      </c>
      <c r="T31" s="34" t="str">
        <f t="shared" si="11"/>
        <v/>
      </c>
      <c r="U31" s="27" t="str">
        <f t="shared" si="12"/>
        <v/>
      </c>
      <c r="V31" s="21"/>
      <c r="W31" s="21"/>
      <c r="X31" s="16"/>
      <c r="Y31" s="24"/>
    </row>
    <row r="32" ht="15.75" customHeight="1">
      <c r="A32" s="14">
        <v>46412.0</v>
      </c>
      <c r="B32" s="15" t="str">
        <f t="shared" si="2"/>
        <v>月</v>
      </c>
      <c r="C32" s="16"/>
      <c r="D32" s="17">
        <f t="shared" si="3"/>
        <v>0</v>
      </c>
      <c r="E32" s="16"/>
      <c r="F32" s="16"/>
      <c r="G32" s="17" t="str">
        <f t="shared" si="4"/>
        <v/>
      </c>
      <c r="H32" s="17" t="str">
        <f t="shared" si="5"/>
        <v/>
      </c>
      <c r="I32" s="18" t="str">
        <f t="shared" ref="I32:J32" si="39">IF(G32="","",IFERROR(G32/C32,""))</f>
        <v/>
      </c>
      <c r="J32" s="18" t="str">
        <f t="shared" si="39"/>
        <v/>
      </c>
      <c r="K32" s="17" t="str">
        <f t="shared" si="7"/>
        <v/>
      </c>
      <c r="L32" s="19" t="str">
        <f t="shared" si="8"/>
        <v>—</v>
      </c>
      <c r="M32" s="21"/>
      <c r="N32" s="21"/>
      <c r="O32" s="21"/>
      <c r="P32" s="21"/>
      <c r="Q32" s="21"/>
      <c r="R32" s="18" t="str">
        <f t="shared" si="9"/>
        <v/>
      </c>
      <c r="S32" s="17" t="str">
        <f t="shared" si="10"/>
        <v/>
      </c>
      <c r="T32" s="22" t="str">
        <f t="shared" si="11"/>
        <v/>
      </c>
      <c r="U32" s="18" t="str">
        <f t="shared" si="12"/>
        <v/>
      </c>
      <c r="V32" s="21"/>
      <c r="W32" s="21"/>
      <c r="X32" s="16"/>
      <c r="Y32" s="24"/>
    </row>
    <row r="33" ht="15.75" customHeight="1">
      <c r="A33" s="32">
        <v>46413.0</v>
      </c>
      <c r="B33" s="23" t="str">
        <f t="shared" si="2"/>
        <v>火</v>
      </c>
      <c r="C33" s="16"/>
      <c r="D33" s="25">
        <f t="shared" si="3"/>
        <v>0</v>
      </c>
      <c r="E33" s="16"/>
      <c r="F33" s="16"/>
      <c r="G33" s="25" t="str">
        <f t="shared" si="4"/>
        <v/>
      </c>
      <c r="H33" s="25" t="str">
        <f t="shared" si="5"/>
        <v/>
      </c>
      <c r="I33" s="27" t="str">
        <f t="shared" ref="I33:J33" si="40">IF(G33="","",IFERROR(G33/C33,""))</f>
        <v/>
      </c>
      <c r="J33" s="27" t="str">
        <f t="shared" si="40"/>
        <v/>
      </c>
      <c r="K33" s="25" t="str">
        <f t="shared" si="7"/>
        <v/>
      </c>
      <c r="L33" s="33" t="str">
        <f t="shared" si="8"/>
        <v>—</v>
      </c>
      <c r="M33" s="21"/>
      <c r="N33" s="21"/>
      <c r="O33" s="21"/>
      <c r="P33" s="21"/>
      <c r="Q33" s="21"/>
      <c r="R33" s="27" t="str">
        <f t="shared" si="9"/>
        <v/>
      </c>
      <c r="S33" s="25" t="str">
        <f t="shared" si="10"/>
        <v/>
      </c>
      <c r="T33" s="34" t="str">
        <f t="shared" si="11"/>
        <v/>
      </c>
      <c r="U33" s="27" t="str">
        <f t="shared" si="12"/>
        <v/>
      </c>
      <c r="V33" s="21"/>
      <c r="W33" s="21"/>
      <c r="X33" s="16"/>
      <c r="Y33" s="24"/>
    </row>
    <row r="34" ht="15.75" customHeight="1">
      <c r="A34" s="14">
        <v>46414.0</v>
      </c>
      <c r="B34" s="15" t="str">
        <f t="shared" si="2"/>
        <v>水</v>
      </c>
      <c r="C34" s="16"/>
      <c r="D34" s="17">
        <f t="shared" si="3"/>
        <v>0</v>
      </c>
      <c r="E34" s="16"/>
      <c r="F34" s="16"/>
      <c r="G34" s="17" t="str">
        <f t="shared" si="4"/>
        <v/>
      </c>
      <c r="H34" s="17" t="str">
        <f t="shared" si="5"/>
        <v/>
      </c>
      <c r="I34" s="18" t="str">
        <f t="shared" ref="I34:J34" si="41">IF(G34="","",IFERROR(G34/C34,""))</f>
        <v/>
      </c>
      <c r="J34" s="18" t="str">
        <f t="shared" si="41"/>
        <v/>
      </c>
      <c r="K34" s="17" t="str">
        <f t="shared" si="7"/>
        <v/>
      </c>
      <c r="L34" s="19" t="str">
        <f t="shared" si="8"/>
        <v>—</v>
      </c>
      <c r="M34" s="21"/>
      <c r="N34" s="21"/>
      <c r="O34" s="21"/>
      <c r="P34" s="21"/>
      <c r="Q34" s="21"/>
      <c r="R34" s="18" t="str">
        <f t="shared" si="9"/>
        <v/>
      </c>
      <c r="S34" s="17" t="str">
        <f t="shared" si="10"/>
        <v/>
      </c>
      <c r="T34" s="22" t="str">
        <f t="shared" si="11"/>
        <v/>
      </c>
      <c r="U34" s="18" t="str">
        <f t="shared" si="12"/>
        <v/>
      </c>
      <c r="V34" s="21"/>
      <c r="W34" s="21"/>
      <c r="X34" s="16"/>
      <c r="Y34" s="24"/>
    </row>
    <row r="35" ht="15.75" customHeight="1">
      <c r="A35" s="32">
        <v>46415.0</v>
      </c>
      <c r="B35" s="23" t="str">
        <f t="shared" si="2"/>
        <v>木</v>
      </c>
      <c r="C35" s="16"/>
      <c r="D35" s="25">
        <f t="shared" si="3"/>
        <v>0</v>
      </c>
      <c r="E35" s="16"/>
      <c r="F35" s="16"/>
      <c r="G35" s="25" t="str">
        <f t="shared" si="4"/>
        <v/>
      </c>
      <c r="H35" s="25" t="str">
        <f t="shared" si="5"/>
        <v/>
      </c>
      <c r="I35" s="27" t="str">
        <f t="shared" ref="I35:J35" si="42">IF(G35="","",IFERROR(G35/C35,""))</f>
        <v/>
      </c>
      <c r="J35" s="27" t="str">
        <f t="shared" si="42"/>
        <v/>
      </c>
      <c r="K35" s="25" t="str">
        <f t="shared" si="7"/>
        <v/>
      </c>
      <c r="L35" s="33" t="str">
        <f t="shared" si="8"/>
        <v>—</v>
      </c>
      <c r="M35" s="21"/>
      <c r="N35" s="21"/>
      <c r="O35" s="21"/>
      <c r="P35" s="21"/>
      <c r="Q35" s="21"/>
      <c r="R35" s="27" t="str">
        <f t="shared" si="9"/>
        <v/>
      </c>
      <c r="S35" s="25" t="str">
        <f t="shared" si="10"/>
        <v/>
      </c>
      <c r="T35" s="34" t="str">
        <f t="shared" si="11"/>
        <v/>
      </c>
      <c r="U35" s="27" t="str">
        <f t="shared" si="12"/>
        <v/>
      </c>
      <c r="V35" s="21"/>
      <c r="W35" s="21"/>
      <c r="X35" s="16"/>
      <c r="Y35" s="24"/>
    </row>
    <row r="36" ht="15.75" customHeight="1">
      <c r="A36" s="14">
        <v>46416.0</v>
      </c>
      <c r="B36" s="15" t="str">
        <f t="shared" si="2"/>
        <v>金</v>
      </c>
      <c r="C36" s="16"/>
      <c r="D36" s="17">
        <f t="shared" si="3"/>
        <v>0</v>
      </c>
      <c r="E36" s="16"/>
      <c r="F36" s="16"/>
      <c r="G36" s="17" t="str">
        <f t="shared" si="4"/>
        <v/>
      </c>
      <c r="H36" s="17" t="str">
        <f t="shared" si="5"/>
        <v/>
      </c>
      <c r="I36" s="18" t="str">
        <f t="shared" ref="I36:J36" si="43">IF(G36="","",IFERROR(G36/C36,""))</f>
        <v/>
      </c>
      <c r="J36" s="18" t="str">
        <f t="shared" si="43"/>
        <v/>
      </c>
      <c r="K36" s="17" t="str">
        <f t="shared" si="7"/>
        <v/>
      </c>
      <c r="L36" s="19" t="str">
        <f t="shared" si="8"/>
        <v>—</v>
      </c>
      <c r="M36" s="21"/>
      <c r="N36" s="21"/>
      <c r="O36" s="21"/>
      <c r="P36" s="21"/>
      <c r="Q36" s="21"/>
      <c r="R36" s="18" t="str">
        <f t="shared" si="9"/>
        <v/>
      </c>
      <c r="S36" s="17" t="str">
        <f t="shared" si="10"/>
        <v/>
      </c>
      <c r="T36" s="22" t="str">
        <f t="shared" si="11"/>
        <v/>
      </c>
      <c r="U36" s="18" t="str">
        <f t="shared" si="12"/>
        <v/>
      </c>
      <c r="V36" s="21"/>
      <c r="W36" s="21"/>
      <c r="X36" s="16"/>
      <c r="Y36" s="24"/>
    </row>
    <row r="37" ht="15.75" customHeight="1">
      <c r="A37" s="32">
        <v>46417.0</v>
      </c>
      <c r="B37" s="23" t="str">
        <f t="shared" si="2"/>
        <v>土</v>
      </c>
      <c r="C37" s="16"/>
      <c r="D37" s="25">
        <f t="shared" si="3"/>
        <v>0</v>
      </c>
      <c r="E37" s="16"/>
      <c r="F37" s="16"/>
      <c r="G37" s="25" t="str">
        <f t="shared" si="4"/>
        <v/>
      </c>
      <c r="H37" s="25" t="str">
        <f t="shared" si="5"/>
        <v/>
      </c>
      <c r="I37" s="27" t="str">
        <f t="shared" ref="I37:J37" si="44">IF(G37="","",IFERROR(G37/C37,""))</f>
        <v/>
      </c>
      <c r="J37" s="27" t="str">
        <f t="shared" si="44"/>
        <v/>
      </c>
      <c r="K37" s="25" t="str">
        <f t="shared" si="7"/>
        <v/>
      </c>
      <c r="L37" s="33" t="str">
        <f t="shared" si="8"/>
        <v>—</v>
      </c>
      <c r="M37" s="21"/>
      <c r="N37" s="21"/>
      <c r="O37" s="21"/>
      <c r="P37" s="21"/>
      <c r="Q37" s="21"/>
      <c r="R37" s="27" t="str">
        <f t="shared" si="9"/>
        <v/>
      </c>
      <c r="S37" s="25" t="str">
        <f t="shared" si="10"/>
        <v/>
      </c>
      <c r="T37" s="34" t="str">
        <f t="shared" si="11"/>
        <v/>
      </c>
      <c r="U37" s="27" t="str">
        <f t="shared" si="12"/>
        <v/>
      </c>
      <c r="V37" s="21"/>
      <c r="W37" s="21"/>
      <c r="X37" s="16"/>
      <c r="Y37" s="24"/>
    </row>
    <row r="38" ht="15.75" customHeight="1">
      <c r="A38" s="14">
        <v>46418.0</v>
      </c>
      <c r="B38" s="15" t="str">
        <f t="shared" si="2"/>
        <v>日</v>
      </c>
      <c r="C38" s="16"/>
      <c r="D38" s="17">
        <f t="shared" si="3"/>
        <v>0</v>
      </c>
      <c r="E38" s="16"/>
      <c r="F38" s="16"/>
      <c r="G38" s="17" t="str">
        <f t="shared" si="4"/>
        <v/>
      </c>
      <c r="H38" s="17" t="str">
        <f t="shared" si="5"/>
        <v/>
      </c>
      <c r="I38" s="18" t="str">
        <f t="shared" ref="I38:J38" si="45">IF(G38="","",IFERROR(G38/C38,""))</f>
        <v/>
      </c>
      <c r="J38" s="18" t="str">
        <f t="shared" si="45"/>
        <v/>
      </c>
      <c r="K38" s="17" t="str">
        <f t="shared" si="7"/>
        <v/>
      </c>
      <c r="L38" s="19" t="str">
        <f t="shared" si="8"/>
        <v>—</v>
      </c>
      <c r="M38" s="21"/>
      <c r="N38" s="21"/>
      <c r="O38" s="21"/>
      <c r="P38" s="21"/>
      <c r="Q38" s="21"/>
      <c r="R38" s="18" t="str">
        <f t="shared" si="9"/>
        <v/>
      </c>
      <c r="S38" s="17" t="str">
        <f t="shared" si="10"/>
        <v/>
      </c>
      <c r="T38" s="22" t="str">
        <f t="shared" si="11"/>
        <v/>
      </c>
      <c r="U38" s="18" t="str">
        <f t="shared" si="12"/>
        <v/>
      </c>
      <c r="V38" s="21"/>
      <c r="W38" s="21"/>
      <c r="X38" s="16"/>
      <c r="Y38" s="24"/>
    </row>
    <row r="39" ht="15.75" customHeight="1">
      <c r="A39" s="45" t="s">
        <v>97</v>
      </c>
      <c r="B39" s="35"/>
      <c r="C39" s="36">
        <f>SUM(C8:C38)</f>
        <v>0</v>
      </c>
      <c r="D39" s="36">
        <f>C39</f>
        <v>0</v>
      </c>
      <c r="E39" s="36">
        <f t="shared" ref="E39:G39" si="46">SUM(E8:E38)</f>
        <v>0</v>
      </c>
      <c r="F39" s="36">
        <f t="shared" si="46"/>
        <v>0</v>
      </c>
      <c r="G39" s="36">
        <f t="shared" si="46"/>
        <v>0</v>
      </c>
      <c r="H39" s="36">
        <f>G39</f>
        <v>0</v>
      </c>
      <c r="I39" s="37" t="str">
        <f>IFERROR(G39/C39,"")</f>
        <v/>
      </c>
      <c r="J39" s="37" t="str">
        <f>IFERROR(G39/C39,"")</f>
        <v/>
      </c>
      <c r="K39" s="36">
        <f>G39-C39</f>
        <v>0</v>
      </c>
      <c r="L39" s="46"/>
      <c r="M39" s="38">
        <f t="shared" ref="M39:Q39" si="47">SUM(M8:M38)</f>
        <v>0</v>
      </c>
      <c r="N39" s="38">
        <f t="shared" si="47"/>
        <v>0</v>
      </c>
      <c r="O39" s="38">
        <f t="shared" si="47"/>
        <v>0</v>
      </c>
      <c r="P39" s="38">
        <f t="shared" si="47"/>
        <v>0</v>
      </c>
      <c r="Q39" s="38">
        <f t="shared" si="47"/>
        <v>0</v>
      </c>
      <c r="R39" s="37" t="str">
        <f t="shared" si="9"/>
        <v/>
      </c>
      <c r="S39" s="36" t="str">
        <f t="shared" si="10"/>
        <v/>
      </c>
      <c r="T39" s="47" t="str">
        <f t="shared" si="11"/>
        <v/>
      </c>
      <c r="U39" s="37" t="str">
        <f t="shared" si="12"/>
        <v/>
      </c>
      <c r="V39" s="38">
        <f>SUM(V8:V38)</f>
        <v>0</v>
      </c>
      <c r="W39" s="38" t="str">
        <f>IFERROR(LOOKUP(9.99E+307,W8:W38),"")</f>
        <v/>
      </c>
      <c r="X39" s="36">
        <f>SUM(X8:X38)</f>
        <v>0</v>
      </c>
      <c r="Y39" s="48" t="s">
        <v>107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137</v>
      </c>
      <c r="H3" s="6"/>
      <c r="I3" s="5" t="s">
        <v>8</v>
      </c>
      <c r="J3" s="6"/>
      <c r="K3" s="5" t="s">
        <v>9</v>
      </c>
      <c r="L3" s="6"/>
    </row>
    <row r="4">
      <c r="A4" s="7">
        <f>IF('設定'!$B$18="",SUM(C8:C35),'設定'!$B$18)</f>
        <v>19000000</v>
      </c>
      <c r="B4" s="6"/>
      <c r="C4" s="8">
        <f>SUM(G8:G35)</f>
        <v>0</v>
      </c>
      <c r="D4" s="6"/>
      <c r="E4" s="9">
        <f>IFERROR(C4/A4,0)</f>
        <v>0</v>
      </c>
      <c r="F4" s="6"/>
      <c r="G4" s="10">
        <f>COUNTIF(G8:G35,"&gt;0")</f>
        <v>0</v>
      </c>
      <c r="H4" s="6"/>
      <c r="I4" s="8">
        <f>A4-C4</f>
        <v>19000000</v>
      </c>
      <c r="J4" s="6"/>
      <c r="K4" s="8">
        <f>IF((28-G4)&gt;0,(A4-C4)/(28-G4),0)</f>
        <v>678571.4286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SUM(C8:C35)</f>
        <v>0</v>
      </c>
      <c r="B6" s="6"/>
      <c r="C6" s="8">
        <f>IFERROR(C4/G4*28,0)</f>
        <v>0</v>
      </c>
      <c r="D6" s="6"/>
      <c r="E6" s="9">
        <f>IFERROR(M36/O36,0)</f>
        <v>0</v>
      </c>
      <c r="F6" s="6"/>
      <c r="G6" s="8">
        <f>IFERROR(G36/M36,0)</f>
        <v>0</v>
      </c>
      <c r="H6" s="6"/>
      <c r="I6" s="11">
        <f>IFERROR(N36/M36,0)</f>
        <v>0</v>
      </c>
      <c r="J6" s="6"/>
      <c r="K6" s="9">
        <f>IFERROR(P36/O36,0)</f>
        <v>0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46419.0</v>
      </c>
      <c r="B8" s="15" t="str">
        <f t="shared" ref="B8:B35" si="2">MID("日月火水木金土",WEEKDAY(A8),1)</f>
        <v>月</v>
      </c>
      <c r="C8" s="16"/>
      <c r="D8" s="17">
        <f t="shared" ref="D8:D35" si="3">SUM($C$8:C8)</f>
        <v>0</v>
      </c>
      <c r="E8" s="16"/>
      <c r="F8" s="16"/>
      <c r="G8" s="17" t="str">
        <f t="shared" ref="G8:G35" si="4">IF(COUNT(E8:F8)=0,"",SUM(E8:F8))</f>
        <v/>
      </c>
      <c r="H8" s="17" t="str">
        <f t="shared" ref="H8:H35" si="5">IF(G8="","",SUM($G$8:G8))</f>
        <v/>
      </c>
      <c r="I8" s="18" t="str">
        <f t="shared" ref="I8:J8" si="1">IF(G8="","",IFERROR(G8/C8,""))</f>
        <v/>
      </c>
      <c r="J8" s="18" t="str">
        <f t="shared" si="1"/>
        <v/>
      </c>
      <c r="K8" s="17" t="str">
        <f t="shared" ref="K8:K35" si="7">IF(H8="","",IF(D8=0,"",H8-D8))</f>
        <v/>
      </c>
      <c r="L8" s="19" t="str">
        <f t="shared" ref="L8:L35" si="8">IF(G8="","—",IF(D8=0,"予算未入力",IF(H8&gt;=D8,"◎ ペース内","▲ 遅れ")))</f>
        <v>—</v>
      </c>
      <c r="M8" s="21"/>
      <c r="N8" s="21"/>
      <c r="O8" s="21"/>
      <c r="P8" s="21"/>
      <c r="Q8" s="21"/>
      <c r="R8" s="18" t="str">
        <f t="shared" ref="R8:R36" si="9">IFERROR(M8/O8,"")</f>
        <v/>
      </c>
      <c r="S8" s="17" t="str">
        <f t="shared" ref="S8:S36" si="10">IFERROR(G8/M8,"")</f>
        <v/>
      </c>
      <c r="T8" s="22" t="str">
        <f t="shared" ref="T8:T36" si="11">IFERROR(N8/M8,"")</f>
        <v/>
      </c>
      <c r="U8" s="18" t="str">
        <f t="shared" ref="U8:U36" si="12">IFERROR(P8/O8,"")</f>
        <v/>
      </c>
      <c r="V8" s="21"/>
      <c r="W8" s="21"/>
      <c r="X8" s="16"/>
      <c r="Y8" s="24"/>
      <c r="AA8" s="26" t="s">
        <v>48</v>
      </c>
      <c r="AB8" s="28">
        <f t="shared" ref="AB8:AB14" si="13">IFERROR(AVERAGEIFS($G$8:$G$35,$B$8:$B$35,AA8,$G$8:$G$35,"&gt;0"),0)</f>
        <v>0</v>
      </c>
      <c r="AC8" s="30">
        <f t="shared" ref="AC8:AC14" si="14">COUNTIFS($B$8:$B$35,AA8,$G$8:$G$35,"&gt;0")</f>
        <v>0</v>
      </c>
      <c r="AD8" s="31">
        <f t="shared" ref="AD8:AD14" si="15">IFERROR(SUMIF($B$8:$B$35,AA8,$M$8:$M$35)/SUMIF($B$8:$B$35,AA8,$O$8:$O$35),0)</f>
        <v>0</v>
      </c>
      <c r="AE8" s="28">
        <f t="shared" ref="AE8:AE14" si="16">IFERROR(SUMIF($B$8:$B$35,AA8,$G$8:$G$35)/SUMIF($B$8:$B$35,AA8,$M$8:$M$35),0)</f>
        <v>0</v>
      </c>
    </row>
    <row r="9">
      <c r="A9" s="32">
        <v>46420.0</v>
      </c>
      <c r="B9" s="23" t="str">
        <f t="shared" si="2"/>
        <v>火</v>
      </c>
      <c r="C9" s="16"/>
      <c r="D9" s="25">
        <f t="shared" si="3"/>
        <v>0</v>
      </c>
      <c r="E9" s="16"/>
      <c r="F9" s="16"/>
      <c r="G9" s="25" t="str">
        <f t="shared" si="4"/>
        <v/>
      </c>
      <c r="H9" s="25" t="str">
        <f t="shared" si="5"/>
        <v/>
      </c>
      <c r="I9" s="27" t="str">
        <f t="shared" ref="I9:J9" si="6">IF(G9="","",IFERROR(G9/C9,""))</f>
        <v/>
      </c>
      <c r="J9" s="27" t="str">
        <f t="shared" si="6"/>
        <v/>
      </c>
      <c r="K9" s="25" t="str">
        <f t="shared" si="7"/>
        <v/>
      </c>
      <c r="L9" s="33" t="str">
        <f t="shared" si="8"/>
        <v>—</v>
      </c>
      <c r="M9" s="21"/>
      <c r="N9" s="21"/>
      <c r="O9" s="21"/>
      <c r="P9" s="21"/>
      <c r="Q9" s="21"/>
      <c r="R9" s="27" t="str">
        <f t="shared" si="9"/>
        <v/>
      </c>
      <c r="S9" s="25" t="str">
        <f t="shared" si="10"/>
        <v/>
      </c>
      <c r="T9" s="34" t="str">
        <f t="shared" si="11"/>
        <v/>
      </c>
      <c r="U9" s="27" t="str">
        <f t="shared" si="12"/>
        <v/>
      </c>
      <c r="V9" s="21"/>
      <c r="W9" s="21"/>
      <c r="X9" s="16"/>
      <c r="Y9" s="24"/>
      <c r="AA9" s="26" t="s">
        <v>58</v>
      </c>
      <c r="AB9" s="28">
        <f t="shared" si="13"/>
        <v>0</v>
      </c>
      <c r="AC9" s="30">
        <f t="shared" si="14"/>
        <v>0</v>
      </c>
      <c r="AD9" s="31">
        <f t="shared" si="15"/>
        <v>0</v>
      </c>
      <c r="AE9" s="28">
        <f t="shared" si="16"/>
        <v>0</v>
      </c>
    </row>
    <row r="10">
      <c r="A10" s="14">
        <v>46421.0</v>
      </c>
      <c r="B10" s="15" t="str">
        <f t="shared" si="2"/>
        <v>水</v>
      </c>
      <c r="C10" s="16"/>
      <c r="D10" s="17">
        <f t="shared" si="3"/>
        <v>0</v>
      </c>
      <c r="E10" s="16"/>
      <c r="F10" s="16"/>
      <c r="G10" s="17" t="str">
        <f t="shared" si="4"/>
        <v/>
      </c>
      <c r="H10" s="17" t="str">
        <f t="shared" si="5"/>
        <v/>
      </c>
      <c r="I10" s="18" t="str">
        <f t="shared" ref="I10:J10" si="17">IF(G10="","",IFERROR(G10/C10,""))</f>
        <v/>
      </c>
      <c r="J10" s="18" t="str">
        <f t="shared" si="17"/>
        <v/>
      </c>
      <c r="K10" s="17" t="str">
        <f t="shared" si="7"/>
        <v/>
      </c>
      <c r="L10" s="19" t="str">
        <f t="shared" si="8"/>
        <v>—</v>
      </c>
      <c r="M10" s="21"/>
      <c r="N10" s="21"/>
      <c r="O10" s="21"/>
      <c r="P10" s="21"/>
      <c r="Q10" s="21"/>
      <c r="R10" s="18" t="str">
        <f t="shared" si="9"/>
        <v/>
      </c>
      <c r="S10" s="17" t="str">
        <f t="shared" si="10"/>
        <v/>
      </c>
      <c r="T10" s="22" t="str">
        <f t="shared" si="11"/>
        <v/>
      </c>
      <c r="U10" s="18" t="str">
        <f t="shared" si="12"/>
        <v/>
      </c>
      <c r="V10" s="21"/>
      <c r="W10" s="21"/>
      <c r="X10" s="16"/>
      <c r="Y10" s="24"/>
      <c r="AA10" s="26" t="s">
        <v>61</v>
      </c>
      <c r="AB10" s="28">
        <f t="shared" si="13"/>
        <v>0</v>
      </c>
      <c r="AC10" s="30">
        <f t="shared" si="14"/>
        <v>0</v>
      </c>
      <c r="AD10" s="31">
        <f t="shared" si="15"/>
        <v>0</v>
      </c>
      <c r="AE10" s="28">
        <f t="shared" si="16"/>
        <v>0</v>
      </c>
    </row>
    <row r="11">
      <c r="A11" s="32">
        <v>46422.0</v>
      </c>
      <c r="B11" s="23" t="str">
        <f t="shared" si="2"/>
        <v>木</v>
      </c>
      <c r="C11" s="16"/>
      <c r="D11" s="25">
        <f t="shared" si="3"/>
        <v>0</v>
      </c>
      <c r="E11" s="16"/>
      <c r="F11" s="16"/>
      <c r="G11" s="25" t="str">
        <f t="shared" si="4"/>
        <v/>
      </c>
      <c r="H11" s="25" t="str">
        <f t="shared" si="5"/>
        <v/>
      </c>
      <c r="I11" s="27" t="str">
        <f t="shared" ref="I11:J11" si="18">IF(G11="","",IFERROR(G11/C11,""))</f>
        <v/>
      </c>
      <c r="J11" s="27" t="str">
        <f t="shared" si="18"/>
        <v/>
      </c>
      <c r="K11" s="25" t="str">
        <f t="shared" si="7"/>
        <v/>
      </c>
      <c r="L11" s="33" t="str">
        <f t="shared" si="8"/>
        <v>—</v>
      </c>
      <c r="M11" s="21"/>
      <c r="N11" s="21"/>
      <c r="O11" s="21"/>
      <c r="P11" s="21"/>
      <c r="Q11" s="21"/>
      <c r="R11" s="27" t="str">
        <f t="shared" si="9"/>
        <v/>
      </c>
      <c r="S11" s="25" t="str">
        <f t="shared" si="10"/>
        <v/>
      </c>
      <c r="T11" s="34" t="str">
        <f t="shared" si="11"/>
        <v/>
      </c>
      <c r="U11" s="27" t="str">
        <f t="shared" si="12"/>
        <v/>
      </c>
      <c r="V11" s="21"/>
      <c r="W11" s="21"/>
      <c r="X11" s="16"/>
      <c r="Y11" s="24"/>
      <c r="AA11" s="26" t="s">
        <v>64</v>
      </c>
      <c r="AB11" s="28">
        <f t="shared" si="13"/>
        <v>0</v>
      </c>
      <c r="AC11" s="30">
        <f t="shared" si="14"/>
        <v>0</v>
      </c>
      <c r="AD11" s="31">
        <f t="shared" si="15"/>
        <v>0</v>
      </c>
      <c r="AE11" s="28">
        <f t="shared" si="16"/>
        <v>0</v>
      </c>
    </row>
    <row r="12">
      <c r="A12" s="14">
        <v>46423.0</v>
      </c>
      <c r="B12" s="15" t="str">
        <f t="shared" si="2"/>
        <v>金</v>
      </c>
      <c r="C12" s="16"/>
      <c r="D12" s="17">
        <f t="shared" si="3"/>
        <v>0</v>
      </c>
      <c r="E12" s="16"/>
      <c r="F12" s="16"/>
      <c r="G12" s="17" t="str">
        <f t="shared" si="4"/>
        <v/>
      </c>
      <c r="H12" s="17" t="str">
        <f t="shared" si="5"/>
        <v/>
      </c>
      <c r="I12" s="18" t="str">
        <f t="shared" ref="I12:J12" si="19">IF(G12="","",IFERROR(G12/C12,""))</f>
        <v/>
      </c>
      <c r="J12" s="18" t="str">
        <f t="shared" si="19"/>
        <v/>
      </c>
      <c r="K12" s="17" t="str">
        <f t="shared" si="7"/>
        <v/>
      </c>
      <c r="L12" s="19" t="str">
        <f t="shared" si="8"/>
        <v>—</v>
      </c>
      <c r="M12" s="21"/>
      <c r="N12" s="21"/>
      <c r="O12" s="21"/>
      <c r="P12" s="21"/>
      <c r="Q12" s="21"/>
      <c r="R12" s="18" t="str">
        <f t="shared" si="9"/>
        <v/>
      </c>
      <c r="S12" s="17" t="str">
        <f t="shared" si="10"/>
        <v/>
      </c>
      <c r="T12" s="22" t="str">
        <f t="shared" si="11"/>
        <v/>
      </c>
      <c r="U12" s="18" t="str">
        <f t="shared" si="12"/>
        <v/>
      </c>
      <c r="V12" s="21"/>
      <c r="W12" s="21"/>
      <c r="X12" s="16"/>
      <c r="Y12" s="24"/>
      <c r="AA12" s="26" t="s">
        <v>67</v>
      </c>
      <c r="AB12" s="28">
        <f t="shared" si="13"/>
        <v>0</v>
      </c>
      <c r="AC12" s="30">
        <f t="shared" si="14"/>
        <v>0</v>
      </c>
      <c r="AD12" s="31">
        <f t="shared" si="15"/>
        <v>0</v>
      </c>
      <c r="AE12" s="28">
        <f t="shared" si="16"/>
        <v>0</v>
      </c>
    </row>
    <row r="13">
      <c r="A13" s="32">
        <v>46424.0</v>
      </c>
      <c r="B13" s="23" t="str">
        <f t="shared" si="2"/>
        <v>土</v>
      </c>
      <c r="C13" s="16"/>
      <c r="D13" s="25">
        <f t="shared" si="3"/>
        <v>0</v>
      </c>
      <c r="E13" s="16"/>
      <c r="F13" s="16"/>
      <c r="G13" s="25" t="str">
        <f t="shared" si="4"/>
        <v/>
      </c>
      <c r="H13" s="25" t="str">
        <f t="shared" si="5"/>
        <v/>
      </c>
      <c r="I13" s="27" t="str">
        <f t="shared" ref="I13:J13" si="20">IF(G13="","",IFERROR(G13/C13,""))</f>
        <v/>
      </c>
      <c r="J13" s="27" t="str">
        <f t="shared" si="20"/>
        <v/>
      </c>
      <c r="K13" s="25" t="str">
        <f t="shared" si="7"/>
        <v/>
      </c>
      <c r="L13" s="33" t="str">
        <f t="shared" si="8"/>
        <v>—</v>
      </c>
      <c r="M13" s="21"/>
      <c r="N13" s="21"/>
      <c r="O13" s="21"/>
      <c r="P13" s="21"/>
      <c r="Q13" s="21"/>
      <c r="R13" s="27" t="str">
        <f t="shared" si="9"/>
        <v/>
      </c>
      <c r="S13" s="25" t="str">
        <f t="shared" si="10"/>
        <v/>
      </c>
      <c r="T13" s="34" t="str">
        <f t="shared" si="11"/>
        <v/>
      </c>
      <c r="U13" s="27" t="str">
        <f t="shared" si="12"/>
        <v/>
      </c>
      <c r="V13" s="21"/>
      <c r="W13" s="21"/>
      <c r="X13" s="16"/>
      <c r="Y13" s="24"/>
      <c r="AA13" s="26" t="s">
        <v>69</v>
      </c>
      <c r="AB13" s="28">
        <f t="shared" si="13"/>
        <v>0</v>
      </c>
      <c r="AC13" s="30">
        <f t="shared" si="14"/>
        <v>0</v>
      </c>
      <c r="AD13" s="31">
        <f t="shared" si="15"/>
        <v>0</v>
      </c>
      <c r="AE13" s="28">
        <f t="shared" si="16"/>
        <v>0</v>
      </c>
    </row>
    <row r="14">
      <c r="A14" s="14">
        <v>46425.0</v>
      </c>
      <c r="B14" s="15" t="str">
        <f t="shared" si="2"/>
        <v>日</v>
      </c>
      <c r="C14" s="16"/>
      <c r="D14" s="17">
        <f t="shared" si="3"/>
        <v>0</v>
      </c>
      <c r="E14" s="16"/>
      <c r="F14" s="16"/>
      <c r="G14" s="17" t="str">
        <f t="shared" si="4"/>
        <v/>
      </c>
      <c r="H14" s="17" t="str">
        <f t="shared" si="5"/>
        <v/>
      </c>
      <c r="I14" s="18" t="str">
        <f t="shared" ref="I14:J14" si="21">IF(G14="","",IFERROR(G14/C14,""))</f>
        <v/>
      </c>
      <c r="J14" s="18" t="str">
        <f t="shared" si="21"/>
        <v/>
      </c>
      <c r="K14" s="17" t="str">
        <f t="shared" si="7"/>
        <v/>
      </c>
      <c r="L14" s="19" t="str">
        <f t="shared" si="8"/>
        <v>—</v>
      </c>
      <c r="M14" s="21"/>
      <c r="N14" s="21"/>
      <c r="O14" s="21"/>
      <c r="P14" s="21"/>
      <c r="Q14" s="21"/>
      <c r="R14" s="18" t="str">
        <f t="shared" si="9"/>
        <v/>
      </c>
      <c r="S14" s="17" t="str">
        <f t="shared" si="10"/>
        <v/>
      </c>
      <c r="T14" s="22" t="str">
        <f t="shared" si="11"/>
        <v/>
      </c>
      <c r="U14" s="18" t="str">
        <f t="shared" si="12"/>
        <v/>
      </c>
      <c r="V14" s="21"/>
      <c r="W14" s="21"/>
      <c r="X14" s="16"/>
      <c r="Y14" s="24"/>
      <c r="AA14" s="26" t="s">
        <v>71</v>
      </c>
      <c r="AB14" s="28">
        <f t="shared" si="13"/>
        <v>0</v>
      </c>
      <c r="AC14" s="30">
        <f t="shared" si="14"/>
        <v>0</v>
      </c>
      <c r="AD14" s="31">
        <f t="shared" si="15"/>
        <v>0</v>
      </c>
      <c r="AE14" s="28">
        <f t="shared" si="16"/>
        <v>0</v>
      </c>
    </row>
    <row r="15">
      <c r="A15" s="32">
        <v>46426.0</v>
      </c>
      <c r="B15" s="23" t="str">
        <f t="shared" si="2"/>
        <v>月</v>
      </c>
      <c r="C15" s="16"/>
      <c r="D15" s="25">
        <f t="shared" si="3"/>
        <v>0</v>
      </c>
      <c r="E15" s="16"/>
      <c r="F15" s="16"/>
      <c r="G15" s="25" t="str">
        <f t="shared" si="4"/>
        <v/>
      </c>
      <c r="H15" s="25" t="str">
        <f t="shared" si="5"/>
        <v/>
      </c>
      <c r="I15" s="27" t="str">
        <f t="shared" ref="I15:J15" si="22">IF(G15="","",IFERROR(G15/C15,""))</f>
        <v/>
      </c>
      <c r="J15" s="27" t="str">
        <f t="shared" si="22"/>
        <v/>
      </c>
      <c r="K15" s="25" t="str">
        <f t="shared" si="7"/>
        <v/>
      </c>
      <c r="L15" s="33" t="str">
        <f t="shared" si="8"/>
        <v>—</v>
      </c>
      <c r="M15" s="21"/>
      <c r="N15" s="21"/>
      <c r="O15" s="21"/>
      <c r="P15" s="21"/>
      <c r="Q15" s="21"/>
      <c r="R15" s="27" t="str">
        <f t="shared" si="9"/>
        <v/>
      </c>
      <c r="S15" s="25" t="str">
        <f t="shared" si="10"/>
        <v/>
      </c>
      <c r="T15" s="34" t="str">
        <f t="shared" si="11"/>
        <v/>
      </c>
      <c r="U15" s="27" t="str">
        <f t="shared" si="12"/>
        <v/>
      </c>
      <c r="V15" s="21"/>
      <c r="W15" s="21"/>
      <c r="X15" s="16"/>
      <c r="Y15" s="24"/>
    </row>
    <row r="16">
      <c r="A16" s="14">
        <v>46427.0</v>
      </c>
      <c r="B16" s="15" t="str">
        <f t="shared" si="2"/>
        <v>火</v>
      </c>
      <c r="C16" s="16"/>
      <c r="D16" s="17">
        <f t="shared" si="3"/>
        <v>0</v>
      </c>
      <c r="E16" s="16"/>
      <c r="F16" s="16"/>
      <c r="G16" s="17" t="str">
        <f t="shared" si="4"/>
        <v/>
      </c>
      <c r="H16" s="17" t="str">
        <f t="shared" si="5"/>
        <v/>
      </c>
      <c r="I16" s="18" t="str">
        <f t="shared" ref="I16:J16" si="23">IF(G16="","",IFERROR(G16/C16,""))</f>
        <v/>
      </c>
      <c r="J16" s="18" t="str">
        <f t="shared" si="23"/>
        <v/>
      </c>
      <c r="K16" s="17" t="str">
        <f t="shared" si="7"/>
        <v/>
      </c>
      <c r="L16" s="19" t="str">
        <f t="shared" si="8"/>
        <v>—</v>
      </c>
      <c r="M16" s="21"/>
      <c r="N16" s="21"/>
      <c r="O16" s="21"/>
      <c r="P16" s="21"/>
      <c r="Q16" s="21"/>
      <c r="R16" s="18" t="str">
        <f t="shared" si="9"/>
        <v/>
      </c>
      <c r="S16" s="17" t="str">
        <f t="shared" si="10"/>
        <v/>
      </c>
      <c r="T16" s="22" t="str">
        <f t="shared" si="11"/>
        <v/>
      </c>
      <c r="U16" s="18" t="str">
        <f t="shared" si="12"/>
        <v/>
      </c>
      <c r="V16" s="21"/>
      <c r="W16" s="21"/>
      <c r="X16" s="16"/>
      <c r="Y16" s="24"/>
      <c r="AA16" s="39" t="s">
        <v>75</v>
      </c>
    </row>
    <row r="17">
      <c r="A17" s="32">
        <v>46428.0</v>
      </c>
      <c r="B17" s="23" t="str">
        <f t="shared" si="2"/>
        <v>水</v>
      </c>
      <c r="C17" s="16"/>
      <c r="D17" s="25">
        <f t="shared" si="3"/>
        <v>0</v>
      </c>
      <c r="E17" s="16"/>
      <c r="F17" s="16"/>
      <c r="G17" s="25" t="str">
        <f t="shared" si="4"/>
        <v/>
      </c>
      <c r="H17" s="25" t="str">
        <f t="shared" si="5"/>
        <v/>
      </c>
      <c r="I17" s="27" t="str">
        <f t="shared" ref="I17:J17" si="24">IF(G17="","",IFERROR(G17/C17,""))</f>
        <v/>
      </c>
      <c r="J17" s="27" t="str">
        <f t="shared" si="24"/>
        <v/>
      </c>
      <c r="K17" s="25" t="str">
        <f t="shared" si="7"/>
        <v/>
      </c>
      <c r="L17" s="33" t="str">
        <f t="shared" si="8"/>
        <v>—</v>
      </c>
      <c r="M17" s="21"/>
      <c r="N17" s="21"/>
      <c r="O17" s="21"/>
      <c r="P17" s="21"/>
      <c r="Q17" s="21"/>
      <c r="R17" s="27" t="str">
        <f t="shared" si="9"/>
        <v/>
      </c>
      <c r="S17" s="25" t="str">
        <f t="shared" si="10"/>
        <v/>
      </c>
      <c r="T17" s="34" t="str">
        <f t="shared" si="11"/>
        <v/>
      </c>
      <c r="U17" s="27" t="str">
        <f t="shared" si="12"/>
        <v/>
      </c>
      <c r="V17" s="21"/>
      <c r="W17" s="21"/>
      <c r="X17" s="16"/>
      <c r="Y17" s="24"/>
    </row>
    <row r="18">
      <c r="A18" s="14">
        <v>46429.0</v>
      </c>
      <c r="B18" s="15" t="str">
        <f t="shared" si="2"/>
        <v>木</v>
      </c>
      <c r="C18" s="16"/>
      <c r="D18" s="17">
        <f t="shared" si="3"/>
        <v>0</v>
      </c>
      <c r="E18" s="16"/>
      <c r="F18" s="16"/>
      <c r="G18" s="17" t="str">
        <f t="shared" si="4"/>
        <v/>
      </c>
      <c r="H18" s="17" t="str">
        <f t="shared" si="5"/>
        <v/>
      </c>
      <c r="I18" s="18" t="str">
        <f t="shared" ref="I18:J18" si="25">IF(G18="","",IFERROR(G18/C18,""))</f>
        <v/>
      </c>
      <c r="J18" s="18" t="str">
        <f t="shared" si="25"/>
        <v/>
      </c>
      <c r="K18" s="17" t="str">
        <f t="shared" si="7"/>
        <v/>
      </c>
      <c r="L18" s="19" t="str">
        <f t="shared" si="8"/>
        <v>—</v>
      </c>
      <c r="M18" s="21"/>
      <c r="N18" s="21"/>
      <c r="O18" s="21"/>
      <c r="P18" s="21"/>
      <c r="Q18" s="21"/>
      <c r="R18" s="18" t="str">
        <f t="shared" si="9"/>
        <v/>
      </c>
      <c r="S18" s="17" t="str">
        <f t="shared" si="10"/>
        <v/>
      </c>
      <c r="T18" s="22" t="str">
        <f t="shared" si="11"/>
        <v/>
      </c>
      <c r="U18" s="18" t="str">
        <f t="shared" si="12"/>
        <v/>
      </c>
      <c r="V18" s="21"/>
      <c r="W18" s="21"/>
      <c r="X18" s="16"/>
      <c r="Y18" s="24"/>
      <c r="AA18" s="40" t="s">
        <v>193</v>
      </c>
      <c r="AH18" s="39" t="s">
        <v>140</v>
      </c>
      <c r="AI18" s="41">
        <f>$A$8+MOD(1-WEEKDAY($A$8,2)+7,7)</f>
        <v>46420</v>
      </c>
    </row>
    <row r="19">
      <c r="A19" s="32">
        <v>46430.0</v>
      </c>
      <c r="B19" s="23" t="str">
        <f t="shared" si="2"/>
        <v>金</v>
      </c>
      <c r="C19" s="16"/>
      <c r="D19" s="25">
        <f t="shared" si="3"/>
        <v>0</v>
      </c>
      <c r="E19" s="16"/>
      <c r="F19" s="16"/>
      <c r="G19" s="25" t="str">
        <f t="shared" si="4"/>
        <v/>
      </c>
      <c r="H19" s="25" t="str">
        <f t="shared" si="5"/>
        <v/>
      </c>
      <c r="I19" s="27" t="str">
        <f t="shared" ref="I19:J19" si="26">IF(G19="","",IFERROR(G19/C19,""))</f>
        <v/>
      </c>
      <c r="J19" s="27" t="str">
        <f t="shared" si="26"/>
        <v/>
      </c>
      <c r="K19" s="25" t="str">
        <f t="shared" si="7"/>
        <v/>
      </c>
      <c r="L19" s="33" t="str">
        <f t="shared" si="8"/>
        <v>—</v>
      </c>
      <c r="M19" s="21"/>
      <c r="N19" s="21"/>
      <c r="O19" s="21"/>
      <c r="P19" s="21"/>
      <c r="Q19" s="21"/>
      <c r="R19" s="27" t="str">
        <f t="shared" si="9"/>
        <v/>
      </c>
      <c r="S19" s="25" t="str">
        <f t="shared" si="10"/>
        <v/>
      </c>
      <c r="T19" s="34" t="str">
        <f t="shared" si="11"/>
        <v/>
      </c>
      <c r="U19" s="27" t="str">
        <f t="shared" si="12"/>
        <v/>
      </c>
      <c r="V19" s="21"/>
      <c r="W19" s="21"/>
      <c r="X19" s="16"/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46431.0</v>
      </c>
      <c r="B20" s="15" t="str">
        <f t="shared" si="2"/>
        <v>土</v>
      </c>
      <c r="C20" s="16"/>
      <c r="D20" s="17">
        <f t="shared" si="3"/>
        <v>0</v>
      </c>
      <c r="E20" s="16"/>
      <c r="F20" s="16"/>
      <c r="G20" s="17" t="str">
        <f t="shared" si="4"/>
        <v/>
      </c>
      <c r="H20" s="17" t="str">
        <f t="shared" si="5"/>
        <v/>
      </c>
      <c r="I20" s="18" t="str">
        <f t="shared" ref="I20:J20" si="27">IF(G20="","",IFERROR(G20/C20,""))</f>
        <v/>
      </c>
      <c r="J20" s="18" t="str">
        <f t="shared" si="27"/>
        <v/>
      </c>
      <c r="K20" s="17" t="str">
        <f t="shared" si="7"/>
        <v/>
      </c>
      <c r="L20" s="19" t="str">
        <f t="shared" si="8"/>
        <v>—</v>
      </c>
      <c r="M20" s="21"/>
      <c r="N20" s="21"/>
      <c r="O20" s="21"/>
      <c r="P20" s="21"/>
      <c r="Q20" s="21"/>
      <c r="R20" s="18" t="str">
        <f t="shared" si="9"/>
        <v/>
      </c>
      <c r="S20" s="17" t="str">
        <f t="shared" si="10"/>
        <v/>
      </c>
      <c r="T20" s="22" t="str">
        <f t="shared" si="11"/>
        <v/>
      </c>
      <c r="U20" s="18" t="str">
        <f t="shared" si="12"/>
        <v/>
      </c>
      <c r="V20" s="21"/>
      <c r="W20" s="21"/>
      <c r="X20" s="16"/>
      <c r="Y20" s="24"/>
      <c r="AA20" s="30">
        <v>1.0</v>
      </c>
      <c r="AB20" s="42" t="str">
        <f>IF($AI$18+7*(1-1)&gt;$A$35,"",TEXT($AI$18+7*(1-1),"m/d")&amp;"-"&amp;TEXT($AI$18+7*(1-1)+6,"m/d"))</f>
        <v>2/2-2/8</v>
      </c>
      <c r="AC20" s="28">
        <f>IF($AB20="","",(SUMIFS($G$8:$G$35,$A$8:$A$35,"&gt;="&amp;$AI$18+7*(1-1),$A$8:$A$35,"&lt;="&amp;$AI$18+7*(1-1)+6)+SUMIFS('2027年03月'!$G$8:$G$38,'2027年03月'!$A$8:$A$38,"&gt;="&amp;$AI$18+7*(1-1),'2027年03月'!$A$8:$A$38,"&lt;="&amp;$AI$18+7*(1-1)+6)))</f>
        <v>0</v>
      </c>
      <c r="AD20" s="31" t="str">
        <f>IF($AB20="","",IFERROR((SUMIFS($M$8:$M$35,$A$8:$A$35,"&gt;="&amp;$AI$18+7*(1-1),$A$8:$A$35,"&lt;="&amp;$AI$18+7*(1-1)+6)+SUMIFS('2027年03月'!$M$8:$M$38,'2027年03月'!$A$8:$A$38,"&gt;="&amp;$AI$18+7*(1-1),'2027年03月'!$A$8:$A$38,"&lt;="&amp;$AI$18+7*(1-1)+6))/(SUMIFS($O$8:$O$35,$A$8:$A$35,"&gt;="&amp;$AI$18+7*(1-1),$A$8:$A$35,"&lt;="&amp;$AI$18+7*(1-1)+6)+SUMIFS('2027年03月'!$O$8:$O$38,'2027年03月'!$A$8:$A$38,"&gt;="&amp;$AI$18+7*(1-1),'2027年03月'!$A$8:$A$38,"&lt;="&amp;$AI$18+7*(1-1)+6)),""))</f>
        <v/>
      </c>
      <c r="AE20" s="28" t="str">
        <f>IF($AB20="","",IFERROR((SUMIFS($G$8:$G$35,$A$8:$A$35,"&gt;="&amp;$AI$18+7*(1-1),$A$8:$A$35,"&lt;="&amp;$AI$18+7*(1-1)+6)+SUMIFS('2027年03月'!$G$8:$G$38,'2027年03月'!$A$8:$A$38,"&gt;="&amp;$AI$18+7*(1-1),'2027年03月'!$A$8:$A$38,"&lt;="&amp;$AI$18+7*(1-1)+6))/(SUMIFS($M$8:$M$35,$A$8:$A$35,"&gt;="&amp;$AI$18+7*(1-1),$A$8:$A$35,"&lt;="&amp;$AI$18+7*(1-1)+6)+SUMIFS('2027年03月'!$M$8:$M$38,'2027年03月'!$A$8:$A$38,"&gt;="&amp;$AI$18+7*(1-1),'2027年03月'!$A$8:$A$38,"&lt;="&amp;$AI$18+7*(1-1)+6)),""))</f>
        <v/>
      </c>
      <c r="AF20" s="43" t="str">
        <f>IF($AB20="","",IFERROR((SUMIFS($N$8:$N$35,$A$8:$A$35,"&gt;="&amp;$AI$18+7*(1-1),$A$8:$A$35,"&lt;="&amp;$AI$18+7*(1-1)+6)+SUMIFS('2027年03月'!$N$8:$N$38,'2027年03月'!$A$8:$A$38,"&gt;="&amp;$AI$18+7*(1-1),'2027年03月'!$A$8:$A$38,"&lt;="&amp;$AI$18+7*(1-1)+6))/(SUMIFS($M$8:$M$35,$A$8:$A$35,"&gt;="&amp;$AI$18+7*(1-1),$A$8:$A$35,"&lt;="&amp;$AI$18+7*(1-1)+6)+SUMIFS('2027年03月'!$M$8:$M$38,'2027年03月'!$A$8:$A$38,"&gt;="&amp;$AI$18+7*(1-1),'2027年03月'!$A$8:$A$38,"&lt;="&amp;$AI$18+7*(1-1)+6)),""))</f>
        <v/>
      </c>
      <c r="AG20" s="31" t="str">
        <f>IF($AB20="","",IFERROR((SUMIFS($P$8:$P$35,$A$8:$A$35,"&gt;="&amp;$AI$18+7*(1-1),$A$8:$A$35,"&lt;="&amp;$AI$18+7*(1-1)+6)+SUMIFS('2027年03月'!$P$8:$P$38,'2027年03月'!$A$8:$A$38,"&gt;="&amp;$AI$18+7*(1-1),'2027年03月'!$A$8:$A$38,"&lt;="&amp;$AI$18+7*(1-1)+6))/(SUMIFS($O$8:$O$35,$A$8:$A$35,"&gt;="&amp;$AI$18+7*(1-1),$A$8:$A$35,"&lt;="&amp;$AI$18+7*(1-1)+6)+SUMIFS('2027年03月'!$O$8:$O$38,'2027年03月'!$A$8:$A$38,"&gt;="&amp;$AI$18+7*(1-1),'2027年03月'!$A$8:$A$38,"&lt;="&amp;$AI$18+7*(1-1)+6)),""))</f>
        <v/>
      </c>
    </row>
    <row r="21" ht="15.75" customHeight="1">
      <c r="A21" s="32">
        <v>46432.0</v>
      </c>
      <c r="B21" s="23" t="str">
        <f t="shared" si="2"/>
        <v>日</v>
      </c>
      <c r="C21" s="16"/>
      <c r="D21" s="25">
        <f t="shared" si="3"/>
        <v>0</v>
      </c>
      <c r="E21" s="16"/>
      <c r="F21" s="16"/>
      <c r="G21" s="25" t="str">
        <f t="shared" si="4"/>
        <v/>
      </c>
      <c r="H21" s="25" t="str">
        <f t="shared" si="5"/>
        <v/>
      </c>
      <c r="I21" s="27" t="str">
        <f t="shared" ref="I21:J21" si="28">IF(G21="","",IFERROR(G21/C21,""))</f>
        <v/>
      </c>
      <c r="J21" s="27" t="str">
        <f t="shared" si="28"/>
        <v/>
      </c>
      <c r="K21" s="25" t="str">
        <f t="shared" si="7"/>
        <v/>
      </c>
      <c r="L21" s="33" t="str">
        <f t="shared" si="8"/>
        <v>—</v>
      </c>
      <c r="M21" s="21"/>
      <c r="N21" s="21"/>
      <c r="O21" s="21"/>
      <c r="P21" s="21"/>
      <c r="Q21" s="21"/>
      <c r="R21" s="27" t="str">
        <f t="shared" si="9"/>
        <v/>
      </c>
      <c r="S21" s="25" t="str">
        <f t="shared" si="10"/>
        <v/>
      </c>
      <c r="T21" s="34" t="str">
        <f t="shared" si="11"/>
        <v/>
      </c>
      <c r="U21" s="27" t="str">
        <f t="shared" si="12"/>
        <v/>
      </c>
      <c r="V21" s="21"/>
      <c r="W21" s="21"/>
      <c r="X21" s="16"/>
      <c r="Y21" s="24"/>
      <c r="AA21" s="30">
        <v>2.0</v>
      </c>
      <c r="AB21" s="42" t="str">
        <f>IF($AI$18+7*(2-1)&gt;$A$35,"",TEXT($AI$18+7*(2-1),"m/d")&amp;"-"&amp;TEXT($AI$18+7*(2-1)+6,"m/d"))</f>
        <v>2/9-2/15</v>
      </c>
      <c r="AC21" s="28">
        <f>IF($AB21="","",(SUMIFS($G$8:$G$35,$A$8:$A$35,"&gt;="&amp;$AI$18+7*(2-1),$A$8:$A$35,"&lt;="&amp;$AI$18+7*(2-1)+6)+SUMIFS('2027年03月'!$G$8:$G$38,'2027年03月'!$A$8:$A$38,"&gt;="&amp;$AI$18+7*(2-1),'2027年03月'!$A$8:$A$38,"&lt;="&amp;$AI$18+7*(2-1)+6)))</f>
        <v>0</v>
      </c>
      <c r="AD21" s="31" t="str">
        <f>IF($AB21="","",IFERROR((SUMIFS($M$8:$M$35,$A$8:$A$35,"&gt;="&amp;$AI$18+7*(2-1),$A$8:$A$35,"&lt;="&amp;$AI$18+7*(2-1)+6)+SUMIFS('2027年03月'!$M$8:$M$38,'2027年03月'!$A$8:$A$38,"&gt;="&amp;$AI$18+7*(2-1),'2027年03月'!$A$8:$A$38,"&lt;="&amp;$AI$18+7*(2-1)+6))/(SUMIFS($O$8:$O$35,$A$8:$A$35,"&gt;="&amp;$AI$18+7*(2-1),$A$8:$A$35,"&lt;="&amp;$AI$18+7*(2-1)+6)+SUMIFS('2027年03月'!$O$8:$O$38,'2027年03月'!$A$8:$A$38,"&gt;="&amp;$AI$18+7*(2-1),'2027年03月'!$A$8:$A$38,"&lt;="&amp;$AI$18+7*(2-1)+6)),""))</f>
        <v/>
      </c>
      <c r="AE21" s="28" t="str">
        <f>IF($AB21="","",IFERROR((SUMIFS($G$8:$G$35,$A$8:$A$35,"&gt;="&amp;$AI$18+7*(2-1),$A$8:$A$35,"&lt;="&amp;$AI$18+7*(2-1)+6)+SUMIFS('2027年03月'!$G$8:$G$38,'2027年03月'!$A$8:$A$38,"&gt;="&amp;$AI$18+7*(2-1),'2027年03月'!$A$8:$A$38,"&lt;="&amp;$AI$18+7*(2-1)+6))/(SUMIFS($M$8:$M$35,$A$8:$A$35,"&gt;="&amp;$AI$18+7*(2-1),$A$8:$A$35,"&lt;="&amp;$AI$18+7*(2-1)+6)+SUMIFS('2027年03月'!$M$8:$M$38,'2027年03月'!$A$8:$A$38,"&gt;="&amp;$AI$18+7*(2-1),'2027年03月'!$A$8:$A$38,"&lt;="&amp;$AI$18+7*(2-1)+6)),""))</f>
        <v/>
      </c>
      <c r="AF21" s="43" t="str">
        <f>IF($AB21="","",IFERROR((SUMIFS($N$8:$N$35,$A$8:$A$35,"&gt;="&amp;$AI$18+7*(2-1),$A$8:$A$35,"&lt;="&amp;$AI$18+7*(2-1)+6)+SUMIFS('2027年03月'!$N$8:$N$38,'2027年03月'!$A$8:$A$38,"&gt;="&amp;$AI$18+7*(2-1),'2027年03月'!$A$8:$A$38,"&lt;="&amp;$AI$18+7*(2-1)+6))/(SUMIFS($M$8:$M$35,$A$8:$A$35,"&gt;="&amp;$AI$18+7*(2-1),$A$8:$A$35,"&lt;="&amp;$AI$18+7*(2-1)+6)+SUMIFS('2027年03月'!$M$8:$M$38,'2027年03月'!$A$8:$A$38,"&gt;="&amp;$AI$18+7*(2-1),'2027年03月'!$A$8:$A$38,"&lt;="&amp;$AI$18+7*(2-1)+6)),""))</f>
        <v/>
      </c>
      <c r="AG21" s="31" t="str">
        <f>IF($AB21="","",IFERROR((SUMIFS($P$8:$P$35,$A$8:$A$35,"&gt;="&amp;$AI$18+7*(2-1),$A$8:$A$35,"&lt;="&amp;$AI$18+7*(2-1)+6)+SUMIFS('2027年03月'!$P$8:$P$38,'2027年03月'!$A$8:$A$38,"&gt;="&amp;$AI$18+7*(2-1),'2027年03月'!$A$8:$A$38,"&lt;="&amp;$AI$18+7*(2-1)+6))/(SUMIFS($O$8:$O$35,$A$8:$A$35,"&gt;="&amp;$AI$18+7*(2-1),$A$8:$A$35,"&lt;="&amp;$AI$18+7*(2-1)+6)+SUMIFS('2027年03月'!$O$8:$O$38,'2027年03月'!$A$8:$A$38,"&gt;="&amp;$AI$18+7*(2-1),'2027年03月'!$A$8:$A$38,"&lt;="&amp;$AI$18+7*(2-1)+6)),""))</f>
        <v/>
      </c>
    </row>
    <row r="22" ht="15.75" customHeight="1">
      <c r="A22" s="14">
        <v>46433.0</v>
      </c>
      <c r="B22" s="15" t="str">
        <f t="shared" si="2"/>
        <v>月</v>
      </c>
      <c r="C22" s="16"/>
      <c r="D22" s="17">
        <f t="shared" si="3"/>
        <v>0</v>
      </c>
      <c r="E22" s="16"/>
      <c r="F22" s="16"/>
      <c r="G22" s="17" t="str">
        <f t="shared" si="4"/>
        <v/>
      </c>
      <c r="H22" s="17" t="str">
        <f t="shared" si="5"/>
        <v/>
      </c>
      <c r="I22" s="18" t="str">
        <f t="shared" ref="I22:J22" si="29">IF(G22="","",IFERROR(G22/C22,""))</f>
        <v/>
      </c>
      <c r="J22" s="18" t="str">
        <f t="shared" si="29"/>
        <v/>
      </c>
      <c r="K22" s="17" t="str">
        <f t="shared" si="7"/>
        <v/>
      </c>
      <c r="L22" s="19" t="str">
        <f t="shared" si="8"/>
        <v>—</v>
      </c>
      <c r="M22" s="21"/>
      <c r="N22" s="21"/>
      <c r="O22" s="21"/>
      <c r="P22" s="21"/>
      <c r="Q22" s="21"/>
      <c r="R22" s="18" t="str">
        <f t="shared" si="9"/>
        <v/>
      </c>
      <c r="S22" s="17" t="str">
        <f t="shared" si="10"/>
        <v/>
      </c>
      <c r="T22" s="22" t="str">
        <f t="shared" si="11"/>
        <v/>
      </c>
      <c r="U22" s="18" t="str">
        <f t="shared" si="12"/>
        <v/>
      </c>
      <c r="V22" s="21"/>
      <c r="W22" s="21"/>
      <c r="X22" s="16"/>
      <c r="Y22" s="24"/>
      <c r="AA22" s="30">
        <v>3.0</v>
      </c>
      <c r="AB22" s="42" t="str">
        <f>IF($AI$18+7*(3-1)&gt;$A$35,"",TEXT($AI$18+7*(3-1),"m/d")&amp;"-"&amp;TEXT($AI$18+7*(3-1)+6,"m/d"))</f>
        <v>2/16-2/22</v>
      </c>
      <c r="AC22" s="28">
        <f>IF($AB22="","",(SUMIFS($G$8:$G$35,$A$8:$A$35,"&gt;="&amp;$AI$18+7*(3-1),$A$8:$A$35,"&lt;="&amp;$AI$18+7*(3-1)+6)+SUMIFS('2027年03月'!$G$8:$G$38,'2027年03月'!$A$8:$A$38,"&gt;="&amp;$AI$18+7*(3-1),'2027年03月'!$A$8:$A$38,"&lt;="&amp;$AI$18+7*(3-1)+6)))</f>
        <v>0</v>
      </c>
      <c r="AD22" s="31" t="str">
        <f>IF($AB22="","",IFERROR((SUMIFS($M$8:$M$35,$A$8:$A$35,"&gt;="&amp;$AI$18+7*(3-1),$A$8:$A$35,"&lt;="&amp;$AI$18+7*(3-1)+6)+SUMIFS('2027年03月'!$M$8:$M$38,'2027年03月'!$A$8:$A$38,"&gt;="&amp;$AI$18+7*(3-1),'2027年03月'!$A$8:$A$38,"&lt;="&amp;$AI$18+7*(3-1)+6))/(SUMIFS($O$8:$O$35,$A$8:$A$35,"&gt;="&amp;$AI$18+7*(3-1),$A$8:$A$35,"&lt;="&amp;$AI$18+7*(3-1)+6)+SUMIFS('2027年03月'!$O$8:$O$38,'2027年03月'!$A$8:$A$38,"&gt;="&amp;$AI$18+7*(3-1),'2027年03月'!$A$8:$A$38,"&lt;="&amp;$AI$18+7*(3-1)+6)),""))</f>
        <v/>
      </c>
      <c r="AE22" s="28" t="str">
        <f>IF($AB22="","",IFERROR((SUMIFS($G$8:$G$35,$A$8:$A$35,"&gt;="&amp;$AI$18+7*(3-1),$A$8:$A$35,"&lt;="&amp;$AI$18+7*(3-1)+6)+SUMIFS('2027年03月'!$G$8:$G$38,'2027年03月'!$A$8:$A$38,"&gt;="&amp;$AI$18+7*(3-1),'2027年03月'!$A$8:$A$38,"&lt;="&amp;$AI$18+7*(3-1)+6))/(SUMIFS($M$8:$M$35,$A$8:$A$35,"&gt;="&amp;$AI$18+7*(3-1),$A$8:$A$35,"&lt;="&amp;$AI$18+7*(3-1)+6)+SUMIFS('2027年03月'!$M$8:$M$38,'2027年03月'!$A$8:$A$38,"&gt;="&amp;$AI$18+7*(3-1),'2027年03月'!$A$8:$A$38,"&lt;="&amp;$AI$18+7*(3-1)+6)),""))</f>
        <v/>
      </c>
      <c r="AF22" s="43" t="str">
        <f>IF($AB22="","",IFERROR((SUMIFS($N$8:$N$35,$A$8:$A$35,"&gt;="&amp;$AI$18+7*(3-1),$A$8:$A$35,"&lt;="&amp;$AI$18+7*(3-1)+6)+SUMIFS('2027年03月'!$N$8:$N$38,'2027年03月'!$A$8:$A$38,"&gt;="&amp;$AI$18+7*(3-1),'2027年03月'!$A$8:$A$38,"&lt;="&amp;$AI$18+7*(3-1)+6))/(SUMIFS($M$8:$M$35,$A$8:$A$35,"&gt;="&amp;$AI$18+7*(3-1),$A$8:$A$35,"&lt;="&amp;$AI$18+7*(3-1)+6)+SUMIFS('2027年03月'!$M$8:$M$38,'2027年03月'!$A$8:$A$38,"&gt;="&amp;$AI$18+7*(3-1),'2027年03月'!$A$8:$A$38,"&lt;="&amp;$AI$18+7*(3-1)+6)),""))</f>
        <v/>
      </c>
      <c r="AG22" s="31" t="str">
        <f>IF($AB22="","",IFERROR((SUMIFS($P$8:$P$35,$A$8:$A$35,"&gt;="&amp;$AI$18+7*(3-1),$A$8:$A$35,"&lt;="&amp;$AI$18+7*(3-1)+6)+SUMIFS('2027年03月'!$P$8:$P$38,'2027年03月'!$A$8:$A$38,"&gt;="&amp;$AI$18+7*(3-1),'2027年03月'!$A$8:$A$38,"&lt;="&amp;$AI$18+7*(3-1)+6))/(SUMIFS($O$8:$O$35,$A$8:$A$35,"&gt;="&amp;$AI$18+7*(3-1),$A$8:$A$35,"&lt;="&amp;$AI$18+7*(3-1)+6)+SUMIFS('2027年03月'!$O$8:$O$38,'2027年03月'!$A$8:$A$38,"&gt;="&amp;$AI$18+7*(3-1),'2027年03月'!$A$8:$A$38,"&lt;="&amp;$AI$18+7*(3-1)+6)),""))</f>
        <v/>
      </c>
    </row>
    <row r="23" ht="15.75" customHeight="1">
      <c r="A23" s="32">
        <v>46434.0</v>
      </c>
      <c r="B23" s="23" t="str">
        <f t="shared" si="2"/>
        <v>火</v>
      </c>
      <c r="C23" s="16"/>
      <c r="D23" s="25">
        <f t="shared" si="3"/>
        <v>0</v>
      </c>
      <c r="E23" s="16"/>
      <c r="F23" s="16"/>
      <c r="G23" s="25" t="str">
        <f t="shared" si="4"/>
        <v/>
      </c>
      <c r="H23" s="25" t="str">
        <f t="shared" si="5"/>
        <v/>
      </c>
      <c r="I23" s="27" t="str">
        <f t="shared" ref="I23:J23" si="30">IF(G23="","",IFERROR(G23/C23,""))</f>
        <v/>
      </c>
      <c r="J23" s="27" t="str">
        <f t="shared" si="30"/>
        <v/>
      </c>
      <c r="K23" s="25" t="str">
        <f t="shared" si="7"/>
        <v/>
      </c>
      <c r="L23" s="33" t="str">
        <f t="shared" si="8"/>
        <v>—</v>
      </c>
      <c r="M23" s="21"/>
      <c r="N23" s="21"/>
      <c r="O23" s="21"/>
      <c r="P23" s="21"/>
      <c r="Q23" s="21"/>
      <c r="R23" s="27" t="str">
        <f t="shared" si="9"/>
        <v/>
      </c>
      <c r="S23" s="25" t="str">
        <f t="shared" si="10"/>
        <v/>
      </c>
      <c r="T23" s="34" t="str">
        <f t="shared" si="11"/>
        <v/>
      </c>
      <c r="U23" s="27" t="str">
        <f t="shared" si="12"/>
        <v/>
      </c>
      <c r="V23" s="21"/>
      <c r="W23" s="21"/>
      <c r="X23" s="16"/>
      <c r="Y23" s="24"/>
      <c r="AA23" s="30">
        <v>4.0</v>
      </c>
      <c r="AB23" s="42" t="str">
        <f>IF($AI$18+7*(4-1)&gt;$A$35,"",TEXT($AI$18+7*(4-1),"m/d")&amp;"-"&amp;TEXT($AI$18+7*(4-1)+6,"m/d"))</f>
        <v>2/23-3/1</v>
      </c>
      <c r="AC23" s="28">
        <f>IF($AB23="","",(SUMIFS($G$8:$G$35,$A$8:$A$35,"&gt;="&amp;$AI$18+7*(4-1),$A$8:$A$35,"&lt;="&amp;$AI$18+7*(4-1)+6)+SUMIFS('2027年03月'!$G$8:$G$38,'2027年03月'!$A$8:$A$38,"&gt;="&amp;$AI$18+7*(4-1),'2027年03月'!$A$8:$A$38,"&lt;="&amp;$AI$18+7*(4-1)+6)))</f>
        <v>0</v>
      </c>
      <c r="AD23" s="31" t="str">
        <f>IF($AB23="","",IFERROR((SUMIFS($M$8:$M$35,$A$8:$A$35,"&gt;="&amp;$AI$18+7*(4-1),$A$8:$A$35,"&lt;="&amp;$AI$18+7*(4-1)+6)+SUMIFS('2027年03月'!$M$8:$M$38,'2027年03月'!$A$8:$A$38,"&gt;="&amp;$AI$18+7*(4-1),'2027年03月'!$A$8:$A$38,"&lt;="&amp;$AI$18+7*(4-1)+6))/(SUMIFS($O$8:$O$35,$A$8:$A$35,"&gt;="&amp;$AI$18+7*(4-1),$A$8:$A$35,"&lt;="&amp;$AI$18+7*(4-1)+6)+SUMIFS('2027年03月'!$O$8:$O$38,'2027年03月'!$A$8:$A$38,"&gt;="&amp;$AI$18+7*(4-1),'2027年03月'!$A$8:$A$38,"&lt;="&amp;$AI$18+7*(4-1)+6)),""))</f>
        <v/>
      </c>
      <c r="AE23" s="28" t="str">
        <f>IF($AB23="","",IFERROR((SUMIFS($G$8:$G$35,$A$8:$A$35,"&gt;="&amp;$AI$18+7*(4-1),$A$8:$A$35,"&lt;="&amp;$AI$18+7*(4-1)+6)+SUMIFS('2027年03月'!$G$8:$G$38,'2027年03月'!$A$8:$A$38,"&gt;="&amp;$AI$18+7*(4-1),'2027年03月'!$A$8:$A$38,"&lt;="&amp;$AI$18+7*(4-1)+6))/(SUMIFS($M$8:$M$35,$A$8:$A$35,"&gt;="&amp;$AI$18+7*(4-1),$A$8:$A$35,"&lt;="&amp;$AI$18+7*(4-1)+6)+SUMIFS('2027年03月'!$M$8:$M$38,'2027年03月'!$A$8:$A$38,"&gt;="&amp;$AI$18+7*(4-1),'2027年03月'!$A$8:$A$38,"&lt;="&amp;$AI$18+7*(4-1)+6)),""))</f>
        <v/>
      </c>
      <c r="AF23" s="43" t="str">
        <f>IF($AB23="","",IFERROR((SUMIFS($N$8:$N$35,$A$8:$A$35,"&gt;="&amp;$AI$18+7*(4-1),$A$8:$A$35,"&lt;="&amp;$AI$18+7*(4-1)+6)+SUMIFS('2027年03月'!$N$8:$N$38,'2027年03月'!$A$8:$A$38,"&gt;="&amp;$AI$18+7*(4-1),'2027年03月'!$A$8:$A$38,"&lt;="&amp;$AI$18+7*(4-1)+6))/(SUMIFS($M$8:$M$35,$A$8:$A$35,"&gt;="&amp;$AI$18+7*(4-1),$A$8:$A$35,"&lt;="&amp;$AI$18+7*(4-1)+6)+SUMIFS('2027年03月'!$M$8:$M$38,'2027年03月'!$A$8:$A$38,"&gt;="&amp;$AI$18+7*(4-1),'2027年03月'!$A$8:$A$38,"&lt;="&amp;$AI$18+7*(4-1)+6)),""))</f>
        <v/>
      </c>
      <c r="AG23" s="31" t="str">
        <f>IF($AB23="","",IFERROR((SUMIFS($P$8:$P$35,$A$8:$A$35,"&gt;="&amp;$AI$18+7*(4-1),$A$8:$A$35,"&lt;="&amp;$AI$18+7*(4-1)+6)+SUMIFS('2027年03月'!$P$8:$P$38,'2027年03月'!$A$8:$A$38,"&gt;="&amp;$AI$18+7*(4-1),'2027年03月'!$A$8:$A$38,"&lt;="&amp;$AI$18+7*(4-1)+6))/(SUMIFS($O$8:$O$35,$A$8:$A$35,"&gt;="&amp;$AI$18+7*(4-1),$A$8:$A$35,"&lt;="&amp;$AI$18+7*(4-1)+6)+SUMIFS('2027年03月'!$O$8:$O$38,'2027年03月'!$A$8:$A$38,"&gt;="&amp;$AI$18+7*(4-1),'2027年03月'!$A$8:$A$38,"&lt;="&amp;$AI$18+7*(4-1)+6)),""))</f>
        <v/>
      </c>
    </row>
    <row r="24" ht="15.75" customHeight="1">
      <c r="A24" s="14">
        <v>46435.0</v>
      </c>
      <c r="B24" s="15" t="str">
        <f t="shared" si="2"/>
        <v>水</v>
      </c>
      <c r="C24" s="16"/>
      <c r="D24" s="17">
        <f t="shared" si="3"/>
        <v>0</v>
      </c>
      <c r="E24" s="16"/>
      <c r="F24" s="16"/>
      <c r="G24" s="17" t="str">
        <f t="shared" si="4"/>
        <v/>
      </c>
      <c r="H24" s="17" t="str">
        <f t="shared" si="5"/>
        <v/>
      </c>
      <c r="I24" s="18" t="str">
        <f t="shared" ref="I24:J24" si="31">IF(G24="","",IFERROR(G24/C24,""))</f>
        <v/>
      </c>
      <c r="J24" s="18" t="str">
        <f t="shared" si="31"/>
        <v/>
      </c>
      <c r="K24" s="17" t="str">
        <f t="shared" si="7"/>
        <v/>
      </c>
      <c r="L24" s="19" t="str">
        <f t="shared" si="8"/>
        <v>—</v>
      </c>
      <c r="M24" s="21"/>
      <c r="N24" s="21"/>
      <c r="O24" s="21"/>
      <c r="P24" s="21"/>
      <c r="Q24" s="21"/>
      <c r="R24" s="18" t="str">
        <f t="shared" si="9"/>
        <v/>
      </c>
      <c r="S24" s="17" t="str">
        <f t="shared" si="10"/>
        <v/>
      </c>
      <c r="T24" s="22" t="str">
        <f t="shared" si="11"/>
        <v/>
      </c>
      <c r="U24" s="18" t="str">
        <f t="shared" si="12"/>
        <v/>
      </c>
      <c r="V24" s="21"/>
      <c r="W24" s="21"/>
      <c r="X24" s="16"/>
      <c r="Y24" s="24"/>
      <c r="AA24" s="30">
        <v>5.0</v>
      </c>
      <c r="AB24" s="42" t="str">
        <f>IF($AI$18+7*(5-1)&gt;$A$35,"",TEXT($AI$18+7*(5-1),"m/d")&amp;"-"&amp;TEXT($AI$18+7*(5-1)+6,"m/d"))</f>
        <v/>
      </c>
      <c r="AC24" s="28" t="str">
        <f>IF($AB24="","",(SUMIFS($G$8:$G$35,$A$8:$A$35,"&gt;="&amp;$AI$18+7*(5-1),$A$8:$A$35,"&lt;="&amp;$AI$18+7*(5-1)+6)+SUMIFS('2027年03月'!$G$8:$G$38,'2027年03月'!$A$8:$A$38,"&gt;="&amp;$AI$18+7*(5-1),'2027年03月'!$A$8:$A$38,"&lt;="&amp;$AI$18+7*(5-1)+6)))</f>
        <v/>
      </c>
      <c r="AD24" s="31" t="str">
        <f>IF($AB24="","",IFERROR((SUMIFS($M$8:$M$35,$A$8:$A$35,"&gt;="&amp;$AI$18+7*(5-1),$A$8:$A$35,"&lt;="&amp;$AI$18+7*(5-1)+6)+SUMIFS('2027年03月'!$M$8:$M$38,'2027年03月'!$A$8:$A$38,"&gt;="&amp;$AI$18+7*(5-1),'2027年03月'!$A$8:$A$38,"&lt;="&amp;$AI$18+7*(5-1)+6))/(SUMIFS($O$8:$O$35,$A$8:$A$35,"&gt;="&amp;$AI$18+7*(5-1),$A$8:$A$35,"&lt;="&amp;$AI$18+7*(5-1)+6)+SUMIFS('2027年03月'!$O$8:$O$38,'2027年03月'!$A$8:$A$38,"&gt;="&amp;$AI$18+7*(5-1),'2027年03月'!$A$8:$A$38,"&lt;="&amp;$AI$18+7*(5-1)+6)),""))</f>
        <v/>
      </c>
      <c r="AE24" s="28" t="str">
        <f>IF($AB24="","",IFERROR((SUMIFS($G$8:$G$35,$A$8:$A$35,"&gt;="&amp;$AI$18+7*(5-1),$A$8:$A$35,"&lt;="&amp;$AI$18+7*(5-1)+6)+SUMIFS('2027年03月'!$G$8:$G$38,'2027年03月'!$A$8:$A$38,"&gt;="&amp;$AI$18+7*(5-1),'2027年03月'!$A$8:$A$38,"&lt;="&amp;$AI$18+7*(5-1)+6))/(SUMIFS($M$8:$M$35,$A$8:$A$35,"&gt;="&amp;$AI$18+7*(5-1),$A$8:$A$35,"&lt;="&amp;$AI$18+7*(5-1)+6)+SUMIFS('2027年03月'!$M$8:$M$38,'2027年03月'!$A$8:$A$38,"&gt;="&amp;$AI$18+7*(5-1),'2027年03月'!$A$8:$A$38,"&lt;="&amp;$AI$18+7*(5-1)+6)),""))</f>
        <v/>
      </c>
      <c r="AF24" s="43" t="str">
        <f>IF($AB24="","",IFERROR((SUMIFS($N$8:$N$35,$A$8:$A$35,"&gt;="&amp;$AI$18+7*(5-1),$A$8:$A$35,"&lt;="&amp;$AI$18+7*(5-1)+6)+SUMIFS('2027年03月'!$N$8:$N$38,'2027年03月'!$A$8:$A$38,"&gt;="&amp;$AI$18+7*(5-1),'2027年03月'!$A$8:$A$38,"&lt;="&amp;$AI$18+7*(5-1)+6))/(SUMIFS($M$8:$M$35,$A$8:$A$35,"&gt;="&amp;$AI$18+7*(5-1),$A$8:$A$35,"&lt;="&amp;$AI$18+7*(5-1)+6)+SUMIFS('2027年03月'!$M$8:$M$38,'2027年03月'!$A$8:$A$38,"&gt;="&amp;$AI$18+7*(5-1),'2027年03月'!$A$8:$A$38,"&lt;="&amp;$AI$18+7*(5-1)+6)),""))</f>
        <v/>
      </c>
      <c r="AG24" s="31" t="str">
        <f>IF($AB24="","",IFERROR((SUMIFS($P$8:$P$35,$A$8:$A$35,"&gt;="&amp;$AI$18+7*(5-1),$A$8:$A$35,"&lt;="&amp;$AI$18+7*(5-1)+6)+SUMIFS('2027年03月'!$P$8:$P$38,'2027年03月'!$A$8:$A$38,"&gt;="&amp;$AI$18+7*(5-1),'2027年03月'!$A$8:$A$38,"&lt;="&amp;$AI$18+7*(5-1)+6))/(SUMIFS($O$8:$O$35,$A$8:$A$35,"&gt;="&amp;$AI$18+7*(5-1),$A$8:$A$35,"&lt;="&amp;$AI$18+7*(5-1)+6)+SUMIFS('2027年03月'!$O$8:$O$38,'2027年03月'!$A$8:$A$38,"&gt;="&amp;$AI$18+7*(5-1),'2027年03月'!$A$8:$A$38,"&lt;="&amp;$AI$18+7*(5-1)+6)),""))</f>
        <v/>
      </c>
    </row>
    <row r="25" ht="15.75" customHeight="1">
      <c r="A25" s="32">
        <v>46436.0</v>
      </c>
      <c r="B25" s="23" t="str">
        <f t="shared" si="2"/>
        <v>木</v>
      </c>
      <c r="C25" s="16"/>
      <c r="D25" s="25">
        <f t="shared" si="3"/>
        <v>0</v>
      </c>
      <c r="E25" s="16"/>
      <c r="F25" s="16"/>
      <c r="G25" s="25" t="str">
        <f t="shared" si="4"/>
        <v/>
      </c>
      <c r="H25" s="25" t="str">
        <f t="shared" si="5"/>
        <v/>
      </c>
      <c r="I25" s="27" t="str">
        <f t="shared" ref="I25:J25" si="32">IF(G25="","",IFERROR(G25/C25,""))</f>
        <v/>
      </c>
      <c r="J25" s="27" t="str">
        <f t="shared" si="32"/>
        <v/>
      </c>
      <c r="K25" s="25" t="str">
        <f t="shared" si="7"/>
        <v/>
      </c>
      <c r="L25" s="33" t="str">
        <f t="shared" si="8"/>
        <v>—</v>
      </c>
      <c r="M25" s="21"/>
      <c r="N25" s="21"/>
      <c r="O25" s="21"/>
      <c r="P25" s="21"/>
      <c r="Q25" s="21"/>
      <c r="R25" s="27" t="str">
        <f t="shared" si="9"/>
        <v/>
      </c>
      <c r="S25" s="25" t="str">
        <f t="shared" si="10"/>
        <v/>
      </c>
      <c r="T25" s="34" t="str">
        <f t="shared" si="11"/>
        <v/>
      </c>
      <c r="U25" s="27" t="str">
        <f t="shared" si="12"/>
        <v/>
      </c>
      <c r="V25" s="21"/>
      <c r="W25" s="21"/>
      <c r="X25" s="16"/>
      <c r="Y25" s="24"/>
      <c r="AA25" s="30">
        <v>6.0</v>
      </c>
      <c r="AB25" s="42" t="str">
        <f>IF($AI$18+7*(6-1)&gt;$A$35,"",TEXT($AI$18+7*(6-1),"m/d")&amp;"-"&amp;TEXT($AI$18+7*(6-1)+6,"m/d"))</f>
        <v/>
      </c>
      <c r="AC25" s="28" t="str">
        <f>IF($AB25="","",(SUMIFS($G$8:$G$35,$A$8:$A$35,"&gt;="&amp;$AI$18+7*(6-1),$A$8:$A$35,"&lt;="&amp;$AI$18+7*(6-1)+6)+SUMIFS('2027年03月'!$G$8:$G$38,'2027年03月'!$A$8:$A$38,"&gt;="&amp;$AI$18+7*(6-1),'2027年03月'!$A$8:$A$38,"&lt;="&amp;$AI$18+7*(6-1)+6)))</f>
        <v/>
      </c>
      <c r="AD25" s="31" t="str">
        <f>IF($AB25="","",IFERROR((SUMIFS($M$8:$M$35,$A$8:$A$35,"&gt;="&amp;$AI$18+7*(6-1),$A$8:$A$35,"&lt;="&amp;$AI$18+7*(6-1)+6)+SUMIFS('2027年03月'!$M$8:$M$38,'2027年03月'!$A$8:$A$38,"&gt;="&amp;$AI$18+7*(6-1),'2027年03月'!$A$8:$A$38,"&lt;="&amp;$AI$18+7*(6-1)+6))/(SUMIFS($O$8:$O$35,$A$8:$A$35,"&gt;="&amp;$AI$18+7*(6-1),$A$8:$A$35,"&lt;="&amp;$AI$18+7*(6-1)+6)+SUMIFS('2027年03月'!$O$8:$O$38,'2027年03月'!$A$8:$A$38,"&gt;="&amp;$AI$18+7*(6-1),'2027年03月'!$A$8:$A$38,"&lt;="&amp;$AI$18+7*(6-1)+6)),""))</f>
        <v/>
      </c>
      <c r="AE25" s="28" t="str">
        <f>IF($AB25="","",IFERROR((SUMIFS($G$8:$G$35,$A$8:$A$35,"&gt;="&amp;$AI$18+7*(6-1),$A$8:$A$35,"&lt;="&amp;$AI$18+7*(6-1)+6)+SUMIFS('2027年03月'!$G$8:$G$38,'2027年03月'!$A$8:$A$38,"&gt;="&amp;$AI$18+7*(6-1),'2027年03月'!$A$8:$A$38,"&lt;="&amp;$AI$18+7*(6-1)+6))/(SUMIFS($M$8:$M$35,$A$8:$A$35,"&gt;="&amp;$AI$18+7*(6-1),$A$8:$A$35,"&lt;="&amp;$AI$18+7*(6-1)+6)+SUMIFS('2027年03月'!$M$8:$M$38,'2027年03月'!$A$8:$A$38,"&gt;="&amp;$AI$18+7*(6-1),'2027年03月'!$A$8:$A$38,"&lt;="&amp;$AI$18+7*(6-1)+6)),""))</f>
        <v/>
      </c>
      <c r="AF25" s="43" t="str">
        <f>IF($AB25="","",IFERROR((SUMIFS($N$8:$N$35,$A$8:$A$35,"&gt;="&amp;$AI$18+7*(6-1),$A$8:$A$35,"&lt;="&amp;$AI$18+7*(6-1)+6)+SUMIFS('2027年03月'!$N$8:$N$38,'2027年03月'!$A$8:$A$38,"&gt;="&amp;$AI$18+7*(6-1),'2027年03月'!$A$8:$A$38,"&lt;="&amp;$AI$18+7*(6-1)+6))/(SUMIFS($M$8:$M$35,$A$8:$A$35,"&gt;="&amp;$AI$18+7*(6-1),$A$8:$A$35,"&lt;="&amp;$AI$18+7*(6-1)+6)+SUMIFS('2027年03月'!$M$8:$M$38,'2027年03月'!$A$8:$A$38,"&gt;="&amp;$AI$18+7*(6-1),'2027年03月'!$A$8:$A$38,"&lt;="&amp;$AI$18+7*(6-1)+6)),""))</f>
        <v/>
      </c>
      <c r="AG25" s="31" t="str">
        <f>IF($AB25="","",IFERROR((SUMIFS($P$8:$P$35,$A$8:$A$35,"&gt;="&amp;$AI$18+7*(6-1),$A$8:$A$35,"&lt;="&amp;$AI$18+7*(6-1)+6)+SUMIFS('2027年03月'!$P$8:$P$38,'2027年03月'!$A$8:$A$38,"&gt;="&amp;$AI$18+7*(6-1),'2027年03月'!$A$8:$A$38,"&lt;="&amp;$AI$18+7*(6-1)+6))/(SUMIFS($O$8:$O$35,$A$8:$A$35,"&gt;="&amp;$AI$18+7*(6-1),$A$8:$A$35,"&lt;="&amp;$AI$18+7*(6-1)+6)+SUMIFS('2027年03月'!$O$8:$O$38,'2027年03月'!$A$8:$A$38,"&gt;="&amp;$AI$18+7*(6-1),'2027年03月'!$A$8:$A$38,"&lt;="&amp;$AI$18+7*(6-1)+6)),""))</f>
        <v/>
      </c>
    </row>
    <row r="26" ht="15.75" customHeight="1">
      <c r="A26" s="14">
        <v>46437.0</v>
      </c>
      <c r="B26" s="15" t="str">
        <f t="shared" si="2"/>
        <v>金</v>
      </c>
      <c r="C26" s="16"/>
      <c r="D26" s="17">
        <f t="shared" si="3"/>
        <v>0</v>
      </c>
      <c r="E26" s="16"/>
      <c r="F26" s="16"/>
      <c r="G26" s="17" t="str">
        <f t="shared" si="4"/>
        <v/>
      </c>
      <c r="H26" s="17" t="str">
        <f t="shared" si="5"/>
        <v/>
      </c>
      <c r="I26" s="18" t="str">
        <f t="shared" ref="I26:J26" si="33">IF(G26="","",IFERROR(G26/C26,""))</f>
        <v/>
      </c>
      <c r="J26" s="18" t="str">
        <f t="shared" si="33"/>
        <v/>
      </c>
      <c r="K26" s="17" t="str">
        <f t="shared" si="7"/>
        <v/>
      </c>
      <c r="L26" s="19" t="str">
        <f t="shared" si="8"/>
        <v>—</v>
      </c>
      <c r="M26" s="21"/>
      <c r="N26" s="21"/>
      <c r="O26" s="21"/>
      <c r="P26" s="21"/>
      <c r="Q26" s="21"/>
      <c r="R26" s="18" t="str">
        <f t="shared" si="9"/>
        <v/>
      </c>
      <c r="S26" s="17" t="str">
        <f t="shared" si="10"/>
        <v/>
      </c>
      <c r="T26" s="22" t="str">
        <f t="shared" si="11"/>
        <v/>
      </c>
      <c r="U26" s="18" t="str">
        <f t="shared" si="12"/>
        <v/>
      </c>
      <c r="V26" s="21"/>
      <c r="W26" s="21"/>
      <c r="X26" s="16"/>
      <c r="Y26" s="24"/>
      <c r="AA26" s="39" t="s">
        <v>183</v>
      </c>
    </row>
    <row r="27" ht="15.75" customHeight="1">
      <c r="A27" s="32">
        <v>46438.0</v>
      </c>
      <c r="B27" s="23" t="str">
        <f t="shared" si="2"/>
        <v>土</v>
      </c>
      <c r="C27" s="16"/>
      <c r="D27" s="25">
        <f t="shared" si="3"/>
        <v>0</v>
      </c>
      <c r="E27" s="16"/>
      <c r="F27" s="16"/>
      <c r="G27" s="25" t="str">
        <f t="shared" si="4"/>
        <v/>
      </c>
      <c r="H27" s="25" t="str">
        <f t="shared" si="5"/>
        <v/>
      </c>
      <c r="I27" s="27" t="str">
        <f t="shared" ref="I27:J27" si="34">IF(G27="","",IFERROR(G27/C27,""))</f>
        <v/>
      </c>
      <c r="J27" s="27" t="str">
        <f t="shared" si="34"/>
        <v/>
      </c>
      <c r="K27" s="25" t="str">
        <f t="shared" si="7"/>
        <v/>
      </c>
      <c r="L27" s="33" t="str">
        <f t="shared" si="8"/>
        <v>—</v>
      </c>
      <c r="M27" s="21"/>
      <c r="N27" s="21"/>
      <c r="O27" s="21"/>
      <c r="P27" s="21"/>
      <c r="Q27" s="21"/>
      <c r="R27" s="27" t="str">
        <f t="shared" si="9"/>
        <v/>
      </c>
      <c r="S27" s="25" t="str">
        <f t="shared" si="10"/>
        <v/>
      </c>
      <c r="T27" s="34" t="str">
        <f t="shared" si="11"/>
        <v/>
      </c>
      <c r="U27" s="27" t="str">
        <f t="shared" si="12"/>
        <v/>
      </c>
      <c r="V27" s="21"/>
      <c r="W27" s="21"/>
      <c r="X27" s="16"/>
      <c r="Y27" s="24"/>
      <c r="AA27" s="39" t="s">
        <v>184</v>
      </c>
    </row>
    <row r="28" ht="15.75" customHeight="1">
      <c r="A28" s="14">
        <v>46439.0</v>
      </c>
      <c r="B28" s="15" t="str">
        <f t="shared" si="2"/>
        <v>日</v>
      </c>
      <c r="C28" s="16"/>
      <c r="D28" s="17">
        <f t="shared" si="3"/>
        <v>0</v>
      </c>
      <c r="E28" s="16"/>
      <c r="F28" s="16"/>
      <c r="G28" s="17" t="str">
        <f t="shared" si="4"/>
        <v/>
      </c>
      <c r="H28" s="17" t="str">
        <f t="shared" si="5"/>
        <v/>
      </c>
      <c r="I28" s="18" t="str">
        <f t="shared" ref="I28:J28" si="35">IF(G28="","",IFERROR(G28/C28,""))</f>
        <v/>
      </c>
      <c r="J28" s="18" t="str">
        <f t="shared" si="35"/>
        <v/>
      </c>
      <c r="K28" s="17" t="str">
        <f t="shared" si="7"/>
        <v/>
      </c>
      <c r="L28" s="19" t="str">
        <f t="shared" si="8"/>
        <v>—</v>
      </c>
      <c r="M28" s="21"/>
      <c r="N28" s="21"/>
      <c r="O28" s="21"/>
      <c r="P28" s="21"/>
      <c r="Q28" s="21"/>
      <c r="R28" s="18" t="str">
        <f t="shared" si="9"/>
        <v/>
      </c>
      <c r="S28" s="17" t="str">
        <f t="shared" si="10"/>
        <v/>
      </c>
      <c r="T28" s="22" t="str">
        <f t="shared" si="11"/>
        <v/>
      </c>
      <c r="U28" s="18" t="str">
        <f t="shared" si="12"/>
        <v/>
      </c>
      <c r="V28" s="21"/>
      <c r="W28" s="21"/>
      <c r="X28" s="16"/>
      <c r="Y28" s="24"/>
      <c r="AA28" s="39" t="s">
        <v>185</v>
      </c>
    </row>
    <row r="29" ht="15.75" customHeight="1">
      <c r="A29" s="32">
        <v>46440.0</v>
      </c>
      <c r="B29" s="23" t="str">
        <f t="shared" si="2"/>
        <v>月</v>
      </c>
      <c r="C29" s="16"/>
      <c r="D29" s="25">
        <f t="shared" si="3"/>
        <v>0</v>
      </c>
      <c r="E29" s="16"/>
      <c r="F29" s="16"/>
      <c r="G29" s="25" t="str">
        <f t="shared" si="4"/>
        <v/>
      </c>
      <c r="H29" s="25" t="str">
        <f t="shared" si="5"/>
        <v/>
      </c>
      <c r="I29" s="27" t="str">
        <f t="shared" ref="I29:J29" si="36">IF(G29="","",IFERROR(G29/C29,""))</f>
        <v/>
      </c>
      <c r="J29" s="27" t="str">
        <f t="shared" si="36"/>
        <v/>
      </c>
      <c r="K29" s="25" t="str">
        <f t="shared" si="7"/>
        <v/>
      </c>
      <c r="L29" s="33" t="str">
        <f t="shared" si="8"/>
        <v>—</v>
      </c>
      <c r="M29" s="21"/>
      <c r="N29" s="21"/>
      <c r="O29" s="21"/>
      <c r="P29" s="21"/>
      <c r="Q29" s="21"/>
      <c r="R29" s="27" t="str">
        <f t="shared" si="9"/>
        <v/>
      </c>
      <c r="S29" s="25" t="str">
        <f t="shared" si="10"/>
        <v/>
      </c>
      <c r="T29" s="34" t="str">
        <f t="shared" si="11"/>
        <v/>
      </c>
      <c r="U29" s="27" t="str">
        <f t="shared" si="12"/>
        <v/>
      </c>
      <c r="V29" s="21"/>
      <c r="W29" s="21"/>
      <c r="X29" s="16"/>
      <c r="Y29" s="24"/>
    </row>
    <row r="30" ht="15.75" customHeight="1">
      <c r="A30" s="14">
        <v>46441.0</v>
      </c>
      <c r="B30" s="15" t="str">
        <f t="shared" si="2"/>
        <v>火</v>
      </c>
      <c r="C30" s="16"/>
      <c r="D30" s="17">
        <f t="shared" si="3"/>
        <v>0</v>
      </c>
      <c r="E30" s="16"/>
      <c r="F30" s="16"/>
      <c r="G30" s="17" t="str">
        <f t="shared" si="4"/>
        <v/>
      </c>
      <c r="H30" s="17" t="str">
        <f t="shared" si="5"/>
        <v/>
      </c>
      <c r="I30" s="18" t="str">
        <f t="shared" ref="I30:J30" si="37">IF(G30="","",IFERROR(G30/C30,""))</f>
        <v/>
      </c>
      <c r="J30" s="18" t="str">
        <f t="shared" si="37"/>
        <v/>
      </c>
      <c r="K30" s="17" t="str">
        <f t="shared" si="7"/>
        <v/>
      </c>
      <c r="L30" s="19" t="str">
        <f t="shared" si="8"/>
        <v>—</v>
      </c>
      <c r="M30" s="21"/>
      <c r="N30" s="21"/>
      <c r="O30" s="21"/>
      <c r="P30" s="21"/>
      <c r="Q30" s="21"/>
      <c r="R30" s="18" t="str">
        <f t="shared" si="9"/>
        <v/>
      </c>
      <c r="S30" s="17" t="str">
        <f t="shared" si="10"/>
        <v/>
      </c>
      <c r="T30" s="22" t="str">
        <f t="shared" si="11"/>
        <v/>
      </c>
      <c r="U30" s="18" t="str">
        <f t="shared" si="12"/>
        <v/>
      </c>
      <c r="V30" s="21"/>
      <c r="W30" s="21"/>
      <c r="X30" s="16"/>
      <c r="Y30" s="24"/>
    </row>
    <row r="31" ht="15.75" customHeight="1">
      <c r="A31" s="32">
        <v>46442.0</v>
      </c>
      <c r="B31" s="23" t="str">
        <f t="shared" si="2"/>
        <v>水</v>
      </c>
      <c r="C31" s="16"/>
      <c r="D31" s="25">
        <f t="shared" si="3"/>
        <v>0</v>
      </c>
      <c r="E31" s="16"/>
      <c r="F31" s="16"/>
      <c r="G31" s="25" t="str">
        <f t="shared" si="4"/>
        <v/>
      </c>
      <c r="H31" s="25" t="str">
        <f t="shared" si="5"/>
        <v/>
      </c>
      <c r="I31" s="27" t="str">
        <f t="shared" ref="I31:J31" si="38">IF(G31="","",IFERROR(G31/C31,""))</f>
        <v/>
      </c>
      <c r="J31" s="27" t="str">
        <f t="shared" si="38"/>
        <v/>
      </c>
      <c r="K31" s="25" t="str">
        <f t="shared" si="7"/>
        <v/>
      </c>
      <c r="L31" s="33" t="str">
        <f t="shared" si="8"/>
        <v>—</v>
      </c>
      <c r="M31" s="21"/>
      <c r="N31" s="21"/>
      <c r="O31" s="21"/>
      <c r="P31" s="21"/>
      <c r="Q31" s="21"/>
      <c r="R31" s="27" t="str">
        <f t="shared" si="9"/>
        <v/>
      </c>
      <c r="S31" s="25" t="str">
        <f t="shared" si="10"/>
        <v/>
      </c>
      <c r="T31" s="34" t="str">
        <f t="shared" si="11"/>
        <v/>
      </c>
      <c r="U31" s="27" t="str">
        <f t="shared" si="12"/>
        <v/>
      </c>
      <c r="V31" s="21"/>
      <c r="W31" s="21"/>
      <c r="X31" s="16"/>
      <c r="Y31" s="24"/>
    </row>
    <row r="32" ht="15.75" customHeight="1">
      <c r="A32" s="14">
        <v>46443.0</v>
      </c>
      <c r="B32" s="15" t="str">
        <f t="shared" si="2"/>
        <v>木</v>
      </c>
      <c r="C32" s="16"/>
      <c r="D32" s="17">
        <f t="shared" si="3"/>
        <v>0</v>
      </c>
      <c r="E32" s="16"/>
      <c r="F32" s="16"/>
      <c r="G32" s="17" t="str">
        <f t="shared" si="4"/>
        <v/>
      </c>
      <c r="H32" s="17" t="str">
        <f t="shared" si="5"/>
        <v/>
      </c>
      <c r="I32" s="18" t="str">
        <f t="shared" ref="I32:J32" si="39">IF(G32="","",IFERROR(G32/C32,""))</f>
        <v/>
      </c>
      <c r="J32" s="18" t="str">
        <f t="shared" si="39"/>
        <v/>
      </c>
      <c r="K32" s="17" t="str">
        <f t="shared" si="7"/>
        <v/>
      </c>
      <c r="L32" s="19" t="str">
        <f t="shared" si="8"/>
        <v>—</v>
      </c>
      <c r="M32" s="21"/>
      <c r="N32" s="21"/>
      <c r="O32" s="21"/>
      <c r="P32" s="21"/>
      <c r="Q32" s="21"/>
      <c r="R32" s="18" t="str">
        <f t="shared" si="9"/>
        <v/>
      </c>
      <c r="S32" s="17" t="str">
        <f t="shared" si="10"/>
        <v/>
      </c>
      <c r="T32" s="22" t="str">
        <f t="shared" si="11"/>
        <v/>
      </c>
      <c r="U32" s="18" t="str">
        <f t="shared" si="12"/>
        <v/>
      </c>
      <c r="V32" s="21"/>
      <c r="W32" s="21"/>
      <c r="X32" s="16"/>
      <c r="Y32" s="24"/>
    </row>
    <row r="33" ht="15.75" customHeight="1">
      <c r="A33" s="32">
        <v>46444.0</v>
      </c>
      <c r="B33" s="23" t="str">
        <f t="shared" si="2"/>
        <v>金</v>
      </c>
      <c r="C33" s="16"/>
      <c r="D33" s="25">
        <f t="shared" si="3"/>
        <v>0</v>
      </c>
      <c r="E33" s="16"/>
      <c r="F33" s="16"/>
      <c r="G33" s="25" t="str">
        <f t="shared" si="4"/>
        <v/>
      </c>
      <c r="H33" s="25" t="str">
        <f t="shared" si="5"/>
        <v/>
      </c>
      <c r="I33" s="27" t="str">
        <f t="shared" ref="I33:J33" si="40">IF(G33="","",IFERROR(G33/C33,""))</f>
        <v/>
      </c>
      <c r="J33" s="27" t="str">
        <f t="shared" si="40"/>
        <v/>
      </c>
      <c r="K33" s="25" t="str">
        <f t="shared" si="7"/>
        <v/>
      </c>
      <c r="L33" s="33" t="str">
        <f t="shared" si="8"/>
        <v>—</v>
      </c>
      <c r="M33" s="21"/>
      <c r="N33" s="21"/>
      <c r="O33" s="21"/>
      <c r="P33" s="21"/>
      <c r="Q33" s="21"/>
      <c r="R33" s="27" t="str">
        <f t="shared" si="9"/>
        <v/>
      </c>
      <c r="S33" s="25" t="str">
        <f t="shared" si="10"/>
        <v/>
      </c>
      <c r="T33" s="34" t="str">
        <f t="shared" si="11"/>
        <v/>
      </c>
      <c r="U33" s="27" t="str">
        <f t="shared" si="12"/>
        <v/>
      </c>
      <c r="V33" s="21"/>
      <c r="W33" s="21"/>
      <c r="X33" s="16"/>
      <c r="Y33" s="24"/>
    </row>
    <row r="34" ht="15.75" customHeight="1">
      <c r="A34" s="14">
        <v>46445.0</v>
      </c>
      <c r="B34" s="15" t="str">
        <f t="shared" si="2"/>
        <v>土</v>
      </c>
      <c r="C34" s="16"/>
      <c r="D34" s="17">
        <f t="shared" si="3"/>
        <v>0</v>
      </c>
      <c r="E34" s="16"/>
      <c r="F34" s="16"/>
      <c r="G34" s="17" t="str">
        <f t="shared" si="4"/>
        <v/>
      </c>
      <c r="H34" s="17" t="str">
        <f t="shared" si="5"/>
        <v/>
      </c>
      <c r="I34" s="18" t="str">
        <f t="shared" ref="I34:J34" si="41">IF(G34="","",IFERROR(G34/C34,""))</f>
        <v/>
      </c>
      <c r="J34" s="18" t="str">
        <f t="shared" si="41"/>
        <v/>
      </c>
      <c r="K34" s="17" t="str">
        <f t="shared" si="7"/>
        <v/>
      </c>
      <c r="L34" s="19" t="str">
        <f t="shared" si="8"/>
        <v>—</v>
      </c>
      <c r="M34" s="21"/>
      <c r="N34" s="21"/>
      <c r="O34" s="21"/>
      <c r="P34" s="21"/>
      <c r="Q34" s="21"/>
      <c r="R34" s="18" t="str">
        <f t="shared" si="9"/>
        <v/>
      </c>
      <c r="S34" s="17" t="str">
        <f t="shared" si="10"/>
        <v/>
      </c>
      <c r="T34" s="22" t="str">
        <f t="shared" si="11"/>
        <v/>
      </c>
      <c r="U34" s="18" t="str">
        <f t="shared" si="12"/>
        <v/>
      </c>
      <c r="V34" s="21"/>
      <c r="W34" s="21"/>
      <c r="X34" s="16"/>
      <c r="Y34" s="24"/>
    </row>
    <row r="35" ht="15.75" customHeight="1">
      <c r="A35" s="32">
        <v>46446.0</v>
      </c>
      <c r="B35" s="23" t="str">
        <f t="shared" si="2"/>
        <v>日</v>
      </c>
      <c r="C35" s="16"/>
      <c r="D35" s="25">
        <f t="shared" si="3"/>
        <v>0</v>
      </c>
      <c r="E35" s="16"/>
      <c r="F35" s="16"/>
      <c r="G35" s="25" t="str">
        <f t="shared" si="4"/>
        <v/>
      </c>
      <c r="H35" s="25" t="str">
        <f t="shared" si="5"/>
        <v/>
      </c>
      <c r="I35" s="27" t="str">
        <f t="shared" ref="I35:J35" si="42">IF(G35="","",IFERROR(G35/C35,""))</f>
        <v/>
      </c>
      <c r="J35" s="27" t="str">
        <f t="shared" si="42"/>
        <v/>
      </c>
      <c r="K35" s="25" t="str">
        <f t="shared" si="7"/>
        <v/>
      </c>
      <c r="L35" s="33" t="str">
        <f t="shared" si="8"/>
        <v>—</v>
      </c>
      <c r="M35" s="21"/>
      <c r="N35" s="21"/>
      <c r="O35" s="21"/>
      <c r="P35" s="21"/>
      <c r="Q35" s="21"/>
      <c r="R35" s="27" t="str">
        <f t="shared" si="9"/>
        <v/>
      </c>
      <c r="S35" s="25" t="str">
        <f t="shared" si="10"/>
        <v/>
      </c>
      <c r="T35" s="34" t="str">
        <f t="shared" si="11"/>
        <v/>
      </c>
      <c r="U35" s="27" t="str">
        <f t="shared" si="12"/>
        <v/>
      </c>
      <c r="V35" s="21"/>
      <c r="W35" s="21"/>
      <c r="X35" s="16"/>
      <c r="Y35" s="24"/>
    </row>
    <row r="36" ht="15.75" customHeight="1">
      <c r="A36" s="45" t="s">
        <v>97</v>
      </c>
      <c r="B36" s="35"/>
      <c r="C36" s="36">
        <f>SUM(C8:C35)</f>
        <v>0</v>
      </c>
      <c r="D36" s="36">
        <f>C36</f>
        <v>0</v>
      </c>
      <c r="E36" s="36">
        <f t="shared" ref="E36:G36" si="43">SUM(E8:E35)</f>
        <v>0</v>
      </c>
      <c r="F36" s="36">
        <f t="shared" si="43"/>
        <v>0</v>
      </c>
      <c r="G36" s="36">
        <f t="shared" si="43"/>
        <v>0</v>
      </c>
      <c r="H36" s="36">
        <f>G36</f>
        <v>0</v>
      </c>
      <c r="I36" s="37" t="str">
        <f>IFERROR(G36/C36,"")</f>
        <v/>
      </c>
      <c r="J36" s="37" t="str">
        <f>IFERROR(G36/C36,"")</f>
        <v/>
      </c>
      <c r="K36" s="36">
        <f>G36-C36</f>
        <v>0</v>
      </c>
      <c r="L36" s="46"/>
      <c r="M36" s="38">
        <f t="shared" ref="M36:Q36" si="44">SUM(M8:M35)</f>
        <v>0</v>
      </c>
      <c r="N36" s="38">
        <f t="shared" si="44"/>
        <v>0</v>
      </c>
      <c r="O36" s="38">
        <f t="shared" si="44"/>
        <v>0</v>
      </c>
      <c r="P36" s="38">
        <f t="shared" si="44"/>
        <v>0</v>
      </c>
      <c r="Q36" s="38">
        <f t="shared" si="44"/>
        <v>0</v>
      </c>
      <c r="R36" s="37" t="str">
        <f t="shared" si="9"/>
        <v/>
      </c>
      <c r="S36" s="36" t="str">
        <f t="shared" si="10"/>
        <v/>
      </c>
      <c r="T36" s="47" t="str">
        <f t="shared" si="11"/>
        <v/>
      </c>
      <c r="U36" s="37" t="str">
        <f t="shared" si="12"/>
        <v/>
      </c>
      <c r="V36" s="38">
        <f>SUM(V8:V35)</f>
        <v>0</v>
      </c>
      <c r="W36" s="38" t="str">
        <f>IFERROR(LOOKUP(9.99E+307,W8:W35),"")</f>
        <v/>
      </c>
      <c r="X36" s="36">
        <f>SUM(X8:X35)</f>
        <v>0</v>
      </c>
      <c r="Y36" s="48" t="s">
        <v>107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5">
    <cfRule type="expression" dxfId="0" priority="1">
      <formula>AND($G8&lt;&gt;"",$K8&gt;=0)</formula>
    </cfRule>
  </conditionalFormatting>
  <conditionalFormatting sqref="K8:K35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12.0"/>
    <col customWidth="1" min="5" max="6" width="11.0"/>
    <col customWidth="1" min="7" max="7" width="12.0"/>
    <col customWidth="1" min="8" max="8" width="13.0"/>
    <col customWidth="1" min="9" max="10" width="9.0"/>
    <col customWidth="1" min="11" max="11" width="13.0"/>
    <col customWidth="1" min="12" max="12" width="11.0"/>
    <col customWidth="1" min="13" max="18" width="8.0"/>
    <col customWidth="1" min="19" max="19" width="11.0"/>
    <col customWidth="1" min="20" max="22" width="8.0"/>
    <col customWidth="1" min="23" max="23" width="10.0"/>
    <col customWidth="1" min="24" max="24" width="9.0"/>
    <col customWidth="1" min="25" max="25" width="28.0"/>
    <col customWidth="1" min="26" max="26" width="3.0"/>
    <col customWidth="1" min="27" max="27" width="5.0"/>
    <col customWidth="1" min="28" max="28" width="13.0"/>
    <col customWidth="1" min="29" max="29" width="12.0"/>
    <col customWidth="1" min="30" max="30" width="9.0"/>
    <col customWidth="1" min="31" max="31" width="11.0"/>
    <col customWidth="1" min="32" max="34" width="9.0"/>
    <col customWidth="1" min="35" max="35" width="8.0"/>
  </cols>
  <sheetData>
    <row r="1" ht="27.75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4" t="s">
        <v>2</v>
      </c>
    </row>
    <row r="3">
      <c r="A3" s="5" t="s">
        <v>3</v>
      </c>
      <c r="B3" s="6"/>
      <c r="C3" s="5" t="s">
        <v>4</v>
      </c>
      <c r="D3" s="6"/>
      <c r="E3" s="5" t="s">
        <v>5</v>
      </c>
      <c r="F3" s="6"/>
      <c r="G3" s="5" t="s">
        <v>142</v>
      </c>
      <c r="H3" s="6"/>
      <c r="I3" s="5" t="s">
        <v>8</v>
      </c>
      <c r="J3" s="6"/>
      <c r="K3" s="5" t="s">
        <v>9</v>
      </c>
      <c r="L3" s="6"/>
    </row>
    <row r="4">
      <c r="A4" s="7">
        <f>IF('設定'!$B$19="",SUM(C8:C38),'設定'!$B$19)</f>
        <v>16000000</v>
      </c>
      <c r="B4" s="6"/>
      <c r="C4" s="8">
        <f>SUM(G8:G38)</f>
        <v>0</v>
      </c>
      <c r="D4" s="6"/>
      <c r="E4" s="9">
        <f>IFERROR(C4/A4,0)</f>
        <v>0</v>
      </c>
      <c r="F4" s="6"/>
      <c r="G4" s="10">
        <f>COUNTIF(G8:G38,"&gt;0")</f>
        <v>0</v>
      </c>
      <c r="H4" s="6"/>
      <c r="I4" s="8">
        <f>A4-C4</f>
        <v>16000000</v>
      </c>
      <c r="J4" s="6"/>
      <c r="K4" s="8">
        <f>IF((31-G4)&gt;0,(A4-C4)/(31-G4),0)</f>
        <v>516129.0323</v>
      </c>
      <c r="L4" s="6"/>
    </row>
    <row r="5">
      <c r="A5" s="5" t="s">
        <v>11</v>
      </c>
      <c r="B5" s="6"/>
      <c r="C5" s="5" t="s">
        <v>12</v>
      </c>
      <c r="D5" s="6"/>
      <c r="E5" s="5" t="s">
        <v>13</v>
      </c>
      <c r="F5" s="6"/>
      <c r="G5" s="5" t="s">
        <v>14</v>
      </c>
      <c r="H5" s="6"/>
      <c r="I5" s="5" t="s">
        <v>15</v>
      </c>
      <c r="J5" s="6"/>
      <c r="K5" s="5" t="s">
        <v>16</v>
      </c>
      <c r="L5" s="6"/>
    </row>
    <row r="6">
      <c r="A6" s="8">
        <f>SUM(C8:C38)</f>
        <v>0</v>
      </c>
      <c r="B6" s="6"/>
      <c r="C6" s="8">
        <f>IFERROR(C4/G4*31,0)</f>
        <v>0</v>
      </c>
      <c r="D6" s="6"/>
      <c r="E6" s="9">
        <f>IFERROR(M39/O39,0)</f>
        <v>0</v>
      </c>
      <c r="F6" s="6"/>
      <c r="G6" s="8">
        <f>IFERROR(G39/M39,0)</f>
        <v>0</v>
      </c>
      <c r="H6" s="6"/>
      <c r="I6" s="11">
        <f>IFERROR(N39/M39,0)</f>
        <v>0</v>
      </c>
      <c r="J6" s="6"/>
      <c r="K6" s="9">
        <f>IFERROR(P39/O39,0)</f>
        <v>0</v>
      </c>
      <c r="L6" s="6"/>
    </row>
    <row r="7" ht="30.0" customHeight="1">
      <c r="A7" s="12" t="s">
        <v>23</v>
      </c>
      <c r="B7" s="12" t="s">
        <v>24</v>
      </c>
      <c r="C7" s="12" t="s">
        <v>25</v>
      </c>
      <c r="D7" s="12" t="s">
        <v>27</v>
      </c>
      <c r="E7" s="12" t="s">
        <v>28</v>
      </c>
      <c r="F7" s="12" t="s">
        <v>29</v>
      </c>
      <c r="G7" s="12" t="s">
        <v>30</v>
      </c>
      <c r="H7" s="12" t="s">
        <v>31</v>
      </c>
      <c r="I7" s="12" t="s">
        <v>32</v>
      </c>
      <c r="J7" s="12" t="s">
        <v>33</v>
      </c>
      <c r="K7" s="12" t="s">
        <v>34</v>
      </c>
      <c r="L7" s="12" t="s">
        <v>35</v>
      </c>
      <c r="M7" s="12" t="s">
        <v>36</v>
      </c>
      <c r="N7" s="12" t="s">
        <v>37</v>
      </c>
      <c r="O7" s="12" t="s">
        <v>38</v>
      </c>
      <c r="P7" s="12" t="s">
        <v>39</v>
      </c>
      <c r="Q7" s="12" t="s">
        <v>40</v>
      </c>
      <c r="R7" s="12" t="s">
        <v>13</v>
      </c>
      <c r="S7" s="12" t="s">
        <v>14</v>
      </c>
      <c r="T7" s="12" t="s">
        <v>15</v>
      </c>
      <c r="U7" s="12" t="s">
        <v>16</v>
      </c>
      <c r="V7" s="12" t="s">
        <v>41</v>
      </c>
      <c r="W7" s="12" t="s">
        <v>42</v>
      </c>
      <c r="X7" s="12" t="s">
        <v>43</v>
      </c>
      <c r="Y7" s="12" t="s">
        <v>44</v>
      </c>
      <c r="AA7" s="13" t="s">
        <v>45</v>
      </c>
      <c r="AB7" s="13" t="s">
        <v>46</v>
      </c>
      <c r="AC7" s="13" t="s">
        <v>47</v>
      </c>
      <c r="AD7" s="13" t="s">
        <v>13</v>
      </c>
      <c r="AE7" s="13" t="s">
        <v>14</v>
      </c>
    </row>
    <row r="8">
      <c r="A8" s="14">
        <v>46447.0</v>
      </c>
      <c r="B8" s="15" t="str">
        <f t="shared" ref="B8:B38" si="2">MID("日月火水木金土",WEEKDAY(A8),1)</f>
        <v>月</v>
      </c>
      <c r="C8" s="16"/>
      <c r="D8" s="17">
        <f t="shared" ref="D8:D38" si="3">SUM($C$8:C8)</f>
        <v>0</v>
      </c>
      <c r="E8" s="16"/>
      <c r="F8" s="16"/>
      <c r="G8" s="17" t="str">
        <f t="shared" ref="G8:G38" si="4">IF(COUNT(E8:F8)=0,"",SUM(E8:F8))</f>
        <v/>
      </c>
      <c r="H8" s="17" t="str">
        <f t="shared" ref="H8:H38" si="5">IF(G8="","",SUM($G$8:G8))</f>
        <v/>
      </c>
      <c r="I8" s="18" t="str">
        <f t="shared" ref="I8:J8" si="1">IF(G8="","",IFERROR(G8/C8,""))</f>
        <v/>
      </c>
      <c r="J8" s="18" t="str">
        <f t="shared" si="1"/>
        <v/>
      </c>
      <c r="K8" s="17" t="str">
        <f t="shared" ref="K8:K38" si="7">IF(H8="","",IF(D8=0,"",H8-D8))</f>
        <v/>
      </c>
      <c r="L8" s="19" t="str">
        <f t="shared" ref="L8:L38" si="8">IF(G8="","—",IF(D8=0,"予算未入力",IF(H8&gt;=D8,"◎ ペース内","▲ 遅れ")))</f>
        <v>—</v>
      </c>
      <c r="M8" s="21"/>
      <c r="N8" s="21"/>
      <c r="O8" s="21"/>
      <c r="P8" s="21"/>
      <c r="Q8" s="21"/>
      <c r="R8" s="18" t="str">
        <f t="shared" ref="R8:R39" si="9">IFERROR(M8/O8,"")</f>
        <v/>
      </c>
      <c r="S8" s="17" t="str">
        <f t="shared" ref="S8:S39" si="10">IFERROR(G8/M8,"")</f>
        <v/>
      </c>
      <c r="T8" s="22" t="str">
        <f t="shared" ref="T8:T39" si="11">IFERROR(N8/M8,"")</f>
        <v/>
      </c>
      <c r="U8" s="18" t="str">
        <f t="shared" ref="U8:U39" si="12">IFERROR(P8/O8,"")</f>
        <v/>
      </c>
      <c r="V8" s="21"/>
      <c r="W8" s="21"/>
      <c r="X8" s="16"/>
      <c r="Y8" s="24"/>
      <c r="AA8" s="26" t="s">
        <v>48</v>
      </c>
      <c r="AB8" s="28">
        <f t="shared" ref="AB8:AB14" si="13">IFERROR(AVERAGEIFS($G$8:$G$38,$B$8:$B$38,AA8,$G$8:$G$38,"&gt;0"),0)</f>
        <v>0</v>
      </c>
      <c r="AC8" s="30">
        <f t="shared" ref="AC8:AC14" si="14">COUNTIFS($B$8:$B$38,AA8,$G$8:$G$38,"&gt;0")</f>
        <v>0</v>
      </c>
      <c r="AD8" s="31">
        <f t="shared" ref="AD8:AD14" si="15">IFERROR(SUMIF($B$8:$B$38,AA8,$M$8:$M$38)/SUMIF($B$8:$B$38,AA8,$O$8:$O$38),0)</f>
        <v>0</v>
      </c>
      <c r="AE8" s="28">
        <f t="shared" ref="AE8:AE14" si="16">IFERROR(SUMIF($B$8:$B$38,AA8,$G$8:$G$38)/SUMIF($B$8:$B$38,AA8,$M$8:$M$38),0)</f>
        <v>0</v>
      </c>
    </row>
    <row r="9">
      <c r="A9" s="32">
        <v>46448.0</v>
      </c>
      <c r="B9" s="23" t="str">
        <f t="shared" si="2"/>
        <v>火</v>
      </c>
      <c r="C9" s="16"/>
      <c r="D9" s="25">
        <f t="shared" si="3"/>
        <v>0</v>
      </c>
      <c r="E9" s="16"/>
      <c r="F9" s="16"/>
      <c r="G9" s="25" t="str">
        <f t="shared" si="4"/>
        <v/>
      </c>
      <c r="H9" s="25" t="str">
        <f t="shared" si="5"/>
        <v/>
      </c>
      <c r="I9" s="27" t="str">
        <f t="shared" ref="I9:J9" si="6">IF(G9="","",IFERROR(G9/C9,""))</f>
        <v/>
      </c>
      <c r="J9" s="27" t="str">
        <f t="shared" si="6"/>
        <v/>
      </c>
      <c r="K9" s="25" t="str">
        <f t="shared" si="7"/>
        <v/>
      </c>
      <c r="L9" s="33" t="str">
        <f t="shared" si="8"/>
        <v>—</v>
      </c>
      <c r="M9" s="21"/>
      <c r="N9" s="21"/>
      <c r="O9" s="21"/>
      <c r="P9" s="21"/>
      <c r="Q9" s="21"/>
      <c r="R9" s="27" t="str">
        <f t="shared" si="9"/>
        <v/>
      </c>
      <c r="S9" s="25" t="str">
        <f t="shared" si="10"/>
        <v/>
      </c>
      <c r="T9" s="34" t="str">
        <f t="shared" si="11"/>
        <v/>
      </c>
      <c r="U9" s="27" t="str">
        <f t="shared" si="12"/>
        <v/>
      </c>
      <c r="V9" s="21"/>
      <c r="W9" s="21"/>
      <c r="X9" s="16"/>
      <c r="Y9" s="24"/>
      <c r="AA9" s="26" t="s">
        <v>58</v>
      </c>
      <c r="AB9" s="28">
        <f t="shared" si="13"/>
        <v>0</v>
      </c>
      <c r="AC9" s="30">
        <f t="shared" si="14"/>
        <v>0</v>
      </c>
      <c r="AD9" s="31">
        <f t="shared" si="15"/>
        <v>0</v>
      </c>
      <c r="AE9" s="28">
        <f t="shared" si="16"/>
        <v>0</v>
      </c>
    </row>
    <row r="10">
      <c r="A10" s="14">
        <v>46449.0</v>
      </c>
      <c r="B10" s="15" t="str">
        <f t="shared" si="2"/>
        <v>水</v>
      </c>
      <c r="C10" s="16"/>
      <c r="D10" s="17">
        <f t="shared" si="3"/>
        <v>0</v>
      </c>
      <c r="E10" s="16"/>
      <c r="F10" s="16"/>
      <c r="G10" s="17" t="str">
        <f t="shared" si="4"/>
        <v/>
      </c>
      <c r="H10" s="17" t="str">
        <f t="shared" si="5"/>
        <v/>
      </c>
      <c r="I10" s="18" t="str">
        <f t="shared" ref="I10:J10" si="17">IF(G10="","",IFERROR(G10/C10,""))</f>
        <v/>
      </c>
      <c r="J10" s="18" t="str">
        <f t="shared" si="17"/>
        <v/>
      </c>
      <c r="K10" s="17" t="str">
        <f t="shared" si="7"/>
        <v/>
      </c>
      <c r="L10" s="19" t="str">
        <f t="shared" si="8"/>
        <v>—</v>
      </c>
      <c r="M10" s="21"/>
      <c r="N10" s="21"/>
      <c r="O10" s="21"/>
      <c r="P10" s="21"/>
      <c r="Q10" s="21"/>
      <c r="R10" s="18" t="str">
        <f t="shared" si="9"/>
        <v/>
      </c>
      <c r="S10" s="17" t="str">
        <f t="shared" si="10"/>
        <v/>
      </c>
      <c r="T10" s="22" t="str">
        <f t="shared" si="11"/>
        <v/>
      </c>
      <c r="U10" s="18" t="str">
        <f t="shared" si="12"/>
        <v/>
      </c>
      <c r="V10" s="21"/>
      <c r="W10" s="21"/>
      <c r="X10" s="16"/>
      <c r="Y10" s="24"/>
      <c r="AA10" s="26" t="s">
        <v>61</v>
      </c>
      <c r="AB10" s="28">
        <f t="shared" si="13"/>
        <v>0</v>
      </c>
      <c r="AC10" s="30">
        <f t="shared" si="14"/>
        <v>0</v>
      </c>
      <c r="AD10" s="31">
        <f t="shared" si="15"/>
        <v>0</v>
      </c>
      <c r="AE10" s="28">
        <f t="shared" si="16"/>
        <v>0</v>
      </c>
    </row>
    <row r="11">
      <c r="A11" s="32">
        <v>46450.0</v>
      </c>
      <c r="B11" s="23" t="str">
        <f t="shared" si="2"/>
        <v>木</v>
      </c>
      <c r="C11" s="16"/>
      <c r="D11" s="25">
        <f t="shared" si="3"/>
        <v>0</v>
      </c>
      <c r="E11" s="16"/>
      <c r="F11" s="16"/>
      <c r="G11" s="25" t="str">
        <f t="shared" si="4"/>
        <v/>
      </c>
      <c r="H11" s="25" t="str">
        <f t="shared" si="5"/>
        <v/>
      </c>
      <c r="I11" s="27" t="str">
        <f t="shared" ref="I11:J11" si="18">IF(G11="","",IFERROR(G11/C11,""))</f>
        <v/>
      </c>
      <c r="J11" s="27" t="str">
        <f t="shared" si="18"/>
        <v/>
      </c>
      <c r="K11" s="25" t="str">
        <f t="shared" si="7"/>
        <v/>
      </c>
      <c r="L11" s="33" t="str">
        <f t="shared" si="8"/>
        <v>—</v>
      </c>
      <c r="M11" s="21"/>
      <c r="N11" s="21"/>
      <c r="O11" s="21"/>
      <c r="P11" s="21"/>
      <c r="Q11" s="21"/>
      <c r="R11" s="27" t="str">
        <f t="shared" si="9"/>
        <v/>
      </c>
      <c r="S11" s="25" t="str">
        <f t="shared" si="10"/>
        <v/>
      </c>
      <c r="T11" s="34" t="str">
        <f t="shared" si="11"/>
        <v/>
      </c>
      <c r="U11" s="27" t="str">
        <f t="shared" si="12"/>
        <v/>
      </c>
      <c r="V11" s="21"/>
      <c r="W11" s="21"/>
      <c r="X11" s="16"/>
      <c r="Y11" s="24"/>
      <c r="AA11" s="26" t="s">
        <v>64</v>
      </c>
      <c r="AB11" s="28">
        <f t="shared" si="13"/>
        <v>0</v>
      </c>
      <c r="AC11" s="30">
        <f t="shared" si="14"/>
        <v>0</v>
      </c>
      <c r="AD11" s="31">
        <f t="shared" si="15"/>
        <v>0</v>
      </c>
      <c r="AE11" s="28">
        <f t="shared" si="16"/>
        <v>0</v>
      </c>
    </row>
    <row r="12">
      <c r="A12" s="14">
        <v>46451.0</v>
      </c>
      <c r="B12" s="15" t="str">
        <f t="shared" si="2"/>
        <v>金</v>
      </c>
      <c r="C12" s="16"/>
      <c r="D12" s="17">
        <f t="shared" si="3"/>
        <v>0</v>
      </c>
      <c r="E12" s="16"/>
      <c r="F12" s="16"/>
      <c r="G12" s="17" t="str">
        <f t="shared" si="4"/>
        <v/>
      </c>
      <c r="H12" s="17" t="str">
        <f t="shared" si="5"/>
        <v/>
      </c>
      <c r="I12" s="18" t="str">
        <f t="shared" ref="I12:J12" si="19">IF(G12="","",IFERROR(G12/C12,""))</f>
        <v/>
      </c>
      <c r="J12" s="18" t="str">
        <f t="shared" si="19"/>
        <v/>
      </c>
      <c r="K12" s="17" t="str">
        <f t="shared" si="7"/>
        <v/>
      </c>
      <c r="L12" s="19" t="str">
        <f t="shared" si="8"/>
        <v>—</v>
      </c>
      <c r="M12" s="21"/>
      <c r="N12" s="21"/>
      <c r="O12" s="21"/>
      <c r="P12" s="21"/>
      <c r="Q12" s="21"/>
      <c r="R12" s="18" t="str">
        <f t="shared" si="9"/>
        <v/>
      </c>
      <c r="S12" s="17" t="str">
        <f t="shared" si="10"/>
        <v/>
      </c>
      <c r="T12" s="22" t="str">
        <f t="shared" si="11"/>
        <v/>
      </c>
      <c r="U12" s="18" t="str">
        <f t="shared" si="12"/>
        <v/>
      </c>
      <c r="V12" s="21"/>
      <c r="W12" s="21"/>
      <c r="X12" s="16"/>
      <c r="Y12" s="24"/>
      <c r="AA12" s="26" t="s">
        <v>67</v>
      </c>
      <c r="AB12" s="28">
        <f t="shared" si="13"/>
        <v>0</v>
      </c>
      <c r="AC12" s="30">
        <f t="shared" si="14"/>
        <v>0</v>
      </c>
      <c r="AD12" s="31">
        <f t="shared" si="15"/>
        <v>0</v>
      </c>
      <c r="AE12" s="28">
        <f t="shared" si="16"/>
        <v>0</v>
      </c>
    </row>
    <row r="13">
      <c r="A13" s="32">
        <v>46452.0</v>
      </c>
      <c r="B13" s="23" t="str">
        <f t="shared" si="2"/>
        <v>土</v>
      </c>
      <c r="C13" s="16"/>
      <c r="D13" s="25">
        <f t="shared" si="3"/>
        <v>0</v>
      </c>
      <c r="E13" s="16"/>
      <c r="F13" s="16"/>
      <c r="G13" s="25" t="str">
        <f t="shared" si="4"/>
        <v/>
      </c>
      <c r="H13" s="25" t="str">
        <f t="shared" si="5"/>
        <v/>
      </c>
      <c r="I13" s="27" t="str">
        <f t="shared" ref="I13:J13" si="20">IF(G13="","",IFERROR(G13/C13,""))</f>
        <v/>
      </c>
      <c r="J13" s="27" t="str">
        <f t="shared" si="20"/>
        <v/>
      </c>
      <c r="K13" s="25" t="str">
        <f t="shared" si="7"/>
        <v/>
      </c>
      <c r="L13" s="33" t="str">
        <f t="shared" si="8"/>
        <v>—</v>
      </c>
      <c r="M13" s="21"/>
      <c r="N13" s="21"/>
      <c r="O13" s="21"/>
      <c r="P13" s="21"/>
      <c r="Q13" s="21"/>
      <c r="R13" s="27" t="str">
        <f t="shared" si="9"/>
        <v/>
      </c>
      <c r="S13" s="25" t="str">
        <f t="shared" si="10"/>
        <v/>
      </c>
      <c r="T13" s="34" t="str">
        <f t="shared" si="11"/>
        <v/>
      </c>
      <c r="U13" s="27" t="str">
        <f t="shared" si="12"/>
        <v/>
      </c>
      <c r="V13" s="21"/>
      <c r="W13" s="21"/>
      <c r="X13" s="16"/>
      <c r="Y13" s="24"/>
      <c r="AA13" s="26" t="s">
        <v>69</v>
      </c>
      <c r="AB13" s="28">
        <f t="shared" si="13"/>
        <v>0</v>
      </c>
      <c r="AC13" s="30">
        <f t="shared" si="14"/>
        <v>0</v>
      </c>
      <c r="AD13" s="31">
        <f t="shared" si="15"/>
        <v>0</v>
      </c>
      <c r="AE13" s="28">
        <f t="shared" si="16"/>
        <v>0</v>
      </c>
    </row>
    <row r="14">
      <c r="A14" s="14">
        <v>46453.0</v>
      </c>
      <c r="B14" s="15" t="str">
        <f t="shared" si="2"/>
        <v>日</v>
      </c>
      <c r="C14" s="16"/>
      <c r="D14" s="17">
        <f t="shared" si="3"/>
        <v>0</v>
      </c>
      <c r="E14" s="16"/>
      <c r="F14" s="16"/>
      <c r="G14" s="17" t="str">
        <f t="shared" si="4"/>
        <v/>
      </c>
      <c r="H14" s="17" t="str">
        <f t="shared" si="5"/>
        <v/>
      </c>
      <c r="I14" s="18" t="str">
        <f t="shared" ref="I14:J14" si="21">IF(G14="","",IFERROR(G14/C14,""))</f>
        <v/>
      </c>
      <c r="J14" s="18" t="str">
        <f t="shared" si="21"/>
        <v/>
      </c>
      <c r="K14" s="17" t="str">
        <f t="shared" si="7"/>
        <v/>
      </c>
      <c r="L14" s="19" t="str">
        <f t="shared" si="8"/>
        <v>—</v>
      </c>
      <c r="M14" s="21"/>
      <c r="N14" s="21"/>
      <c r="O14" s="21"/>
      <c r="P14" s="21"/>
      <c r="Q14" s="21"/>
      <c r="R14" s="18" t="str">
        <f t="shared" si="9"/>
        <v/>
      </c>
      <c r="S14" s="17" t="str">
        <f t="shared" si="10"/>
        <v/>
      </c>
      <c r="T14" s="22" t="str">
        <f t="shared" si="11"/>
        <v/>
      </c>
      <c r="U14" s="18" t="str">
        <f t="shared" si="12"/>
        <v/>
      </c>
      <c r="V14" s="21"/>
      <c r="W14" s="21"/>
      <c r="X14" s="16"/>
      <c r="Y14" s="24"/>
      <c r="AA14" s="26" t="s">
        <v>71</v>
      </c>
      <c r="AB14" s="28">
        <f t="shared" si="13"/>
        <v>0</v>
      </c>
      <c r="AC14" s="30">
        <f t="shared" si="14"/>
        <v>0</v>
      </c>
      <c r="AD14" s="31">
        <f t="shared" si="15"/>
        <v>0</v>
      </c>
      <c r="AE14" s="28">
        <f t="shared" si="16"/>
        <v>0</v>
      </c>
    </row>
    <row r="15">
      <c r="A15" s="32">
        <v>46454.0</v>
      </c>
      <c r="B15" s="23" t="str">
        <f t="shared" si="2"/>
        <v>月</v>
      </c>
      <c r="C15" s="16"/>
      <c r="D15" s="25">
        <f t="shared" si="3"/>
        <v>0</v>
      </c>
      <c r="E15" s="16"/>
      <c r="F15" s="16"/>
      <c r="G15" s="25" t="str">
        <f t="shared" si="4"/>
        <v/>
      </c>
      <c r="H15" s="25" t="str">
        <f t="shared" si="5"/>
        <v/>
      </c>
      <c r="I15" s="27" t="str">
        <f t="shared" ref="I15:J15" si="22">IF(G15="","",IFERROR(G15/C15,""))</f>
        <v/>
      </c>
      <c r="J15" s="27" t="str">
        <f t="shared" si="22"/>
        <v/>
      </c>
      <c r="K15" s="25" t="str">
        <f t="shared" si="7"/>
        <v/>
      </c>
      <c r="L15" s="33" t="str">
        <f t="shared" si="8"/>
        <v>—</v>
      </c>
      <c r="M15" s="21"/>
      <c r="N15" s="21"/>
      <c r="O15" s="21"/>
      <c r="P15" s="21"/>
      <c r="Q15" s="21"/>
      <c r="R15" s="27" t="str">
        <f t="shared" si="9"/>
        <v/>
      </c>
      <c r="S15" s="25" t="str">
        <f t="shared" si="10"/>
        <v/>
      </c>
      <c r="T15" s="34" t="str">
        <f t="shared" si="11"/>
        <v/>
      </c>
      <c r="U15" s="27" t="str">
        <f t="shared" si="12"/>
        <v/>
      </c>
      <c r="V15" s="21"/>
      <c r="W15" s="21"/>
      <c r="X15" s="16"/>
      <c r="Y15" s="24"/>
    </row>
    <row r="16">
      <c r="A16" s="14">
        <v>46455.0</v>
      </c>
      <c r="B16" s="15" t="str">
        <f t="shared" si="2"/>
        <v>火</v>
      </c>
      <c r="C16" s="16"/>
      <c r="D16" s="17">
        <f t="shared" si="3"/>
        <v>0</v>
      </c>
      <c r="E16" s="16"/>
      <c r="F16" s="16"/>
      <c r="G16" s="17" t="str">
        <f t="shared" si="4"/>
        <v/>
      </c>
      <c r="H16" s="17" t="str">
        <f t="shared" si="5"/>
        <v/>
      </c>
      <c r="I16" s="18" t="str">
        <f t="shared" ref="I16:J16" si="23">IF(G16="","",IFERROR(G16/C16,""))</f>
        <v/>
      </c>
      <c r="J16" s="18" t="str">
        <f t="shared" si="23"/>
        <v/>
      </c>
      <c r="K16" s="17" t="str">
        <f t="shared" si="7"/>
        <v/>
      </c>
      <c r="L16" s="19" t="str">
        <f t="shared" si="8"/>
        <v>—</v>
      </c>
      <c r="M16" s="21"/>
      <c r="N16" s="21"/>
      <c r="O16" s="21"/>
      <c r="P16" s="21"/>
      <c r="Q16" s="21"/>
      <c r="R16" s="18" t="str">
        <f t="shared" si="9"/>
        <v/>
      </c>
      <c r="S16" s="17" t="str">
        <f t="shared" si="10"/>
        <v/>
      </c>
      <c r="T16" s="22" t="str">
        <f t="shared" si="11"/>
        <v/>
      </c>
      <c r="U16" s="18" t="str">
        <f t="shared" si="12"/>
        <v/>
      </c>
      <c r="V16" s="21"/>
      <c r="W16" s="21"/>
      <c r="X16" s="16"/>
      <c r="Y16" s="24"/>
      <c r="AA16" s="39" t="s">
        <v>75</v>
      </c>
    </row>
    <row r="17">
      <c r="A17" s="32">
        <v>46456.0</v>
      </c>
      <c r="B17" s="23" t="str">
        <f t="shared" si="2"/>
        <v>水</v>
      </c>
      <c r="C17" s="16"/>
      <c r="D17" s="25">
        <f t="shared" si="3"/>
        <v>0</v>
      </c>
      <c r="E17" s="16"/>
      <c r="F17" s="16"/>
      <c r="G17" s="25" t="str">
        <f t="shared" si="4"/>
        <v/>
      </c>
      <c r="H17" s="25" t="str">
        <f t="shared" si="5"/>
        <v/>
      </c>
      <c r="I17" s="27" t="str">
        <f t="shared" ref="I17:J17" si="24">IF(G17="","",IFERROR(G17/C17,""))</f>
        <v/>
      </c>
      <c r="J17" s="27" t="str">
        <f t="shared" si="24"/>
        <v/>
      </c>
      <c r="K17" s="25" t="str">
        <f t="shared" si="7"/>
        <v/>
      </c>
      <c r="L17" s="33" t="str">
        <f t="shared" si="8"/>
        <v>—</v>
      </c>
      <c r="M17" s="21"/>
      <c r="N17" s="21"/>
      <c r="O17" s="21"/>
      <c r="P17" s="21"/>
      <c r="Q17" s="21"/>
      <c r="R17" s="27" t="str">
        <f t="shared" si="9"/>
        <v/>
      </c>
      <c r="S17" s="25" t="str">
        <f t="shared" si="10"/>
        <v/>
      </c>
      <c r="T17" s="34" t="str">
        <f t="shared" si="11"/>
        <v/>
      </c>
      <c r="U17" s="27" t="str">
        <f t="shared" si="12"/>
        <v/>
      </c>
      <c r="V17" s="21"/>
      <c r="W17" s="21"/>
      <c r="X17" s="16"/>
      <c r="Y17" s="24"/>
    </row>
    <row r="18">
      <c r="A18" s="14">
        <v>46457.0</v>
      </c>
      <c r="B18" s="15" t="str">
        <f t="shared" si="2"/>
        <v>木</v>
      </c>
      <c r="C18" s="16"/>
      <c r="D18" s="17">
        <f t="shared" si="3"/>
        <v>0</v>
      </c>
      <c r="E18" s="16"/>
      <c r="F18" s="16"/>
      <c r="G18" s="17" t="str">
        <f t="shared" si="4"/>
        <v/>
      </c>
      <c r="H18" s="17" t="str">
        <f t="shared" si="5"/>
        <v/>
      </c>
      <c r="I18" s="18" t="str">
        <f t="shared" ref="I18:J18" si="25">IF(G18="","",IFERROR(G18/C18,""))</f>
        <v/>
      </c>
      <c r="J18" s="18" t="str">
        <f t="shared" si="25"/>
        <v/>
      </c>
      <c r="K18" s="17" t="str">
        <f t="shared" si="7"/>
        <v/>
      </c>
      <c r="L18" s="19" t="str">
        <f t="shared" si="8"/>
        <v>—</v>
      </c>
      <c r="M18" s="21"/>
      <c r="N18" s="21"/>
      <c r="O18" s="21"/>
      <c r="P18" s="21"/>
      <c r="Q18" s="21"/>
      <c r="R18" s="18" t="str">
        <f t="shared" si="9"/>
        <v/>
      </c>
      <c r="S18" s="17" t="str">
        <f t="shared" si="10"/>
        <v/>
      </c>
      <c r="T18" s="22" t="str">
        <f t="shared" si="11"/>
        <v/>
      </c>
      <c r="U18" s="18" t="str">
        <f t="shared" si="12"/>
        <v/>
      </c>
      <c r="V18" s="21"/>
      <c r="W18" s="21"/>
      <c r="X18" s="16"/>
      <c r="Y18" s="24"/>
      <c r="AA18" s="40" t="s">
        <v>194</v>
      </c>
      <c r="AH18" s="39" t="s">
        <v>146</v>
      </c>
      <c r="AI18" s="41">
        <f>$A$8+MOD(1-WEEKDAY($A$8,2)+7,7)</f>
        <v>46448</v>
      </c>
    </row>
    <row r="19">
      <c r="A19" s="32">
        <v>46458.0</v>
      </c>
      <c r="B19" s="23" t="str">
        <f t="shared" si="2"/>
        <v>金</v>
      </c>
      <c r="C19" s="16"/>
      <c r="D19" s="25">
        <f t="shared" si="3"/>
        <v>0</v>
      </c>
      <c r="E19" s="16"/>
      <c r="F19" s="16"/>
      <c r="G19" s="25" t="str">
        <f t="shared" si="4"/>
        <v/>
      </c>
      <c r="H19" s="25" t="str">
        <f t="shared" si="5"/>
        <v/>
      </c>
      <c r="I19" s="27" t="str">
        <f t="shared" ref="I19:J19" si="26">IF(G19="","",IFERROR(G19/C19,""))</f>
        <v/>
      </c>
      <c r="J19" s="27" t="str">
        <f t="shared" si="26"/>
        <v/>
      </c>
      <c r="K19" s="25" t="str">
        <f t="shared" si="7"/>
        <v/>
      </c>
      <c r="L19" s="33" t="str">
        <f t="shared" si="8"/>
        <v>—</v>
      </c>
      <c r="M19" s="21"/>
      <c r="N19" s="21"/>
      <c r="O19" s="21"/>
      <c r="P19" s="21"/>
      <c r="Q19" s="21"/>
      <c r="R19" s="27" t="str">
        <f t="shared" si="9"/>
        <v/>
      </c>
      <c r="S19" s="25" t="str">
        <f t="shared" si="10"/>
        <v/>
      </c>
      <c r="T19" s="34" t="str">
        <f t="shared" si="11"/>
        <v/>
      </c>
      <c r="U19" s="27" t="str">
        <f t="shared" si="12"/>
        <v/>
      </c>
      <c r="V19" s="21"/>
      <c r="W19" s="21"/>
      <c r="X19" s="16"/>
      <c r="Y19" s="24"/>
      <c r="AA19" s="13" t="s">
        <v>78</v>
      </c>
      <c r="AB19" s="13" t="s">
        <v>79</v>
      </c>
      <c r="AC19" s="13" t="s">
        <v>80</v>
      </c>
      <c r="AD19" s="13" t="s">
        <v>13</v>
      </c>
      <c r="AE19" s="13" t="s">
        <v>14</v>
      </c>
      <c r="AF19" s="13" t="s">
        <v>15</v>
      </c>
      <c r="AG19" s="13" t="s">
        <v>16</v>
      </c>
    </row>
    <row r="20">
      <c r="A20" s="14">
        <v>46459.0</v>
      </c>
      <c r="B20" s="15" t="str">
        <f t="shared" si="2"/>
        <v>土</v>
      </c>
      <c r="C20" s="16"/>
      <c r="D20" s="17">
        <f t="shared" si="3"/>
        <v>0</v>
      </c>
      <c r="E20" s="16"/>
      <c r="F20" s="16"/>
      <c r="G20" s="17" t="str">
        <f t="shared" si="4"/>
        <v/>
      </c>
      <c r="H20" s="17" t="str">
        <f t="shared" si="5"/>
        <v/>
      </c>
      <c r="I20" s="18" t="str">
        <f t="shared" ref="I20:J20" si="27">IF(G20="","",IFERROR(G20/C20,""))</f>
        <v/>
      </c>
      <c r="J20" s="18" t="str">
        <f t="shared" si="27"/>
        <v/>
      </c>
      <c r="K20" s="17" t="str">
        <f t="shared" si="7"/>
        <v/>
      </c>
      <c r="L20" s="19" t="str">
        <f t="shared" si="8"/>
        <v>—</v>
      </c>
      <c r="M20" s="21"/>
      <c r="N20" s="21"/>
      <c r="O20" s="21"/>
      <c r="P20" s="21"/>
      <c r="Q20" s="21"/>
      <c r="R20" s="18" t="str">
        <f t="shared" si="9"/>
        <v/>
      </c>
      <c r="S20" s="17" t="str">
        <f t="shared" si="10"/>
        <v/>
      </c>
      <c r="T20" s="22" t="str">
        <f t="shared" si="11"/>
        <v/>
      </c>
      <c r="U20" s="18" t="str">
        <f t="shared" si="12"/>
        <v/>
      </c>
      <c r="V20" s="21"/>
      <c r="W20" s="21"/>
      <c r="X20" s="16"/>
      <c r="Y20" s="24"/>
      <c r="AA20" s="30">
        <v>1.0</v>
      </c>
      <c r="AB20" s="42" t="str">
        <f>IF($AI$18+7*(1-1)&gt;$A$38,"",TEXT($AI$18+7*(1-1),"m/d")&amp;"-"&amp;TEXT($AI$18+7*(1-1)+6,"m/d"))</f>
        <v>3/2-3/8</v>
      </c>
      <c r="AC20" s="28">
        <f>IF($AB20="","",(SUMIFS($G$8:$G$38,$A$8:$A$38,"&gt;="&amp;$AI$18+7*(1-1),$A$8:$A$38,"&lt;="&amp;$AI$18+7*(1-1)+6)))</f>
        <v>0</v>
      </c>
      <c r="AD20" s="31" t="str">
        <f>IF($AB20="","",IFERROR((SUMIFS($M$8:$M$38,$A$8:$A$38,"&gt;="&amp;$AI$18+7*(1-1),$A$8:$A$38,"&lt;="&amp;$AI$18+7*(1-1)+6))/(SUMIFS($O$8:$O$38,$A$8:$A$38,"&gt;="&amp;$AI$18+7*(1-1),$A$8:$A$38,"&lt;="&amp;$AI$18+7*(1-1)+6)),""))</f>
        <v/>
      </c>
      <c r="AE20" s="28" t="str">
        <f>IF($AB20="","",IFERROR((SUMIFS($G$8:$G$38,$A$8:$A$38,"&gt;="&amp;$AI$18+7*(1-1),$A$8:$A$38,"&lt;="&amp;$AI$18+7*(1-1)+6))/(SUMIFS($M$8:$M$38,$A$8:$A$38,"&gt;="&amp;$AI$18+7*(1-1),$A$8:$A$38,"&lt;="&amp;$AI$18+7*(1-1)+6)),""))</f>
        <v/>
      </c>
      <c r="AF20" s="43" t="str">
        <f>IF($AB20="","",IFERROR((SUMIFS($N$8:$N$38,$A$8:$A$38,"&gt;="&amp;$AI$18+7*(1-1),$A$8:$A$38,"&lt;="&amp;$AI$18+7*(1-1)+6))/(SUMIFS($M$8:$M$38,$A$8:$A$38,"&gt;="&amp;$AI$18+7*(1-1),$A$8:$A$38,"&lt;="&amp;$AI$18+7*(1-1)+6)),""))</f>
        <v/>
      </c>
      <c r="AG20" s="31" t="str">
        <f>IF($AB20="","",IFERROR((SUMIFS($P$8:$P$38,$A$8:$A$38,"&gt;="&amp;$AI$18+7*(1-1),$A$8:$A$38,"&lt;="&amp;$AI$18+7*(1-1)+6))/(SUMIFS($O$8:$O$38,$A$8:$A$38,"&gt;="&amp;$AI$18+7*(1-1),$A$8:$A$38,"&lt;="&amp;$AI$18+7*(1-1)+6)),""))</f>
        <v/>
      </c>
    </row>
    <row r="21" ht="15.75" customHeight="1">
      <c r="A21" s="32">
        <v>46460.0</v>
      </c>
      <c r="B21" s="23" t="str">
        <f t="shared" si="2"/>
        <v>日</v>
      </c>
      <c r="C21" s="16"/>
      <c r="D21" s="25">
        <f t="shared" si="3"/>
        <v>0</v>
      </c>
      <c r="E21" s="16"/>
      <c r="F21" s="16"/>
      <c r="G21" s="25" t="str">
        <f t="shared" si="4"/>
        <v/>
      </c>
      <c r="H21" s="25" t="str">
        <f t="shared" si="5"/>
        <v/>
      </c>
      <c r="I21" s="27" t="str">
        <f t="shared" ref="I21:J21" si="28">IF(G21="","",IFERROR(G21/C21,""))</f>
        <v/>
      </c>
      <c r="J21" s="27" t="str">
        <f t="shared" si="28"/>
        <v/>
      </c>
      <c r="K21" s="25" t="str">
        <f t="shared" si="7"/>
        <v/>
      </c>
      <c r="L21" s="33" t="str">
        <f t="shared" si="8"/>
        <v>—</v>
      </c>
      <c r="M21" s="21"/>
      <c r="N21" s="21"/>
      <c r="O21" s="21"/>
      <c r="P21" s="21"/>
      <c r="Q21" s="21"/>
      <c r="R21" s="27" t="str">
        <f t="shared" si="9"/>
        <v/>
      </c>
      <c r="S21" s="25" t="str">
        <f t="shared" si="10"/>
        <v/>
      </c>
      <c r="T21" s="34" t="str">
        <f t="shared" si="11"/>
        <v/>
      </c>
      <c r="U21" s="27" t="str">
        <f t="shared" si="12"/>
        <v/>
      </c>
      <c r="V21" s="21"/>
      <c r="W21" s="21"/>
      <c r="X21" s="16"/>
      <c r="Y21" s="24"/>
      <c r="AA21" s="30">
        <v>2.0</v>
      </c>
      <c r="AB21" s="42" t="str">
        <f>IF($AI$18+7*(2-1)&gt;$A$38,"",TEXT($AI$18+7*(2-1),"m/d")&amp;"-"&amp;TEXT($AI$18+7*(2-1)+6,"m/d"))</f>
        <v>3/9-3/15</v>
      </c>
      <c r="AC21" s="28">
        <f>IF($AB21="","",(SUMIFS($G$8:$G$38,$A$8:$A$38,"&gt;="&amp;$AI$18+7*(2-1),$A$8:$A$38,"&lt;="&amp;$AI$18+7*(2-1)+6)))</f>
        <v>0</v>
      </c>
      <c r="AD21" s="31" t="str">
        <f>IF($AB21="","",IFERROR((SUMIFS($M$8:$M$38,$A$8:$A$38,"&gt;="&amp;$AI$18+7*(2-1),$A$8:$A$38,"&lt;="&amp;$AI$18+7*(2-1)+6))/(SUMIFS($O$8:$O$38,$A$8:$A$38,"&gt;="&amp;$AI$18+7*(2-1),$A$8:$A$38,"&lt;="&amp;$AI$18+7*(2-1)+6)),""))</f>
        <v/>
      </c>
      <c r="AE21" s="28" t="str">
        <f>IF($AB21="","",IFERROR((SUMIFS($G$8:$G$38,$A$8:$A$38,"&gt;="&amp;$AI$18+7*(2-1),$A$8:$A$38,"&lt;="&amp;$AI$18+7*(2-1)+6))/(SUMIFS($M$8:$M$38,$A$8:$A$38,"&gt;="&amp;$AI$18+7*(2-1),$A$8:$A$38,"&lt;="&amp;$AI$18+7*(2-1)+6)),""))</f>
        <v/>
      </c>
      <c r="AF21" s="43" t="str">
        <f>IF($AB21="","",IFERROR((SUMIFS($N$8:$N$38,$A$8:$A$38,"&gt;="&amp;$AI$18+7*(2-1),$A$8:$A$38,"&lt;="&amp;$AI$18+7*(2-1)+6))/(SUMIFS($M$8:$M$38,$A$8:$A$38,"&gt;="&amp;$AI$18+7*(2-1),$A$8:$A$38,"&lt;="&amp;$AI$18+7*(2-1)+6)),""))</f>
        <v/>
      </c>
      <c r="AG21" s="31" t="str">
        <f>IF($AB21="","",IFERROR((SUMIFS($P$8:$P$38,$A$8:$A$38,"&gt;="&amp;$AI$18+7*(2-1),$A$8:$A$38,"&lt;="&amp;$AI$18+7*(2-1)+6))/(SUMIFS($O$8:$O$38,$A$8:$A$38,"&gt;="&amp;$AI$18+7*(2-1),$A$8:$A$38,"&lt;="&amp;$AI$18+7*(2-1)+6)),""))</f>
        <v/>
      </c>
    </row>
    <row r="22" ht="15.75" customHeight="1">
      <c r="A22" s="14">
        <v>46461.0</v>
      </c>
      <c r="B22" s="15" t="str">
        <f t="shared" si="2"/>
        <v>月</v>
      </c>
      <c r="C22" s="16"/>
      <c r="D22" s="17">
        <f t="shared" si="3"/>
        <v>0</v>
      </c>
      <c r="E22" s="16"/>
      <c r="F22" s="16"/>
      <c r="G22" s="17" t="str">
        <f t="shared" si="4"/>
        <v/>
      </c>
      <c r="H22" s="17" t="str">
        <f t="shared" si="5"/>
        <v/>
      </c>
      <c r="I22" s="18" t="str">
        <f t="shared" ref="I22:J22" si="29">IF(G22="","",IFERROR(G22/C22,""))</f>
        <v/>
      </c>
      <c r="J22" s="18" t="str">
        <f t="shared" si="29"/>
        <v/>
      </c>
      <c r="K22" s="17" t="str">
        <f t="shared" si="7"/>
        <v/>
      </c>
      <c r="L22" s="19" t="str">
        <f t="shared" si="8"/>
        <v>—</v>
      </c>
      <c r="M22" s="21"/>
      <c r="N22" s="21"/>
      <c r="O22" s="21"/>
      <c r="P22" s="21"/>
      <c r="Q22" s="21"/>
      <c r="R22" s="18" t="str">
        <f t="shared" si="9"/>
        <v/>
      </c>
      <c r="S22" s="17" t="str">
        <f t="shared" si="10"/>
        <v/>
      </c>
      <c r="T22" s="22" t="str">
        <f t="shared" si="11"/>
        <v/>
      </c>
      <c r="U22" s="18" t="str">
        <f t="shared" si="12"/>
        <v/>
      </c>
      <c r="V22" s="21"/>
      <c r="W22" s="21"/>
      <c r="X22" s="16"/>
      <c r="Y22" s="24"/>
      <c r="AA22" s="30">
        <v>3.0</v>
      </c>
      <c r="AB22" s="42" t="str">
        <f>IF($AI$18+7*(3-1)&gt;$A$38,"",TEXT($AI$18+7*(3-1),"m/d")&amp;"-"&amp;TEXT($AI$18+7*(3-1)+6,"m/d"))</f>
        <v>3/16-3/22</v>
      </c>
      <c r="AC22" s="28">
        <f>IF($AB22="","",(SUMIFS($G$8:$G$38,$A$8:$A$38,"&gt;="&amp;$AI$18+7*(3-1),$A$8:$A$38,"&lt;="&amp;$AI$18+7*(3-1)+6)))</f>
        <v>0</v>
      </c>
      <c r="AD22" s="31" t="str">
        <f>IF($AB22="","",IFERROR((SUMIFS($M$8:$M$38,$A$8:$A$38,"&gt;="&amp;$AI$18+7*(3-1),$A$8:$A$38,"&lt;="&amp;$AI$18+7*(3-1)+6))/(SUMIFS($O$8:$O$38,$A$8:$A$38,"&gt;="&amp;$AI$18+7*(3-1),$A$8:$A$38,"&lt;="&amp;$AI$18+7*(3-1)+6)),""))</f>
        <v/>
      </c>
      <c r="AE22" s="28" t="str">
        <f>IF($AB22="","",IFERROR((SUMIFS($G$8:$G$38,$A$8:$A$38,"&gt;="&amp;$AI$18+7*(3-1),$A$8:$A$38,"&lt;="&amp;$AI$18+7*(3-1)+6))/(SUMIFS($M$8:$M$38,$A$8:$A$38,"&gt;="&amp;$AI$18+7*(3-1),$A$8:$A$38,"&lt;="&amp;$AI$18+7*(3-1)+6)),""))</f>
        <v/>
      </c>
      <c r="AF22" s="43" t="str">
        <f>IF($AB22="","",IFERROR((SUMIFS($N$8:$N$38,$A$8:$A$38,"&gt;="&amp;$AI$18+7*(3-1),$A$8:$A$38,"&lt;="&amp;$AI$18+7*(3-1)+6))/(SUMIFS($M$8:$M$38,$A$8:$A$38,"&gt;="&amp;$AI$18+7*(3-1),$A$8:$A$38,"&lt;="&amp;$AI$18+7*(3-1)+6)),""))</f>
        <v/>
      </c>
      <c r="AG22" s="31" t="str">
        <f>IF($AB22="","",IFERROR((SUMIFS($P$8:$P$38,$A$8:$A$38,"&gt;="&amp;$AI$18+7*(3-1),$A$8:$A$38,"&lt;="&amp;$AI$18+7*(3-1)+6))/(SUMIFS($O$8:$O$38,$A$8:$A$38,"&gt;="&amp;$AI$18+7*(3-1),$A$8:$A$38,"&lt;="&amp;$AI$18+7*(3-1)+6)),""))</f>
        <v/>
      </c>
    </row>
    <row r="23" ht="15.75" customHeight="1">
      <c r="A23" s="32">
        <v>46462.0</v>
      </c>
      <c r="B23" s="23" t="str">
        <f t="shared" si="2"/>
        <v>火</v>
      </c>
      <c r="C23" s="16"/>
      <c r="D23" s="25">
        <f t="shared" si="3"/>
        <v>0</v>
      </c>
      <c r="E23" s="16"/>
      <c r="F23" s="16"/>
      <c r="G23" s="25" t="str">
        <f t="shared" si="4"/>
        <v/>
      </c>
      <c r="H23" s="25" t="str">
        <f t="shared" si="5"/>
        <v/>
      </c>
      <c r="I23" s="27" t="str">
        <f t="shared" ref="I23:J23" si="30">IF(G23="","",IFERROR(G23/C23,""))</f>
        <v/>
      </c>
      <c r="J23" s="27" t="str">
        <f t="shared" si="30"/>
        <v/>
      </c>
      <c r="K23" s="25" t="str">
        <f t="shared" si="7"/>
        <v/>
      </c>
      <c r="L23" s="33" t="str">
        <f t="shared" si="8"/>
        <v>—</v>
      </c>
      <c r="M23" s="21"/>
      <c r="N23" s="21"/>
      <c r="O23" s="21"/>
      <c r="P23" s="21"/>
      <c r="Q23" s="21"/>
      <c r="R23" s="27" t="str">
        <f t="shared" si="9"/>
        <v/>
      </c>
      <c r="S23" s="25" t="str">
        <f t="shared" si="10"/>
        <v/>
      </c>
      <c r="T23" s="34" t="str">
        <f t="shared" si="11"/>
        <v/>
      </c>
      <c r="U23" s="27" t="str">
        <f t="shared" si="12"/>
        <v/>
      </c>
      <c r="V23" s="21"/>
      <c r="W23" s="21"/>
      <c r="X23" s="16"/>
      <c r="Y23" s="24"/>
      <c r="AA23" s="30">
        <v>4.0</v>
      </c>
      <c r="AB23" s="42" t="str">
        <f>IF($AI$18+7*(4-1)&gt;$A$38,"",TEXT($AI$18+7*(4-1),"m/d")&amp;"-"&amp;TEXT($AI$18+7*(4-1)+6,"m/d"))</f>
        <v>3/23-3/29</v>
      </c>
      <c r="AC23" s="28">
        <f>IF($AB23="","",(SUMIFS($G$8:$G$38,$A$8:$A$38,"&gt;="&amp;$AI$18+7*(4-1),$A$8:$A$38,"&lt;="&amp;$AI$18+7*(4-1)+6)))</f>
        <v>0</v>
      </c>
      <c r="AD23" s="31" t="str">
        <f>IF($AB23="","",IFERROR((SUMIFS($M$8:$M$38,$A$8:$A$38,"&gt;="&amp;$AI$18+7*(4-1),$A$8:$A$38,"&lt;="&amp;$AI$18+7*(4-1)+6))/(SUMIFS($O$8:$O$38,$A$8:$A$38,"&gt;="&amp;$AI$18+7*(4-1),$A$8:$A$38,"&lt;="&amp;$AI$18+7*(4-1)+6)),""))</f>
        <v/>
      </c>
      <c r="AE23" s="28" t="str">
        <f>IF($AB23="","",IFERROR((SUMIFS($G$8:$G$38,$A$8:$A$38,"&gt;="&amp;$AI$18+7*(4-1),$A$8:$A$38,"&lt;="&amp;$AI$18+7*(4-1)+6))/(SUMIFS($M$8:$M$38,$A$8:$A$38,"&gt;="&amp;$AI$18+7*(4-1),$A$8:$A$38,"&lt;="&amp;$AI$18+7*(4-1)+6)),""))</f>
        <v/>
      </c>
      <c r="AF23" s="43" t="str">
        <f>IF($AB23="","",IFERROR((SUMIFS($N$8:$N$38,$A$8:$A$38,"&gt;="&amp;$AI$18+7*(4-1),$A$8:$A$38,"&lt;="&amp;$AI$18+7*(4-1)+6))/(SUMIFS($M$8:$M$38,$A$8:$A$38,"&gt;="&amp;$AI$18+7*(4-1),$A$8:$A$38,"&lt;="&amp;$AI$18+7*(4-1)+6)),""))</f>
        <v/>
      </c>
      <c r="AG23" s="31" t="str">
        <f>IF($AB23="","",IFERROR((SUMIFS($P$8:$P$38,$A$8:$A$38,"&gt;="&amp;$AI$18+7*(4-1),$A$8:$A$38,"&lt;="&amp;$AI$18+7*(4-1)+6))/(SUMIFS($O$8:$O$38,$A$8:$A$38,"&gt;="&amp;$AI$18+7*(4-1),$A$8:$A$38,"&lt;="&amp;$AI$18+7*(4-1)+6)),""))</f>
        <v/>
      </c>
    </row>
    <row r="24" ht="15.75" customHeight="1">
      <c r="A24" s="14">
        <v>46463.0</v>
      </c>
      <c r="B24" s="15" t="str">
        <f t="shared" si="2"/>
        <v>水</v>
      </c>
      <c r="C24" s="16"/>
      <c r="D24" s="17">
        <f t="shared" si="3"/>
        <v>0</v>
      </c>
      <c r="E24" s="16"/>
      <c r="F24" s="16"/>
      <c r="G24" s="17" t="str">
        <f t="shared" si="4"/>
        <v/>
      </c>
      <c r="H24" s="17" t="str">
        <f t="shared" si="5"/>
        <v/>
      </c>
      <c r="I24" s="18" t="str">
        <f t="shared" ref="I24:J24" si="31">IF(G24="","",IFERROR(G24/C24,""))</f>
        <v/>
      </c>
      <c r="J24" s="18" t="str">
        <f t="shared" si="31"/>
        <v/>
      </c>
      <c r="K24" s="17" t="str">
        <f t="shared" si="7"/>
        <v/>
      </c>
      <c r="L24" s="19" t="str">
        <f t="shared" si="8"/>
        <v>—</v>
      </c>
      <c r="M24" s="21"/>
      <c r="N24" s="21"/>
      <c r="O24" s="21"/>
      <c r="P24" s="21"/>
      <c r="Q24" s="21"/>
      <c r="R24" s="18" t="str">
        <f t="shared" si="9"/>
        <v/>
      </c>
      <c r="S24" s="17" t="str">
        <f t="shared" si="10"/>
        <v/>
      </c>
      <c r="T24" s="22" t="str">
        <f t="shared" si="11"/>
        <v/>
      </c>
      <c r="U24" s="18" t="str">
        <f t="shared" si="12"/>
        <v/>
      </c>
      <c r="V24" s="21"/>
      <c r="W24" s="21"/>
      <c r="X24" s="16"/>
      <c r="Y24" s="24"/>
      <c r="AA24" s="30">
        <v>5.0</v>
      </c>
      <c r="AB24" s="42" t="str">
        <f>IF($AI$18+7*(5-1)&gt;$A$38,"",TEXT($AI$18+7*(5-1),"m/d")&amp;"-"&amp;TEXT($AI$18+7*(5-1)+6,"m/d"))</f>
        <v>3/30-4/5</v>
      </c>
      <c r="AC24" s="28">
        <f>IF($AB24="","",(SUMIFS($G$8:$G$38,$A$8:$A$38,"&gt;="&amp;$AI$18+7*(5-1),$A$8:$A$38,"&lt;="&amp;$AI$18+7*(5-1)+6)))</f>
        <v>0</v>
      </c>
      <c r="AD24" s="31" t="str">
        <f>IF($AB24="","",IFERROR((SUMIFS($M$8:$M$38,$A$8:$A$38,"&gt;="&amp;$AI$18+7*(5-1),$A$8:$A$38,"&lt;="&amp;$AI$18+7*(5-1)+6))/(SUMIFS($O$8:$O$38,$A$8:$A$38,"&gt;="&amp;$AI$18+7*(5-1),$A$8:$A$38,"&lt;="&amp;$AI$18+7*(5-1)+6)),""))</f>
        <v/>
      </c>
      <c r="AE24" s="28" t="str">
        <f>IF($AB24="","",IFERROR((SUMIFS($G$8:$G$38,$A$8:$A$38,"&gt;="&amp;$AI$18+7*(5-1),$A$8:$A$38,"&lt;="&amp;$AI$18+7*(5-1)+6))/(SUMIFS($M$8:$M$38,$A$8:$A$38,"&gt;="&amp;$AI$18+7*(5-1),$A$8:$A$38,"&lt;="&amp;$AI$18+7*(5-1)+6)),""))</f>
        <v/>
      </c>
      <c r="AF24" s="43" t="str">
        <f>IF($AB24="","",IFERROR((SUMIFS($N$8:$N$38,$A$8:$A$38,"&gt;="&amp;$AI$18+7*(5-1),$A$8:$A$38,"&lt;="&amp;$AI$18+7*(5-1)+6))/(SUMIFS($M$8:$M$38,$A$8:$A$38,"&gt;="&amp;$AI$18+7*(5-1),$A$8:$A$38,"&lt;="&amp;$AI$18+7*(5-1)+6)),""))</f>
        <v/>
      </c>
      <c r="AG24" s="31" t="str">
        <f>IF($AB24="","",IFERROR((SUMIFS($P$8:$P$38,$A$8:$A$38,"&gt;="&amp;$AI$18+7*(5-1),$A$8:$A$38,"&lt;="&amp;$AI$18+7*(5-1)+6))/(SUMIFS($O$8:$O$38,$A$8:$A$38,"&gt;="&amp;$AI$18+7*(5-1),$A$8:$A$38,"&lt;="&amp;$AI$18+7*(5-1)+6)),""))</f>
        <v/>
      </c>
    </row>
    <row r="25" ht="15.75" customHeight="1">
      <c r="A25" s="32">
        <v>46464.0</v>
      </c>
      <c r="B25" s="23" t="str">
        <f t="shared" si="2"/>
        <v>木</v>
      </c>
      <c r="C25" s="16"/>
      <c r="D25" s="25">
        <f t="shared" si="3"/>
        <v>0</v>
      </c>
      <c r="E25" s="16"/>
      <c r="F25" s="16"/>
      <c r="G25" s="25" t="str">
        <f t="shared" si="4"/>
        <v/>
      </c>
      <c r="H25" s="25" t="str">
        <f t="shared" si="5"/>
        <v/>
      </c>
      <c r="I25" s="27" t="str">
        <f t="shared" ref="I25:J25" si="32">IF(G25="","",IFERROR(G25/C25,""))</f>
        <v/>
      </c>
      <c r="J25" s="27" t="str">
        <f t="shared" si="32"/>
        <v/>
      </c>
      <c r="K25" s="25" t="str">
        <f t="shared" si="7"/>
        <v/>
      </c>
      <c r="L25" s="33" t="str">
        <f t="shared" si="8"/>
        <v>—</v>
      </c>
      <c r="M25" s="21"/>
      <c r="N25" s="21"/>
      <c r="O25" s="21"/>
      <c r="P25" s="21"/>
      <c r="Q25" s="21"/>
      <c r="R25" s="27" t="str">
        <f t="shared" si="9"/>
        <v/>
      </c>
      <c r="S25" s="25" t="str">
        <f t="shared" si="10"/>
        <v/>
      </c>
      <c r="T25" s="34" t="str">
        <f t="shared" si="11"/>
        <v/>
      </c>
      <c r="U25" s="27" t="str">
        <f t="shared" si="12"/>
        <v/>
      </c>
      <c r="V25" s="21"/>
      <c r="W25" s="21"/>
      <c r="X25" s="16"/>
      <c r="Y25" s="24"/>
      <c r="AA25" s="30">
        <v>6.0</v>
      </c>
      <c r="AB25" s="42" t="str">
        <f>IF($AI$18+7*(6-1)&gt;$A$38,"",TEXT($AI$18+7*(6-1),"m/d")&amp;"-"&amp;TEXT($AI$18+7*(6-1)+6,"m/d"))</f>
        <v/>
      </c>
      <c r="AC25" s="28" t="str">
        <f>IF($AB25="","",(SUMIFS($G$8:$G$38,$A$8:$A$38,"&gt;="&amp;$AI$18+7*(6-1),$A$8:$A$38,"&lt;="&amp;$AI$18+7*(6-1)+6)))</f>
        <v/>
      </c>
      <c r="AD25" s="31" t="str">
        <f>IF($AB25="","",IFERROR((SUMIFS($M$8:$M$38,$A$8:$A$38,"&gt;="&amp;$AI$18+7*(6-1),$A$8:$A$38,"&lt;="&amp;$AI$18+7*(6-1)+6))/(SUMIFS($O$8:$O$38,$A$8:$A$38,"&gt;="&amp;$AI$18+7*(6-1),$A$8:$A$38,"&lt;="&amp;$AI$18+7*(6-1)+6)),""))</f>
        <v/>
      </c>
      <c r="AE25" s="28" t="str">
        <f>IF($AB25="","",IFERROR((SUMIFS($G$8:$G$38,$A$8:$A$38,"&gt;="&amp;$AI$18+7*(6-1),$A$8:$A$38,"&lt;="&amp;$AI$18+7*(6-1)+6))/(SUMIFS($M$8:$M$38,$A$8:$A$38,"&gt;="&amp;$AI$18+7*(6-1),$A$8:$A$38,"&lt;="&amp;$AI$18+7*(6-1)+6)),""))</f>
        <v/>
      </c>
      <c r="AF25" s="43" t="str">
        <f>IF($AB25="","",IFERROR((SUMIFS($N$8:$N$38,$A$8:$A$38,"&gt;="&amp;$AI$18+7*(6-1),$A$8:$A$38,"&lt;="&amp;$AI$18+7*(6-1)+6))/(SUMIFS($M$8:$M$38,$A$8:$A$38,"&gt;="&amp;$AI$18+7*(6-1),$A$8:$A$38,"&lt;="&amp;$AI$18+7*(6-1)+6)),""))</f>
        <v/>
      </c>
      <c r="AG25" s="31" t="str">
        <f>IF($AB25="","",IFERROR((SUMIFS($P$8:$P$38,$A$8:$A$38,"&gt;="&amp;$AI$18+7*(6-1),$A$8:$A$38,"&lt;="&amp;$AI$18+7*(6-1)+6))/(SUMIFS($O$8:$O$38,$A$8:$A$38,"&gt;="&amp;$AI$18+7*(6-1),$A$8:$A$38,"&lt;="&amp;$AI$18+7*(6-1)+6)),""))</f>
        <v/>
      </c>
    </row>
    <row r="26" ht="15.75" customHeight="1">
      <c r="A26" s="14">
        <v>46465.0</v>
      </c>
      <c r="B26" s="15" t="str">
        <f t="shared" si="2"/>
        <v>金</v>
      </c>
      <c r="C26" s="16"/>
      <c r="D26" s="17">
        <f t="shared" si="3"/>
        <v>0</v>
      </c>
      <c r="E26" s="16"/>
      <c r="F26" s="16"/>
      <c r="G26" s="17" t="str">
        <f t="shared" si="4"/>
        <v/>
      </c>
      <c r="H26" s="17" t="str">
        <f t="shared" si="5"/>
        <v/>
      </c>
      <c r="I26" s="18" t="str">
        <f t="shared" ref="I26:J26" si="33">IF(G26="","",IFERROR(G26/C26,""))</f>
        <v/>
      </c>
      <c r="J26" s="18" t="str">
        <f t="shared" si="33"/>
        <v/>
      </c>
      <c r="K26" s="17" t="str">
        <f t="shared" si="7"/>
        <v/>
      </c>
      <c r="L26" s="19" t="str">
        <f t="shared" si="8"/>
        <v>—</v>
      </c>
      <c r="M26" s="21"/>
      <c r="N26" s="21"/>
      <c r="O26" s="21"/>
      <c r="P26" s="21"/>
      <c r="Q26" s="21"/>
      <c r="R26" s="18" t="str">
        <f t="shared" si="9"/>
        <v/>
      </c>
      <c r="S26" s="17" t="str">
        <f t="shared" si="10"/>
        <v/>
      </c>
      <c r="T26" s="22" t="str">
        <f t="shared" si="11"/>
        <v/>
      </c>
      <c r="U26" s="18" t="str">
        <f t="shared" si="12"/>
        <v/>
      </c>
      <c r="V26" s="21"/>
      <c r="W26" s="21"/>
      <c r="X26" s="16"/>
      <c r="Y26" s="24"/>
      <c r="AA26" s="39" t="s">
        <v>186</v>
      </c>
    </row>
    <row r="27" ht="15.75" customHeight="1">
      <c r="A27" s="32">
        <v>46466.0</v>
      </c>
      <c r="B27" s="23" t="str">
        <f t="shared" si="2"/>
        <v>土</v>
      </c>
      <c r="C27" s="16"/>
      <c r="D27" s="25">
        <f t="shared" si="3"/>
        <v>0</v>
      </c>
      <c r="E27" s="16"/>
      <c r="F27" s="16"/>
      <c r="G27" s="25" t="str">
        <f t="shared" si="4"/>
        <v/>
      </c>
      <c r="H27" s="25" t="str">
        <f t="shared" si="5"/>
        <v/>
      </c>
      <c r="I27" s="27" t="str">
        <f t="shared" ref="I27:J27" si="34">IF(G27="","",IFERROR(G27/C27,""))</f>
        <v/>
      </c>
      <c r="J27" s="27" t="str">
        <f t="shared" si="34"/>
        <v/>
      </c>
      <c r="K27" s="25" t="str">
        <f t="shared" si="7"/>
        <v/>
      </c>
      <c r="L27" s="33" t="str">
        <f t="shared" si="8"/>
        <v>—</v>
      </c>
      <c r="M27" s="21"/>
      <c r="N27" s="21"/>
      <c r="O27" s="21"/>
      <c r="P27" s="21"/>
      <c r="Q27" s="21"/>
      <c r="R27" s="27" t="str">
        <f t="shared" si="9"/>
        <v/>
      </c>
      <c r="S27" s="25" t="str">
        <f t="shared" si="10"/>
        <v/>
      </c>
      <c r="T27" s="34" t="str">
        <f t="shared" si="11"/>
        <v/>
      </c>
      <c r="U27" s="27" t="str">
        <f t="shared" si="12"/>
        <v/>
      </c>
      <c r="V27" s="21"/>
      <c r="W27" s="21"/>
      <c r="X27" s="16"/>
      <c r="Y27" s="24"/>
      <c r="AA27" s="39" t="s">
        <v>187</v>
      </c>
    </row>
    <row r="28" ht="15.75" customHeight="1">
      <c r="A28" s="14">
        <v>46467.0</v>
      </c>
      <c r="B28" s="15" t="str">
        <f t="shared" si="2"/>
        <v>日</v>
      </c>
      <c r="C28" s="16"/>
      <c r="D28" s="17">
        <f t="shared" si="3"/>
        <v>0</v>
      </c>
      <c r="E28" s="16"/>
      <c r="F28" s="16"/>
      <c r="G28" s="17" t="str">
        <f t="shared" si="4"/>
        <v/>
      </c>
      <c r="H28" s="17" t="str">
        <f t="shared" si="5"/>
        <v/>
      </c>
      <c r="I28" s="18" t="str">
        <f t="shared" ref="I28:J28" si="35">IF(G28="","",IFERROR(G28/C28,""))</f>
        <v/>
      </c>
      <c r="J28" s="18" t="str">
        <f t="shared" si="35"/>
        <v/>
      </c>
      <c r="K28" s="17" t="str">
        <f t="shared" si="7"/>
        <v/>
      </c>
      <c r="L28" s="19" t="str">
        <f t="shared" si="8"/>
        <v>—</v>
      </c>
      <c r="M28" s="21"/>
      <c r="N28" s="21"/>
      <c r="O28" s="21"/>
      <c r="P28" s="21"/>
      <c r="Q28" s="21"/>
      <c r="R28" s="18" t="str">
        <f t="shared" si="9"/>
        <v/>
      </c>
      <c r="S28" s="17" t="str">
        <f t="shared" si="10"/>
        <v/>
      </c>
      <c r="T28" s="22" t="str">
        <f t="shared" si="11"/>
        <v/>
      </c>
      <c r="U28" s="18" t="str">
        <f t="shared" si="12"/>
        <v/>
      </c>
      <c r="V28" s="21"/>
      <c r="W28" s="21"/>
      <c r="X28" s="16"/>
      <c r="Y28" s="24"/>
      <c r="AA28" s="39" t="s">
        <v>188</v>
      </c>
    </row>
    <row r="29" ht="15.75" customHeight="1">
      <c r="A29" s="32">
        <v>46468.0</v>
      </c>
      <c r="B29" s="23" t="str">
        <f t="shared" si="2"/>
        <v>月</v>
      </c>
      <c r="C29" s="16"/>
      <c r="D29" s="25">
        <f t="shared" si="3"/>
        <v>0</v>
      </c>
      <c r="E29" s="16"/>
      <c r="F29" s="16"/>
      <c r="G29" s="25" t="str">
        <f t="shared" si="4"/>
        <v/>
      </c>
      <c r="H29" s="25" t="str">
        <f t="shared" si="5"/>
        <v/>
      </c>
      <c r="I29" s="27" t="str">
        <f t="shared" ref="I29:J29" si="36">IF(G29="","",IFERROR(G29/C29,""))</f>
        <v/>
      </c>
      <c r="J29" s="27" t="str">
        <f t="shared" si="36"/>
        <v/>
      </c>
      <c r="K29" s="25" t="str">
        <f t="shared" si="7"/>
        <v/>
      </c>
      <c r="L29" s="33" t="str">
        <f t="shared" si="8"/>
        <v>—</v>
      </c>
      <c r="M29" s="21"/>
      <c r="N29" s="21"/>
      <c r="O29" s="21"/>
      <c r="P29" s="21"/>
      <c r="Q29" s="21"/>
      <c r="R29" s="27" t="str">
        <f t="shared" si="9"/>
        <v/>
      </c>
      <c r="S29" s="25" t="str">
        <f t="shared" si="10"/>
        <v/>
      </c>
      <c r="T29" s="34" t="str">
        <f t="shared" si="11"/>
        <v/>
      </c>
      <c r="U29" s="27" t="str">
        <f t="shared" si="12"/>
        <v/>
      </c>
      <c r="V29" s="21"/>
      <c r="W29" s="21"/>
      <c r="X29" s="16"/>
      <c r="Y29" s="24"/>
    </row>
    <row r="30" ht="15.75" customHeight="1">
      <c r="A30" s="14">
        <v>46469.0</v>
      </c>
      <c r="B30" s="15" t="str">
        <f t="shared" si="2"/>
        <v>火</v>
      </c>
      <c r="C30" s="16"/>
      <c r="D30" s="17">
        <f t="shared" si="3"/>
        <v>0</v>
      </c>
      <c r="E30" s="16"/>
      <c r="F30" s="16"/>
      <c r="G30" s="17" t="str">
        <f t="shared" si="4"/>
        <v/>
      </c>
      <c r="H30" s="17" t="str">
        <f t="shared" si="5"/>
        <v/>
      </c>
      <c r="I30" s="18" t="str">
        <f t="shared" ref="I30:J30" si="37">IF(G30="","",IFERROR(G30/C30,""))</f>
        <v/>
      </c>
      <c r="J30" s="18" t="str">
        <f t="shared" si="37"/>
        <v/>
      </c>
      <c r="K30" s="17" t="str">
        <f t="shared" si="7"/>
        <v/>
      </c>
      <c r="L30" s="19" t="str">
        <f t="shared" si="8"/>
        <v>—</v>
      </c>
      <c r="M30" s="21"/>
      <c r="N30" s="21"/>
      <c r="O30" s="21"/>
      <c r="P30" s="21"/>
      <c r="Q30" s="21"/>
      <c r="R30" s="18" t="str">
        <f t="shared" si="9"/>
        <v/>
      </c>
      <c r="S30" s="17" t="str">
        <f t="shared" si="10"/>
        <v/>
      </c>
      <c r="T30" s="22" t="str">
        <f t="shared" si="11"/>
        <v/>
      </c>
      <c r="U30" s="18" t="str">
        <f t="shared" si="12"/>
        <v/>
      </c>
      <c r="V30" s="21"/>
      <c r="W30" s="21"/>
      <c r="X30" s="16"/>
      <c r="Y30" s="24"/>
    </row>
    <row r="31" ht="15.75" customHeight="1">
      <c r="A31" s="32">
        <v>46470.0</v>
      </c>
      <c r="B31" s="23" t="str">
        <f t="shared" si="2"/>
        <v>水</v>
      </c>
      <c r="C31" s="16"/>
      <c r="D31" s="25">
        <f t="shared" si="3"/>
        <v>0</v>
      </c>
      <c r="E31" s="16"/>
      <c r="F31" s="16"/>
      <c r="G31" s="25" t="str">
        <f t="shared" si="4"/>
        <v/>
      </c>
      <c r="H31" s="25" t="str">
        <f t="shared" si="5"/>
        <v/>
      </c>
      <c r="I31" s="27" t="str">
        <f t="shared" ref="I31:J31" si="38">IF(G31="","",IFERROR(G31/C31,""))</f>
        <v/>
      </c>
      <c r="J31" s="27" t="str">
        <f t="shared" si="38"/>
        <v/>
      </c>
      <c r="K31" s="25" t="str">
        <f t="shared" si="7"/>
        <v/>
      </c>
      <c r="L31" s="33" t="str">
        <f t="shared" si="8"/>
        <v>—</v>
      </c>
      <c r="M31" s="21"/>
      <c r="N31" s="21"/>
      <c r="O31" s="21"/>
      <c r="P31" s="21"/>
      <c r="Q31" s="21"/>
      <c r="R31" s="27" t="str">
        <f t="shared" si="9"/>
        <v/>
      </c>
      <c r="S31" s="25" t="str">
        <f t="shared" si="10"/>
        <v/>
      </c>
      <c r="T31" s="34" t="str">
        <f t="shared" si="11"/>
        <v/>
      </c>
      <c r="U31" s="27" t="str">
        <f t="shared" si="12"/>
        <v/>
      </c>
      <c r="V31" s="21"/>
      <c r="W31" s="21"/>
      <c r="X31" s="16"/>
      <c r="Y31" s="24"/>
    </row>
    <row r="32" ht="15.75" customHeight="1">
      <c r="A32" s="14">
        <v>46471.0</v>
      </c>
      <c r="B32" s="15" t="str">
        <f t="shared" si="2"/>
        <v>木</v>
      </c>
      <c r="C32" s="16"/>
      <c r="D32" s="17">
        <f t="shared" si="3"/>
        <v>0</v>
      </c>
      <c r="E32" s="16"/>
      <c r="F32" s="16"/>
      <c r="G32" s="17" t="str">
        <f t="shared" si="4"/>
        <v/>
      </c>
      <c r="H32" s="17" t="str">
        <f t="shared" si="5"/>
        <v/>
      </c>
      <c r="I32" s="18" t="str">
        <f t="shared" ref="I32:J32" si="39">IF(G32="","",IFERROR(G32/C32,""))</f>
        <v/>
      </c>
      <c r="J32" s="18" t="str">
        <f t="shared" si="39"/>
        <v/>
      </c>
      <c r="K32" s="17" t="str">
        <f t="shared" si="7"/>
        <v/>
      </c>
      <c r="L32" s="19" t="str">
        <f t="shared" si="8"/>
        <v>—</v>
      </c>
      <c r="M32" s="21"/>
      <c r="N32" s="21"/>
      <c r="O32" s="21"/>
      <c r="P32" s="21"/>
      <c r="Q32" s="21"/>
      <c r="R32" s="18" t="str">
        <f t="shared" si="9"/>
        <v/>
      </c>
      <c r="S32" s="17" t="str">
        <f t="shared" si="10"/>
        <v/>
      </c>
      <c r="T32" s="22" t="str">
        <f t="shared" si="11"/>
        <v/>
      </c>
      <c r="U32" s="18" t="str">
        <f t="shared" si="12"/>
        <v/>
      </c>
      <c r="V32" s="21"/>
      <c r="W32" s="21"/>
      <c r="X32" s="16"/>
      <c r="Y32" s="24"/>
    </row>
    <row r="33" ht="15.75" customHeight="1">
      <c r="A33" s="32">
        <v>46472.0</v>
      </c>
      <c r="B33" s="23" t="str">
        <f t="shared" si="2"/>
        <v>金</v>
      </c>
      <c r="C33" s="16"/>
      <c r="D33" s="25">
        <f t="shared" si="3"/>
        <v>0</v>
      </c>
      <c r="E33" s="16"/>
      <c r="F33" s="16"/>
      <c r="G33" s="25" t="str">
        <f t="shared" si="4"/>
        <v/>
      </c>
      <c r="H33" s="25" t="str">
        <f t="shared" si="5"/>
        <v/>
      </c>
      <c r="I33" s="27" t="str">
        <f t="shared" ref="I33:J33" si="40">IF(G33="","",IFERROR(G33/C33,""))</f>
        <v/>
      </c>
      <c r="J33" s="27" t="str">
        <f t="shared" si="40"/>
        <v/>
      </c>
      <c r="K33" s="25" t="str">
        <f t="shared" si="7"/>
        <v/>
      </c>
      <c r="L33" s="33" t="str">
        <f t="shared" si="8"/>
        <v>—</v>
      </c>
      <c r="M33" s="21"/>
      <c r="N33" s="21"/>
      <c r="O33" s="21"/>
      <c r="P33" s="21"/>
      <c r="Q33" s="21"/>
      <c r="R33" s="27" t="str">
        <f t="shared" si="9"/>
        <v/>
      </c>
      <c r="S33" s="25" t="str">
        <f t="shared" si="10"/>
        <v/>
      </c>
      <c r="T33" s="34" t="str">
        <f t="shared" si="11"/>
        <v/>
      </c>
      <c r="U33" s="27" t="str">
        <f t="shared" si="12"/>
        <v/>
      </c>
      <c r="V33" s="21"/>
      <c r="W33" s="21"/>
      <c r="X33" s="16"/>
      <c r="Y33" s="24"/>
    </row>
    <row r="34" ht="15.75" customHeight="1">
      <c r="A34" s="14">
        <v>46473.0</v>
      </c>
      <c r="B34" s="15" t="str">
        <f t="shared" si="2"/>
        <v>土</v>
      </c>
      <c r="C34" s="16"/>
      <c r="D34" s="17">
        <f t="shared" si="3"/>
        <v>0</v>
      </c>
      <c r="E34" s="16"/>
      <c r="F34" s="16"/>
      <c r="G34" s="17" t="str">
        <f t="shared" si="4"/>
        <v/>
      </c>
      <c r="H34" s="17" t="str">
        <f t="shared" si="5"/>
        <v/>
      </c>
      <c r="I34" s="18" t="str">
        <f t="shared" ref="I34:J34" si="41">IF(G34="","",IFERROR(G34/C34,""))</f>
        <v/>
      </c>
      <c r="J34" s="18" t="str">
        <f t="shared" si="41"/>
        <v/>
      </c>
      <c r="K34" s="17" t="str">
        <f t="shared" si="7"/>
        <v/>
      </c>
      <c r="L34" s="19" t="str">
        <f t="shared" si="8"/>
        <v>—</v>
      </c>
      <c r="M34" s="21"/>
      <c r="N34" s="21"/>
      <c r="O34" s="21"/>
      <c r="P34" s="21"/>
      <c r="Q34" s="21"/>
      <c r="R34" s="18" t="str">
        <f t="shared" si="9"/>
        <v/>
      </c>
      <c r="S34" s="17" t="str">
        <f t="shared" si="10"/>
        <v/>
      </c>
      <c r="T34" s="22" t="str">
        <f t="shared" si="11"/>
        <v/>
      </c>
      <c r="U34" s="18" t="str">
        <f t="shared" si="12"/>
        <v/>
      </c>
      <c r="V34" s="21"/>
      <c r="W34" s="21"/>
      <c r="X34" s="16"/>
      <c r="Y34" s="24"/>
    </row>
    <row r="35" ht="15.75" customHeight="1">
      <c r="A35" s="32">
        <v>46474.0</v>
      </c>
      <c r="B35" s="23" t="str">
        <f t="shared" si="2"/>
        <v>日</v>
      </c>
      <c r="C35" s="16"/>
      <c r="D35" s="25">
        <f t="shared" si="3"/>
        <v>0</v>
      </c>
      <c r="E35" s="16"/>
      <c r="F35" s="16"/>
      <c r="G35" s="25" t="str">
        <f t="shared" si="4"/>
        <v/>
      </c>
      <c r="H35" s="25" t="str">
        <f t="shared" si="5"/>
        <v/>
      </c>
      <c r="I35" s="27" t="str">
        <f t="shared" ref="I35:J35" si="42">IF(G35="","",IFERROR(G35/C35,""))</f>
        <v/>
      </c>
      <c r="J35" s="27" t="str">
        <f t="shared" si="42"/>
        <v/>
      </c>
      <c r="K35" s="25" t="str">
        <f t="shared" si="7"/>
        <v/>
      </c>
      <c r="L35" s="33" t="str">
        <f t="shared" si="8"/>
        <v>—</v>
      </c>
      <c r="M35" s="21"/>
      <c r="N35" s="21"/>
      <c r="O35" s="21"/>
      <c r="P35" s="21"/>
      <c r="Q35" s="21"/>
      <c r="R35" s="27" t="str">
        <f t="shared" si="9"/>
        <v/>
      </c>
      <c r="S35" s="25" t="str">
        <f t="shared" si="10"/>
        <v/>
      </c>
      <c r="T35" s="34" t="str">
        <f t="shared" si="11"/>
        <v/>
      </c>
      <c r="U35" s="27" t="str">
        <f t="shared" si="12"/>
        <v/>
      </c>
      <c r="V35" s="21"/>
      <c r="W35" s="21"/>
      <c r="X35" s="16"/>
      <c r="Y35" s="24"/>
    </row>
    <row r="36" ht="15.75" customHeight="1">
      <c r="A36" s="14">
        <v>46475.0</v>
      </c>
      <c r="B36" s="15" t="str">
        <f t="shared" si="2"/>
        <v>月</v>
      </c>
      <c r="C36" s="16"/>
      <c r="D36" s="17">
        <f t="shared" si="3"/>
        <v>0</v>
      </c>
      <c r="E36" s="16"/>
      <c r="F36" s="16"/>
      <c r="G36" s="17" t="str">
        <f t="shared" si="4"/>
        <v/>
      </c>
      <c r="H36" s="17" t="str">
        <f t="shared" si="5"/>
        <v/>
      </c>
      <c r="I36" s="18" t="str">
        <f t="shared" ref="I36:J36" si="43">IF(G36="","",IFERROR(G36/C36,""))</f>
        <v/>
      </c>
      <c r="J36" s="18" t="str">
        <f t="shared" si="43"/>
        <v/>
      </c>
      <c r="K36" s="17" t="str">
        <f t="shared" si="7"/>
        <v/>
      </c>
      <c r="L36" s="19" t="str">
        <f t="shared" si="8"/>
        <v>—</v>
      </c>
      <c r="M36" s="21"/>
      <c r="N36" s="21"/>
      <c r="O36" s="21"/>
      <c r="P36" s="21"/>
      <c r="Q36" s="21"/>
      <c r="R36" s="18" t="str">
        <f t="shared" si="9"/>
        <v/>
      </c>
      <c r="S36" s="17" t="str">
        <f t="shared" si="10"/>
        <v/>
      </c>
      <c r="T36" s="22" t="str">
        <f t="shared" si="11"/>
        <v/>
      </c>
      <c r="U36" s="18" t="str">
        <f t="shared" si="12"/>
        <v/>
      </c>
      <c r="V36" s="21"/>
      <c r="W36" s="21"/>
      <c r="X36" s="16"/>
      <c r="Y36" s="24"/>
    </row>
    <row r="37" ht="15.75" customHeight="1">
      <c r="A37" s="32">
        <v>46476.0</v>
      </c>
      <c r="B37" s="23" t="str">
        <f t="shared" si="2"/>
        <v>火</v>
      </c>
      <c r="C37" s="16"/>
      <c r="D37" s="25">
        <f t="shared" si="3"/>
        <v>0</v>
      </c>
      <c r="E37" s="16"/>
      <c r="F37" s="16"/>
      <c r="G37" s="25" t="str">
        <f t="shared" si="4"/>
        <v/>
      </c>
      <c r="H37" s="25" t="str">
        <f t="shared" si="5"/>
        <v/>
      </c>
      <c r="I37" s="27" t="str">
        <f t="shared" ref="I37:J37" si="44">IF(G37="","",IFERROR(G37/C37,""))</f>
        <v/>
      </c>
      <c r="J37" s="27" t="str">
        <f t="shared" si="44"/>
        <v/>
      </c>
      <c r="K37" s="25" t="str">
        <f t="shared" si="7"/>
        <v/>
      </c>
      <c r="L37" s="33" t="str">
        <f t="shared" si="8"/>
        <v>—</v>
      </c>
      <c r="M37" s="21"/>
      <c r="N37" s="21"/>
      <c r="O37" s="21"/>
      <c r="P37" s="21"/>
      <c r="Q37" s="21"/>
      <c r="R37" s="27" t="str">
        <f t="shared" si="9"/>
        <v/>
      </c>
      <c r="S37" s="25" t="str">
        <f t="shared" si="10"/>
        <v/>
      </c>
      <c r="T37" s="34" t="str">
        <f t="shared" si="11"/>
        <v/>
      </c>
      <c r="U37" s="27" t="str">
        <f t="shared" si="12"/>
        <v/>
      </c>
      <c r="V37" s="21"/>
      <c r="W37" s="21"/>
      <c r="X37" s="16"/>
      <c r="Y37" s="24"/>
    </row>
    <row r="38" ht="15.75" customHeight="1">
      <c r="A38" s="14">
        <v>46477.0</v>
      </c>
      <c r="B38" s="15" t="str">
        <f t="shared" si="2"/>
        <v>水</v>
      </c>
      <c r="C38" s="16"/>
      <c r="D38" s="17">
        <f t="shared" si="3"/>
        <v>0</v>
      </c>
      <c r="E38" s="16"/>
      <c r="F38" s="16"/>
      <c r="G38" s="17" t="str">
        <f t="shared" si="4"/>
        <v/>
      </c>
      <c r="H38" s="17" t="str">
        <f t="shared" si="5"/>
        <v/>
      </c>
      <c r="I38" s="18" t="str">
        <f t="shared" ref="I38:J38" si="45">IF(G38="","",IFERROR(G38/C38,""))</f>
        <v/>
      </c>
      <c r="J38" s="18" t="str">
        <f t="shared" si="45"/>
        <v/>
      </c>
      <c r="K38" s="17" t="str">
        <f t="shared" si="7"/>
        <v/>
      </c>
      <c r="L38" s="19" t="str">
        <f t="shared" si="8"/>
        <v>—</v>
      </c>
      <c r="M38" s="21"/>
      <c r="N38" s="21"/>
      <c r="O38" s="21"/>
      <c r="P38" s="21"/>
      <c r="Q38" s="21"/>
      <c r="R38" s="18" t="str">
        <f t="shared" si="9"/>
        <v/>
      </c>
      <c r="S38" s="17" t="str">
        <f t="shared" si="10"/>
        <v/>
      </c>
      <c r="T38" s="22" t="str">
        <f t="shared" si="11"/>
        <v/>
      </c>
      <c r="U38" s="18" t="str">
        <f t="shared" si="12"/>
        <v/>
      </c>
      <c r="V38" s="21"/>
      <c r="W38" s="21"/>
      <c r="X38" s="16"/>
      <c r="Y38" s="24"/>
    </row>
    <row r="39" ht="15.75" customHeight="1">
      <c r="A39" s="45" t="s">
        <v>97</v>
      </c>
      <c r="B39" s="35"/>
      <c r="C39" s="36">
        <f>SUM(C8:C38)</f>
        <v>0</v>
      </c>
      <c r="D39" s="36">
        <f>C39</f>
        <v>0</v>
      </c>
      <c r="E39" s="36">
        <f t="shared" ref="E39:G39" si="46">SUM(E8:E38)</f>
        <v>0</v>
      </c>
      <c r="F39" s="36">
        <f t="shared" si="46"/>
        <v>0</v>
      </c>
      <c r="G39" s="36">
        <f t="shared" si="46"/>
        <v>0</v>
      </c>
      <c r="H39" s="36">
        <f>G39</f>
        <v>0</v>
      </c>
      <c r="I39" s="37" t="str">
        <f>IFERROR(G39/C39,"")</f>
        <v/>
      </c>
      <c r="J39" s="37" t="str">
        <f>IFERROR(G39/C39,"")</f>
        <v/>
      </c>
      <c r="K39" s="36">
        <f>G39-C39</f>
        <v>0</v>
      </c>
      <c r="L39" s="46"/>
      <c r="M39" s="38">
        <f t="shared" ref="M39:Q39" si="47">SUM(M8:M38)</f>
        <v>0</v>
      </c>
      <c r="N39" s="38">
        <f t="shared" si="47"/>
        <v>0</v>
      </c>
      <c r="O39" s="38">
        <f t="shared" si="47"/>
        <v>0</v>
      </c>
      <c r="P39" s="38">
        <f t="shared" si="47"/>
        <v>0</v>
      </c>
      <c r="Q39" s="38">
        <f t="shared" si="47"/>
        <v>0</v>
      </c>
      <c r="R39" s="37" t="str">
        <f t="shared" si="9"/>
        <v/>
      </c>
      <c r="S39" s="36" t="str">
        <f t="shared" si="10"/>
        <v/>
      </c>
      <c r="T39" s="47" t="str">
        <f t="shared" si="11"/>
        <v/>
      </c>
      <c r="U39" s="37" t="str">
        <f t="shared" si="12"/>
        <v/>
      </c>
      <c r="V39" s="38">
        <f>SUM(V8:V38)</f>
        <v>0</v>
      </c>
      <c r="W39" s="38" t="str">
        <f>IFERROR(LOOKUP(9.99E+307,W8:W38),"")</f>
        <v/>
      </c>
      <c r="X39" s="36">
        <f>SUM(X8:X38)</f>
        <v>0</v>
      </c>
      <c r="Y39" s="48" t="s">
        <v>107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Y1"/>
    <mergeCell ref="A3:B3"/>
    <mergeCell ref="C3:D3"/>
    <mergeCell ref="E3:F3"/>
    <mergeCell ref="G3:H3"/>
    <mergeCell ref="I3:J3"/>
    <mergeCell ref="K3:L3"/>
    <mergeCell ref="C5:D5"/>
    <mergeCell ref="E5:F5"/>
    <mergeCell ref="A6:B6"/>
    <mergeCell ref="C6:D6"/>
    <mergeCell ref="E6:F6"/>
    <mergeCell ref="G5:H5"/>
    <mergeCell ref="I5:J5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A5:B5"/>
    <mergeCell ref="K5:L5"/>
  </mergeCells>
  <conditionalFormatting sqref="K8:K38">
    <cfRule type="expression" dxfId="0" priority="1">
      <formula>AND($G8&lt;&gt;"",$K8&gt;=0)</formula>
    </cfRule>
  </conditionalFormatting>
  <conditionalFormatting sqref="K8:K38">
    <cfRule type="expression" dxfId="1" priority="2">
      <formula>AND($G8&lt;&gt;"",$K8&lt;0)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14.0"/>
    <col customWidth="1" min="4" max="4" width="9.0"/>
    <col customWidth="1" min="5" max="5" width="7.0"/>
    <col customWidth="1" min="6" max="6" width="13.0"/>
    <col customWidth="1" min="7" max="26" width="8.71"/>
  </cols>
  <sheetData>
    <row r="1" ht="27.75" customHeight="1">
      <c r="A1" s="52" t="s">
        <v>150</v>
      </c>
      <c r="B1" s="2"/>
      <c r="C1" s="2"/>
      <c r="D1" s="2"/>
      <c r="E1" s="2"/>
      <c r="F1" s="3"/>
    </row>
    <row r="3">
      <c r="A3" s="4" t="s">
        <v>151</v>
      </c>
    </row>
    <row r="5">
      <c r="A5" s="53" t="s">
        <v>152</v>
      </c>
      <c r="B5" s="54">
        <f>SUM(B8:B19)</f>
        <v>225809762</v>
      </c>
    </row>
    <row r="7">
      <c r="A7" s="13" t="s">
        <v>48</v>
      </c>
      <c r="B7" s="13" t="s">
        <v>3</v>
      </c>
      <c r="C7" s="13" t="s">
        <v>50</v>
      </c>
      <c r="D7" s="13" t="s">
        <v>51</v>
      </c>
      <c r="E7" s="13" t="s">
        <v>47</v>
      </c>
      <c r="F7" s="13" t="s">
        <v>153</v>
      </c>
    </row>
    <row r="8">
      <c r="A8" s="15" t="s">
        <v>154</v>
      </c>
      <c r="B8" s="55">
        <v>9820292.0</v>
      </c>
      <c r="C8" s="16"/>
      <c r="D8" s="18" t="str">
        <f t="shared" ref="D8:D19" si="1">IF(OR(B8="",C8=""),"",IFERROR(B8/C8,""))</f>
        <v/>
      </c>
      <c r="E8" s="56">
        <v>30.0</v>
      </c>
      <c r="F8" s="17">
        <f t="shared" ref="F8:F19" si="2">IF(B8="","",IFERROR(B8/E8,""))</f>
        <v>327343.0667</v>
      </c>
    </row>
    <row r="9">
      <c r="A9" s="23" t="s">
        <v>155</v>
      </c>
      <c r="B9" s="55">
        <v>1.232947E7</v>
      </c>
      <c r="C9" s="16"/>
      <c r="D9" s="27" t="str">
        <f t="shared" si="1"/>
        <v/>
      </c>
      <c r="E9" s="57">
        <v>31.0</v>
      </c>
      <c r="F9" s="25">
        <f t="shared" si="2"/>
        <v>397724.8387</v>
      </c>
    </row>
    <row r="10">
      <c r="A10" s="15" t="s">
        <v>156</v>
      </c>
      <c r="B10" s="55">
        <v>1.7E7</v>
      </c>
      <c r="C10" s="16"/>
      <c r="D10" s="18" t="str">
        <f t="shared" si="1"/>
        <v/>
      </c>
      <c r="E10" s="56">
        <v>30.0</v>
      </c>
      <c r="F10" s="17">
        <f t="shared" si="2"/>
        <v>566666.6667</v>
      </c>
    </row>
    <row r="11">
      <c r="A11" s="23" t="s">
        <v>157</v>
      </c>
      <c r="B11" s="55">
        <v>2.0E7</v>
      </c>
      <c r="C11" s="16"/>
      <c r="D11" s="27" t="str">
        <f t="shared" si="1"/>
        <v/>
      </c>
      <c r="E11" s="57">
        <v>31.0</v>
      </c>
      <c r="F11" s="25">
        <f t="shared" si="2"/>
        <v>645161.2903</v>
      </c>
    </row>
    <row r="12">
      <c r="A12" s="15" t="s">
        <v>158</v>
      </c>
      <c r="B12" s="58">
        <v>2.466E7</v>
      </c>
      <c r="C12" s="16"/>
      <c r="D12" s="18" t="str">
        <f t="shared" si="1"/>
        <v/>
      </c>
      <c r="E12" s="56">
        <v>31.0</v>
      </c>
      <c r="F12" s="17">
        <f t="shared" si="2"/>
        <v>795483.871</v>
      </c>
    </row>
    <row r="13">
      <c r="A13" s="23" t="s">
        <v>159</v>
      </c>
      <c r="B13" s="55">
        <v>2.3E7</v>
      </c>
      <c r="C13" s="16"/>
      <c r="D13" s="27" t="str">
        <f t="shared" si="1"/>
        <v/>
      </c>
      <c r="E13" s="57">
        <v>30.0</v>
      </c>
      <c r="F13" s="25">
        <f t="shared" si="2"/>
        <v>766666.6667</v>
      </c>
    </row>
    <row r="14">
      <c r="A14" s="15" t="s">
        <v>160</v>
      </c>
      <c r="B14" s="55">
        <v>1.9E7</v>
      </c>
      <c r="C14" s="16"/>
      <c r="D14" s="18" t="str">
        <f t="shared" si="1"/>
        <v/>
      </c>
      <c r="E14" s="56">
        <v>31.0</v>
      </c>
      <c r="F14" s="17">
        <f t="shared" si="2"/>
        <v>612903.2258</v>
      </c>
    </row>
    <row r="15">
      <c r="A15" s="23" t="s">
        <v>161</v>
      </c>
      <c r="B15" s="55">
        <v>1.9E7</v>
      </c>
      <c r="C15" s="16"/>
      <c r="D15" s="27" t="str">
        <f t="shared" si="1"/>
        <v/>
      </c>
      <c r="E15" s="57">
        <v>30.0</v>
      </c>
      <c r="F15" s="25">
        <f t="shared" si="2"/>
        <v>633333.3333</v>
      </c>
    </row>
    <row r="16">
      <c r="A16" s="15" t="s">
        <v>162</v>
      </c>
      <c r="B16" s="55">
        <v>2.1E7</v>
      </c>
      <c r="C16" s="16">
        <v>4139160.0</v>
      </c>
      <c r="D16" s="18">
        <f t="shared" si="1"/>
        <v>5.073493173</v>
      </c>
      <c r="E16" s="56">
        <v>31.0</v>
      </c>
      <c r="F16" s="17">
        <f t="shared" si="2"/>
        <v>677419.3548</v>
      </c>
      <c r="H16" s="39" t="s">
        <v>163</v>
      </c>
    </row>
    <row r="17">
      <c r="A17" s="23" t="s">
        <v>164</v>
      </c>
      <c r="B17" s="55">
        <v>2.5E7</v>
      </c>
      <c r="C17" s="16">
        <v>9650171.0</v>
      </c>
      <c r="D17" s="27">
        <f t="shared" si="1"/>
        <v>2.590627669</v>
      </c>
      <c r="E17" s="57">
        <v>31.0</v>
      </c>
      <c r="F17" s="25">
        <f t="shared" si="2"/>
        <v>806451.6129</v>
      </c>
    </row>
    <row r="18">
      <c r="A18" s="15" t="s">
        <v>165</v>
      </c>
      <c r="B18" s="55">
        <v>1.9E7</v>
      </c>
      <c r="C18" s="16">
        <v>7476182.0</v>
      </c>
      <c r="D18" s="18">
        <f t="shared" si="1"/>
        <v>2.541404155</v>
      </c>
      <c r="E18" s="56">
        <v>28.0</v>
      </c>
      <c r="F18" s="17">
        <f t="shared" si="2"/>
        <v>678571.4286</v>
      </c>
    </row>
    <row r="19">
      <c r="A19" s="23" t="s">
        <v>166</v>
      </c>
      <c r="B19" s="55">
        <v>1.6E7</v>
      </c>
      <c r="C19" s="16">
        <v>1.0101265E7</v>
      </c>
      <c r="D19" s="27">
        <f t="shared" si="1"/>
        <v>1.583960029</v>
      </c>
      <c r="E19" s="57">
        <v>31.0</v>
      </c>
      <c r="F19" s="25">
        <f t="shared" si="2"/>
        <v>516129.0323</v>
      </c>
    </row>
    <row r="20">
      <c r="A20" s="35" t="s">
        <v>70</v>
      </c>
      <c r="B20" s="36">
        <f t="shared" ref="B20:C20" si="3">SUM(B8:B19)</f>
        <v>225809762</v>
      </c>
      <c r="C20" s="36">
        <f t="shared" si="3"/>
        <v>31366778</v>
      </c>
      <c r="D20" s="37">
        <f>IF(OR(B20=0,C20=0),"",IFERROR(B20/C20,""))</f>
        <v>7.199010431</v>
      </c>
      <c r="E20" s="59">
        <f>SUM(E8:E19)</f>
        <v>365</v>
      </c>
      <c r="F20" s="36">
        <f>IF(B20=0,"",IFERROR(B20/E20,""))</f>
        <v>618656.8822</v>
      </c>
    </row>
    <row r="21" ht="15.75" customHeight="1"/>
    <row r="22" ht="15.75" customHeight="1"/>
    <row r="23" ht="15.75" customHeight="1">
      <c r="A23" s="40" t="s">
        <v>167</v>
      </c>
    </row>
    <row r="24" ht="15.75" customHeight="1">
      <c r="A24" s="60" t="s">
        <v>168</v>
      </c>
    </row>
    <row r="25" ht="15.75" customHeight="1">
      <c r="A25" s="60" t="s">
        <v>169</v>
      </c>
    </row>
    <row r="26" ht="15.75" customHeight="1">
      <c r="A26" s="60" t="s">
        <v>170</v>
      </c>
    </row>
    <row r="27" ht="15.75" customHeight="1">
      <c r="A27" s="60" t="s">
        <v>171</v>
      </c>
    </row>
    <row r="28" ht="15.75" customHeight="1">
      <c r="A28" s="60" t="s">
        <v>172</v>
      </c>
    </row>
    <row r="29" ht="15.75" customHeight="1">
      <c r="A29" s="60" t="s">
        <v>173</v>
      </c>
    </row>
    <row r="30" ht="15.75" customHeight="1">
      <c r="A30" s="60" t="s">
        <v>174</v>
      </c>
    </row>
    <row r="31" ht="15.75" customHeight="1">
      <c r="A31" s="60" t="s">
        <v>175</v>
      </c>
    </row>
    <row r="32" ht="15.75" customHeight="1">
      <c r="A32" s="60"/>
    </row>
    <row r="33" ht="15.75" customHeight="1">
      <c r="A33" s="40" t="s">
        <v>176</v>
      </c>
    </row>
    <row r="34" ht="15.75" customHeight="1">
      <c r="A34" s="60" t="s">
        <v>177</v>
      </c>
    </row>
    <row r="35" ht="15.75" customHeight="1">
      <c r="A35" s="60" t="s">
        <v>178</v>
      </c>
    </row>
    <row r="36" ht="15.75" customHeight="1">
      <c r="A36" s="60" t="s">
        <v>179</v>
      </c>
    </row>
    <row r="37" ht="15.75" customHeight="1">
      <c r="A37" s="60" t="s">
        <v>180</v>
      </c>
    </row>
    <row r="38" ht="15.75" customHeight="1">
      <c r="A38" s="60" t="s">
        <v>181</v>
      </c>
    </row>
    <row r="39" ht="15.75" customHeight="1">
      <c r="A39" s="60" t="s">
        <v>182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2026-07-30T09:01:44Z</dcterms:created>
  <dc:creator>openpyxl</dc:creator>
</cp:coreProperties>
</file>