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ダッシュボード" sheetId="1" r:id="rId4"/>
    <sheet state="visible" name="2026年04月" sheetId="2" r:id="rId5"/>
    <sheet state="visible" name="2026年05月" sheetId="3" r:id="rId6"/>
    <sheet state="visible" name="2026年06月" sheetId="4" r:id="rId7"/>
    <sheet state="visible" name="2026年07月" sheetId="5" r:id="rId8"/>
    <sheet state="visible" name="2026年08月" sheetId="6" r:id="rId9"/>
    <sheet state="visible" name="2026年09月" sheetId="7" r:id="rId10"/>
    <sheet state="visible" name="2026年10月" sheetId="8" r:id="rId11"/>
    <sheet state="visible" name="2026年11月" sheetId="9" r:id="rId12"/>
    <sheet state="visible" name="2026年12月" sheetId="10" r:id="rId13"/>
    <sheet state="visible" name="2027年01月" sheetId="11" r:id="rId14"/>
    <sheet state="visible" name="2027年02月" sheetId="12" r:id="rId15"/>
    <sheet state="visible" name="2027年03月" sheetId="13" r:id="rId16"/>
    <sheet state="visible" name="設定" sheetId="14" r:id="rId17"/>
  </sheets>
  <definedNames/>
  <calcPr fullCalcOnLoad="1"/>
  <extLst>
    <ext uri="GoogleSheetsCustomDataVersion2">
      <go:sheetsCustomData xmlns:go="http://customooxmlschemas.google.com/" r:id="rId18" roundtripDataChecksum="KY4FNpsaVj8xOwNuYuCZ2601DqJtwdAsTHHEzcpIPus="/>
    </ext>
  </extLst>
</workbook>
</file>

<file path=xl/sharedStrings.xml><?xml version="1.0" encoding="utf-8"?>
<sst xmlns="http://schemas.openxmlformats.org/spreadsheetml/2006/main" count="194" uniqueCount="194">
  <si>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5</t>
    </r>
    <r>
      <rPr>
        <rFont val="Noto Sans CJK SC"/>
        <b/>
        <color rgb="FFFFFFFF"/>
        <sz val="15.0"/>
      </rPr>
      <t>月　裏原店 日別売上管理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</si>
  <si>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4</t>
    </r>
    <r>
      <rPr>
        <rFont val="Noto Sans CJK SC"/>
        <b/>
        <color rgb="FFFFFFFF"/>
        <sz val="15.0"/>
      </rPr>
      <t>月　裏原店 日別売上管理</t>
    </r>
  </si>
  <si>
    <t>青字＋薄黄色のセルが入力欄。白セルは数式なので触らないでください。単位：円</t>
  </si>
  <si>
    <t>月間予算</t>
  </si>
  <si>
    <t>当月実績</t>
  </si>
  <si>
    <t>達成率</t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</si>
  <si>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</si>
  <si>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t>残り必要額</t>
  </si>
  <si>
    <t>残り必要日商</t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</si>
  <si>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(/30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</si>
  <si>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Arial"/>
        <b/>
        <color rgb="FFFFFFFF"/>
        <sz val="15.0"/>
      </rPr>
      <t xml:space="preserve">OLD ORDER </t>
    </r>
    <r>
      <rPr>
        <rFont val="Noto Sans CJK SC"/>
        <b/>
        <color rgb="FFFFFFFF"/>
        <sz val="15.0"/>
      </rPr>
      <t xml:space="preserve">裏原店　売上管理ダッシュボード　</t>
    </r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4</t>
    </r>
    <r>
      <rPr>
        <rFont val="Noto Sans CJK SC"/>
        <b/>
        <color rgb="FFFFFFFF"/>
        <sz val="15.0"/>
      </rPr>
      <t>月〜</t>
    </r>
    <r>
      <rPr>
        <rFont val="Arial"/>
        <b/>
        <color rgb="FFFFFFFF"/>
        <sz val="15.0"/>
      </rPr>
      <t>2027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3</t>
    </r>
    <r>
      <rPr>
        <rFont val="Noto Sans CJK SC"/>
        <b/>
        <color rgb="FFFFFFFF"/>
        <sz val="15.0"/>
      </rPr>
      <t>月</t>
    </r>
  </si>
  <si>
    <t>各月シートの入力欄を埋めると、ここに自動集計されます。単位：円</t>
  </si>
  <si>
    <t>年間予算</t>
  </si>
  <si>
    <r>
      <rPr>
        <rFont val="Noto Sans CJK SC"/>
        <b/>
        <color theme="1"/>
        <sz val="10.0"/>
      </rPr>
      <t>当期実績</t>
    </r>
    <r>
      <rPr>
        <rFont val="Noto Sans"/>
        <b/>
        <color theme="1"/>
        <sz val="10.0"/>
      </rPr>
      <t>(YTD)</t>
    </r>
  </si>
  <si>
    <t>年間予算進捗</t>
  </si>
  <si>
    <t>経過月 達成率</t>
  </si>
  <si>
    <t>日次予算合計</t>
  </si>
  <si>
    <t>着地見込</t>
  </si>
  <si>
    <t>決定率</t>
  </si>
  <si>
    <t>客単価</t>
  </si>
  <si>
    <t>セット率</t>
  </si>
  <si>
    <t>試着率</t>
  </si>
  <si>
    <t>月</t>
  </si>
  <si>
    <t>予実差</t>
  </si>
  <si>
    <t>前年実績</t>
  </si>
  <si>
    <t>前年比</t>
  </si>
  <si>
    <t>購入人数</t>
  </si>
  <si>
    <t>来客数</t>
  </si>
  <si>
    <t>累計予算</t>
  </si>
  <si>
    <t>累計実績</t>
  </si>
  <si>
    <t>累計達成率</t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</si>
  <si>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4</t>
    </r>
    <r>
      <rPr>
        <rFont val="Noto Sans CJK SC"/>
        <color theme="1"/>
        <sz val="11.0"/>
      </rPr>
      <t>月</t>
    </r>
  </si>
  <si>
    <t>日付</t>
  </si>
  <si>
    <t>曜</t>
  </si>
  <si>
    <t>日次予算</t>
  </si>
  <si>
    <t>現金</t>
  </si>
  <si>
    <t>クレジット</t>
  </si>
  <si>
    <t>実績合計</t>
  </si>
  <si>
    <t>日次達成</t>
  </si>
  <si>
    <t>累計達成</t>
  </si>
  <si>
    <t>累計予実差</t>
  </si>
  <si>
    <t>ペース</t>
  </si>
  <si>
    <t>販売点数</t>
  </si>
  <si>
    <t>試着組数</t>
  </si>
  <si>
    <t>試着個数</t>
  </si>
  <si>
    <t>クロス
クーポン</t>
  </si>
  <si>
    <t>インスタ
フォロワー</t>
  </si>
  <si>
    <t>経費</t>
  </si>
  <si>
    <t>メモ</t>
  </si>
  <si>
    <t>曜日</t>
  </si>
  <si>
    <t>平均日商</t>
  </si>
  <si>
    <t>日数</t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</si>
  <si>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</si>
  <si>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6</t>
    </r>
    <r>
      <rPr>
        <rFont val="Noto Sans CJK SC"/>
        <b/>
        <color rgb="FFFFFFFF"/>
        <sz val="15.0"/>
      </rPr>
      <t>月　裏原店 日別売上管理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</si>
  <si>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</si>
  <si>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(/30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</si>
  <si>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</si>
  <si>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</si>
  <si>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</t>
    </r>
  </si>
  <si>
    <t>火</t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</si>
  <si>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</t>
    </r>
  </si>
  <si>
    <t>水</t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</si>
  <si>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11</t>
    </r>
    <r>
      <rPr>
        <rFont val="Noto Sans CJK SC"/>
        <color theme="1"/>
        <sz val="11.0"/>
      </rPr>
      <t>月</t>
    </r>
  </si>
  <si>
    <t>木</t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</si>
  <si>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12</t>
    </r>
    <r>
      <rPr>
        <rFont val="Noto Sans CJK SC"/>
        <color theme="1"/>
        <sz val="11.0"/>
      </rPr>
      <t>月</t>
    </r>
  </si>
  <si>
    <t>金</t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</si>
  <si>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月</t>
    </r>
  </si>
  <si>
    <t>土</t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</si>
  <si>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月</t>
    </r>
  </si>
  <si>
    <t>日</t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</si>
  <si>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3</t>
    </r>
    <r>
      <rPr>
        <rFont val="Noto Sans CJK SC"/>
        <color theme="1"/>
        <sz val="11.0"/>
      </rPr>
      <t>月</t>
    </r>
  </si>
  <si>
    <t>※実績入力後に曜日別の傾向が出ます</t>
  </si>
  <si>
    <t>合計</t>
  </si>
  <si>
    <t>■ 週次サマリー（火曜〜翌月曜）</t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</si>
  <si>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</si>
  <si>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</si>
  <si>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t>週</t>
  </si>
  <si>
    <t>期間</t>
  </si>
  <si>
    <t>売上</t>
  </si>
  <si>
    <t>※前年実績は「設定」シートの青字セルに入力。元データが無い月は空欄です。</t>
  </si>
  <si>
    <t>※「経過月 達成率」は予算と実績の両方が入っている月だけで計算します。</t>
  </si>
  <si>
    <t>【グラフ】</t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</si>
  <si>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</si>
  <si>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0000FF"/>
        <sz val="9.0"/>
      </rPr>
      <t>※要確認：旧シートの売上合計と内訳が</t>
    </r>
    <r>
      <rPr>
        <rFont val="Arial"/>
        <color rgb="FF0000FF"/>
        <sz val="9.0"/>
      </rPr>
      <t>-10</t>
    </r>
    <r>
      <rPr>
        <rFont val="Noto Sans CJK SC"/>
        <color rgb="FF0000FF"/>
        <sz val="9.0"/>
      </rPr>
      <t>円ズレ。合計</t>
    </r>
    <r>
      <rPr>
        <rFont val="Arial"/>
        <color rgb="FF0000FF"/>
        <sz val="9.0"/>
      </rPr>
      <t>155,640</t>
    </r>
    <r>
      <rPr>
        <rFont val="Noto Sans CJK SC"/>
        <color rgb="FF0000FF"/>
        <sz val="9.0"/>
      </rPr>
      <t>円に合わせクレジットを</t>
    </r>
    <r>
      <rPr>
        <rFont val="Arial"/>
        <color rgb="FF0000FF"/>
        <sz val="9.0"/>
      </rPr>
      <t>107,640→107,630</t>
    </r>
    <r>
      <rPr>
        <rFont val="Noto Sans CJK SC"/>
        <color rgb="FF0000FF"/>
        <sz val="9.0"/>
      </rPr>
      <t>に調整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</si>
  <si>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7</t>
    </r>
    <r>
      <rPr>
        <rFont val="Noto Sans CJK SC"/>
        <b/>
        <color rgb="FFFFFFFF"/>
        <sz val="15.0"/>
      </rPr>
      <t>月　裏原店 日別売上管理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</si>
  <si>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</si>
  <si>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</si>
  <si>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</si>
  <si>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06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</si>
  <si>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07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</si>
  <si>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</si>
  <si>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</si>
  <si>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t>月計</t>
  </si>
  <si>
    <t>フォロワーは月末値</t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</si>
  <si>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</si>
  <si>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05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</si>
  <si>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</si>
  <si>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0000FF"/>
        <sz val="9.0"/>
      </rPr>
      <t>※要確認：旧シートの売上合計と内訳が</t>
    </r>
    <r>
      <rPr>
        <rFont val="Arial"/>
        <color rgb="FF0000FF"/>
        <sz val="9.0"/>
      </rPr>
      <t>+8</t>
    </r>
    <r>
      <rPr>
        <rFont val="Noto Sans CJK SC"/>
        <color rgb="FF0000FF"/>
        <sz val="9.0"/>
      </rPr>
      <t>円ズレ。合計</t>
    </r>
    <r>
      <rPr>
        <rFont val="Arial"/>
        <color rgb="FF0000FF"/>
        <sz val="9.0"/>
      </rPr>
      <t>100,648</t>
    </r>
    <r>
      <rPr>
        <rFont val="Noto Sans CJK SC"/>
        <color rgb="FF0000FF"/>
        <sz val="9.0"/>
      </rPr>
      <t>円に合わせクレジットを</t>
    </r>
    <r>
      <rPr>
        <rFont val="Arial"/>
        <color rgb="FF0000FF"/>
        <sz val="9.0"/>
      </rPr>
      <t>100,640→100,648</t>
    </r>
    <r>
      <rPr>
        <rFont val="Noto Sans CJK SC"/>
        <color rgb="FF0000FF"/>
        <sz val="9.0"/>
      </rPr>
      <t>に調整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</si>
  <si>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</si>
  <si>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0000FF"/>
        <sz val="9.0"/>
      </rPr>
      <t>※要確認：旧シートの売上合計と内訳が</t>
    </r>
    <r>
      <rPr>
        <rFont val="Arial"/>
        <color rgb="FF0000FF"/>
        <sz val="9.0"/>
      </rPr>
      <t>-17,600</t>
    </r>
    <r>
      <rPr>
        <rFont val="Noto Sans CJK SC"/>
        <color rgb="FF0000FF"/>
        <sz val="9.0"/>
      </rPr>
      <t>円ズレ。合計</t>
    </r>
    <r>
      <rPr>
        <rFont val="Arial"/>
        <color rgb="FF0000FF"/>
        <sz val="9.0"/>
      </rPr>
      <t>87,610</t>
    </r>
    <r>
      <rPr>
        <rFont val="Noto Sans CJK SC"/>
        <color rgb="FF0000FF"/>
        <sz val="9.0"/>
      </rPr>
      <t>円に合わせクレジットを</t>
    </r>
    <r>
      <rPr>
        <rFont val="Arial"/>
        <color rgb="FF0000FF"/>
        <sz val="9.0"/>
      </rPr>
      <t>87,610→70,010</t>
    </r>
    <r>
      <rPr>
        <rFont val="Noto Sans CJK SC"/>
        <color rgb="FF0000FF"/>
        <sz val="9.0"/>
      </rPr>
      <t>に調整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</si>
  <si>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9</t>
    </r>
    <r>
      <rPr>
        <rFont val="Noto Sans CJK SC"/>
        <b/>
        <color rgb="FFFFFFFF"/>
        <sz val="15.0"/>
      </rPr>
      <t>月　裏原店 日別売上管理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</si>
  <si>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8</t>
    </r>
    <r>
      <rPr>
        <rFont val="Noto Sans CJK SC"/>
        <b/>
        <color rgb="FFFFFFFF"/>
        <sz val="15.0"/>
      </rPr>
      <t>月　裏原店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</si>
  <si>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(/30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</si>
  <si>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</si>
  <si>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</si>
  <si>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10</t>
    </r>
    <r>
      <rPr>
        <rFont val="Noto Sans CJK SC"/>
        <b/>
        <color rgb="FFFFFFFF"/>
        <sz val="15.0"/>
      </rPr>
      <t>月　裏原店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</si>
  <si>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</si>
  <si>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</si>
  <si>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</si>
  <si>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08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</si>
  <si>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</si>
  <si>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</si>
  <si>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</si>
  <si>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10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</si>
  <si>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</si>
  <si>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</si>
  <si>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11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</si>
  <si>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</si>
  <si>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11</t>
    </r>
    <r>
      <rPr>
        <rFont val="Noto Sans CJK SC"/>
        <b/>
        <color rgb="FFFFFFFF"/>
        <sz val="15.0"/>
      </rPr>
      <t>月　裏原店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</si>
  <si>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(/30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</si>
  <si>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</si>
  <si>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09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</si>
  <si>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</si>
  <si>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</si>
  <si>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12</t>
    </r>
    <r>
      <rPr>
        <rFont val="Noto Sans CJK SC"/>
        <b/>
        <color rgb="FFFFFFFF"/>
        <sz val="15.0"/>
      </rPr>
      <t>月　裏原店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</si>
  <si>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</si>
  <si>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Arial"/>
        <b/>
        <color rgb="FFFFFFFF"/>
        <sz val="15.0"/>
      </rPr>
      <t>2027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1</t>
    </r>
    <r>
      <rPr>
        <rFont val="Noto Sans CJK SC"/>
        <b/>
        <color rgb="FFFFFFFF"/>
        <sz val="15.0"/>
      </rPr>
      <t>月　裏原店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</si>
  <si>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</si>
  <si>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</si>
  <si>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</si>
  <si>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Arial"/>
        <b/>
        <color rgb="FFFFFFFF"/>
        <sz val="15.0"/>
      </rPr>
      <t>2027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2</t>
    </r>
    <r>
      <rPr>
        <rFont val="Noto Sans CJK SC"/>
        <b/>
        <color rgb="FFFFFFFF"/>
        <sz val="15.0"/>
      </rPr>
      <t>月　裏原店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</si>
  <si>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(/28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</si>
  <si>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</si>
  <si>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12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</si>
  <si>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</si>
  <si>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</si>
  <si>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</si>
  <si>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2027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01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</si>
  <si>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</si>
  <si>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</si>
  <si>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2027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02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</si>
  <si>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</si>
  <si>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t>設定（月間予算・前年実績）</t>
  </si>
  <si>
    <t>← 青字＋薄黄色セルが入力（月間予算・前年実績）</t>
  </si>
  <si>
    <t>年間予算（合計）</t>
  </si>
  <si>
    <t>日商目安</t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</si>
  <si>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4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</si>
  <si>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</si>
  <si>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</si>
  <si>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</si>
  <si>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</si>
  <si>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</si>
  <si>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</si>
  <si>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</si>
  <si>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11</t>
    </r>
    <r>
      <rPr>
        <rFont val="Noto Sans CJK SC"/>
        <color theme="1"/>
        <sz val="11.0"/>
      </rPr>
      <t>月</t>
    </r>
  </si>
  <si>
    <r>
      <rPr>
        <rFont val="Noto Sans"/>
        <color rgb="FF808080"/>
        <sz val="8.0"/>
      </rPr>
      <t>※2025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11</t>
    </r>
    <r>
      <rPr>
        <rFont val="Noto Sans CJK SC"/>
        <color rgb="FF808080"/>
        <sz val="8.0"/>
      </rPr>
      <t>月は</t>
    </r>
    <r>
      <rPr>
        <rFont val="Noto Sans"/>
        <color rgb="FF808080"/>
        <sz val="8.0"/>
      </rPr>
      <t>30</t>
    </r>
    <r>
      <rPr>
        <rFont val="Noto Sans CJK SC"/>
        <color rgb="FF808080"/>
        <sz val="8.0"/>
      </rPr>
      <t>日分。開店直後で他月と水準が大きく異なります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</si>
  <si>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2027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03</t>
    </r>
    <r>
      <rPr>
        <rFont val="Noto Sans CJK SC"/>
        <color rgb="FF808080"/>
        <sz val="8.0"/>
      </rPr>
      <t>月シートの実績も自動で合算します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</si>
  <si>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12</t>
    </r>
    <r>
      <rPr>
        <rFont val="Noto Sans CJK SC"/>
        <color theme="1"/>
        <sz val="11.0"/>
      </rPr>
      <t>月</t>
    </r>
  </si>
  <si>
    <r>
      <rPr>
        <rFont val="Noto Sans"/>
        <color rgb="FF808080"/>
        <sz val="8.0"/>
      </rPr>
      <t>※2025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12</t>
    </r>
    <r>
      <rPr>
        <rFont val="Noto Sans CJK SC"/>
        <color rgb="FF808080"/>
        <sz val="8.0"/>
      </rPr>
      <t>月は</t>
    </r>
    <r>
      <rPr>
        <rFont val="Noto Sans"/>
        <color rgb="FF808080"/>
        <sz val="8.0"/>
      </rPr>
      <t>27</t>
    </r>
    <r>
      <rPr>
        <rFont val="Noto Sans CJK SC"/>
        <color rgb="FF808080"/>
        <sz val="8.0"/>
      </rPr>
      <t>日分の入力。要確認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</si>
  <si>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月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</si>
  <si>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</si>
  <si>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"/>
        <color rgb="FF808080"/>
        <sz val="8.0"/>
      </rPr>
      <t>※2026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月は</t>
    </r>
    <r>
      <rPr>
        <rFont val="Noto Sans"/>
        <color rgb="FF808080"/>
        <sz val="8.0"/>
      </rPr>
      <t>24</t>
    </r>
    <r>
      <rPr>
        <rFont val="Noto Sans CJK SC"/>
        <color rgb="FF808080"/>
        <sz val="8.0"/>
      </rPr>
      <t>日分のみ入力の旧データ。要確認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</si>
  <si>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</si>
  <si>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3</t>
    </r>
    <r>
      <rPr>
        <rFont val="Noto Sans CJK SC"/>
        <color theme="1"/>
        <sz val="11.0"/>
      </rPr>
      <t>月</t>
    </r>
  </si>
  <si>
    <r>
      <rPr>
        <rFont val="Noto Sans"/>
        <color rgb="FF808080"/>
        <sz val="8.0"/>
      </rPr>
      <t>※2026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3</t>
    </r>
    <r>
      <rPr>
        <rFont val="Noto Sans CJK SC"/>
        <color rgb="FF808080"/>
        <sz val="8.0"/>
      </rPr>
      <t>月は</t>
    </r>
    <r>
      <rPr>
        <rFont val="Noto Sans"/>
        <color rgb="FF808080"/>
        <sz val="8.0"/>
      </rPr>
      <t>30</t>
    </r>
    <r>
      <rPr>
        <rFont val="Noto Sans CJK SC"/>
        <color rgb="FF808080"/>
        <sz val="8.0"/>
      </rPr>
      <t>日分。旧シートの日付列が</t>
    </r>
    <r>
      <rPr>
        <rFont val="Noto Sans"/>
        <color rgb="FF808080"/>
        <sz val="8.0"/>
      </rPr>
      <t>3799</t>
    </r>
    <r>
      <rPr>
        <rFont val="Noto Sans CJK SC"/>
        <color rgb="FF808080"/>
        <sz val="8.0"/>
      </rPr>
      <t>年になっていたため売上列から集計</t>
    </r>
  </si>
  <si>
    <t>【入力ルール】</t>
  </si>
  <si>
    <t>・入力するのは青字＋薄黄色のセルだけ。白セルはすべて数式です。</t>
  </si>
  <si>
    <t>・各月シートの入力欄：日次予算／現金／クレジット／購入人数／販売点数／来客数／試着組数／試着個数／クロスクーポン／フォロワー／経費／メモ</t>
  </si>
  <si>
    <t>・試着組数・試着個数は必ず数値で入力（旧ファイルは文字列だったため合計・試着率が集計されていませんでした）。</t>
  </si>
  <si>
    <t>・「ペース」列は累計実績が累計予算に届いているかを自動判定します（◎ペース内／▲遅れ／予算未入力）。</t>
  </si>
  <si>
    <r>
      <rPr>
        <rFont val="Noto Sans CJK SC"/>
        <color theme="1"/>
        <sz val="9.0"/>
      </rPr>
      <t>・各月シート右側に「週次サマリー（火曜〜翌月曜）」。その月の第</t>
    </r>
    <r>
      <rPr>
        <rFont val="Arial"/>
        <color theme="1"/>
        <sz val="9.0"/>
      </rPr>
      <t>1</t>
    </r>
    <r>
      <rPr>
        <rFont val="Noto Sans CJK SC"/>
        <color theme="1"/>
        <sz val="9.0"/>
      </rPr>
      <t>火曜からスタートし、最終週は翌月シートの実績を自動合算します。</t>
    </r>
  </si>
  <si>
    <r>
      <rPr>
        <rFont val="Noto Sans CJK SC"/>
        <color theme="1"/>
        <sz val="9.0"/>
      </rPr>
      <t>・火曜起点のため、月初の月曜まで（例：</t>
    </r>
    <r>
      <rPr>
        <rFont val="Arial"/>
        <color theme="1"/>
        <sz val="9.0"/>
      </rPr>
      <t>6/1</t>
    </r>
    <r>
      <rPr>
        <rFont val="Noto Sans CJK SC"/>
        <color theme="1"/>
        <sz val="9.0"/>
      </rPr>
      <t>）はその月の週次サマリーには出ず、前月シートの最終週に含まれます。週次の合計は月計と一致しません。</t>
    </r>
  </si>
  <si>
    <r>
      <rPr>
        <rFont val="Noto Sans CJK SC"/>
        <color theme="1"/>
        <sz val="9.0"/>
      </rPr>
      <t>・週次の決定率・客単価・セット率は「週合計</t>
    </r>
    <r>
      <rPr>
        <rFont val="Arial"/>
        <color theme="1"/>
        <sz val="9.0"/>
      </rPr>
      <t>÷</t>
    </r>
    <r>
      <rPr>
        <rFont val="Noto Sans CJK SC"/>
        <color theme="1"/>
        <sz val="9.0"/>
      </rPr>
      <t>週合計」で算出（日次の率を</t>
    </r>
    <r>
      <rPr>
        <rFont val="Arial"/>
        <color theme="1"/>
        <sz val="9.0"/>
      </rPr>
      <t>AVERAGE</t>
    </r>
    <r>
      <rPr>
        <rFont val="Noto Sans CJK SC"/>
        <color theme="1"/>
        <sz val="9.0"/>
      </rPr>
      <t>すると客数の少ない日に引っ張られて歪みます）。</t>
    </r>
  </si>
  <si>
    <r>
      <rPr>
        <rFont val="Noto Sans CJK SC"/>
        <color theme="1"/>
        <sz val="9.0"/>
      </rPr>
      <t>・「月間予算」タイル（</t>
    </r>
    <r>
      <rPr>
        <rFont val="Arial"/>
        <color theme="1"/>
        <sz val="9.0"/>
      </rPr>
      <t>A4</t>
    </r>
    <r>
      <rPr>
        <rFont val="Noto Sans CJK SC"/>
        <color theme="1"/>
        <sz val="9.0"/>
      </rPr>
      <t>）と「日次予算合計」タイル（</t>
    </r>
    <r>
      <rPr>
        <rFont val="Arial"/>
        <color theme="1"/>
        <sz val="9.0"/>
      </rPr>
      <t>A6</t>
    </r>
    <r>
      <rPr>
        <rFont val="Noto Sans CJK SC"/>
        <color theme="1"/>
        <sz val="9.0"/>
      </rPr>
      <t>）がズレていたら、日次予算の合計が月間予算と一致していません。累計予算・累計達成・ペース・累計予実差・日別グラフはすべて日次予算を使うので、ズレたままだとペース判定が正しくなくなります。</t>
    </r>
  </si>
  <si>
    <t>【前提・注意】</t>
  </si>
  <si>
    <r>
      <rPr>
        <rFont val="Noto Sans CJK SC"/>
        <color theme="1"/>
        <sz val="9.0"/>
      </rPr>
      <t>・月間予算は未入力です。設定シートの</t>
    </r>
    <r>
      <rPr>
        <rFont val="Arial"/>
        <color theme="1"/>
        <sz val="9.0"/>
      </rPr>
      <t>B</t>
    </r>
    <r>
      <rPr>
        <rFont val="Noto Sans CJK SC"/>
        <color theme="1"/>
        <sz val="9.0"/>
      </rPr>
      <t>列（青字セル）に入れてください。空欄の月は日次予算の合計を月間予算として表示します。</t>
    </r>
  </si>
  <si>
    <r>
      <rPr>
        <rFont val="Noto Sans CJK SC"/>
        <color theme="1"/>
        <sz val="9.0"/>
      </rPr>
      <t>・日次予算は旧ファイルの日別予算をそのまま取り込んでいます（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8,350,000</t>
    </r>
    <r>
      <rPr>
        <rFont val="Noto Sans CJK SC"/>
        <color theme="1"/>
        <sz val="9.0"/>
      </rPr>
      <t>／</t>
    </r>
    <r>
      <rPr>
        <rFont val="Arial"/>
        <color theme="1"/>
        <sz val="9.0"/>
      </rPr>
      <t>5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9,100,000</t>
    </r>
    <r>
      <rPr>
        <rFont val="Noto Sans CJK SC"/>
        <color theme="1"/>
        <sz val="9.0"/>
      </rPr>
      <t>／</t>
    </r>
    <r>
      <rPr>
        <rFont val="Arial"/>
        <color theme="1"/>
        <sz val="9.0"/>
      </rPr>
      <t>6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10,200,000</t>
    </r>
    <r>
      <rPr>
        <rFont val="Noto Sans CJK SC"/>
        <color theme="1"/>
        <sz val="9.0"/>
      </rPr>
      <t>／</t>
    </r>
    <r>
      <rPr>
        <rFont val="Arial"/>
        <color theme="1"/>
        <sz val="9.0"/>
      </rPr>
      <t>7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8,700,000</t>
    </r>
    <r>
      <rPr>
        <rFont val="Noto Sans CJK SC"/>
        <color theme="1"/>
        <sz val="9.0"/>
      </rPr>
      <t>）。月間予算を入れたあと、この合計とズレていないか確認してください。</t>
    </r>
  </si>
  <si>
    <r>
      <rPr>
        <rFont val="Noto Sans CJK SC"/>
        <color theme="1"/>
        <sz val="9.0"/>
      </rPr>
      <t>・</t>
    </r>
    <r>
      <rPr>
        <rFont val="Arial"/>
        <color theme="1"/>
        <sz val="9.0"/>
      </rPr>
      <t>LK</t>
    </r>
    <r>
      <rPr>
        <rFont val="Noto Sans CJK SC"/>
        <color theme="1"/>
        <sz val="9.0"/>
      </rPr>
      <t>売上の列は大阪店のみのため、裏原店では設けていません。</t>
    </r>
  </si>
  <si>
    <r>
      <rPr>
        <rFont val="Noto Sans CJK SC"/>
        <color theme="1"/>
        <sz val="9.0"/>
      </rPr>
      <t>・前年実績：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11</t>
    </r>
    <r>
      <rPr>
        <rFont val="Noto Sans CJK SC"/>
        <color theme="1"/>
        <sz val="9.0"/>
      </rPr>
      <t>月〜</t>
    </r>
    <r>
      <rPr>
        <rFont val="Arial"/>
        <color theme="1"/>
        <sz val="9.0"/>
      </rPr>
      <t>2027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3</t>
    </r>
    <r>
      <rPr>
        <rFont val="Noto Sans CJK SC"/>
        <color theme="1"/>
        <sz val="9.0"/>
      </rPr>
      <t>月は旧ファイル（</t>
    </r>
    <r>
      <rPr>
        <rFont val="Arial"/>
        <color theme="1"/>
        <sz val="9.0"/>
      </rPr>
      <t>2025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11</t>
    </r>
    <r>
      <rPr>
        <rFont val="Noto Sans CJK SC"/>
        <color theme="1"/>
        <sz val="9.0"/>
      </rPr>
      <t>月〜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3</t>
    </r>
    <r>
      <rPr>
        <rFont val="Noto Sans CJK SC"/>
        <color theme="1"/>
        <sz val="9.0"/>
      </rPr>
      <t>月）の売上合計より転記。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10</t>
    </r>
    <r>
      <rPr>
        <rFont val="Noto Sans CJK SC"/>
        <color theme="1"/>
        <sz val="9.0"/>
      </rPr>
      <t>月は元データが無いため空欄。</t>
    </r>
  </si>
  <si>
    <r>
      <rPr>
        <rFont val="Noto Sans CJK SC"/>
        <color theme="1"/>
        <sz val="9.0"/>
      </rPr>
      <t>・旧ファイルの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3</t>
    </r>
    <r>
      <rPr>
        <rFont val="Noto Sans CJK SC"/>
        <color theme="1"/>
        <sz val="9.0"/>
      </rPr>
      <t>月シートは日付列が「</t>
    </r>
    <r>
      <rPr>
        <rFont val="Arial"/>
        <color theme="1"/>
        <sz val="9.0"/>
      </rPr>
      <t>3799/12/01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31</t>
    </r>
    <r>
      <rPr>
        <rFont val="Noto Sans CJK SC"/>
        <color theme="1"/>
        <sz val="9.0"/>
      </rPr>
      <t>」になっていました。行の並び（</t>
    </r>
    <r>
      <rPr>
        <rFont val="Arial"/>
        <color theme="1"/>
        <sz val="9.0"/>
      </rPr>
      <t>3</t>
    </r>
    <r>
      <rPr>
        <rFont val="Noto Sans CJK SC"/>
        <color theme="1"/>
        <sz val="9.0"/>
      </rPr>
      <t>行目＝</t>
    </r>
    <r>
      <rPr>
        <rFont val="Arial"/>
        <color theme="1"/>
        <sz val="9.0"/>
      </rPr>
      <t>3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1</t>
    </r>
    <r>
      <rPr>
        <rFont val="Noto Sans CJK SC"/>
        <color theme="1"/>
        <sz val="9.0"/>
      </rPr>
      <t>日）は正しいので、売上列から集計しています。元ファイル側も直しておくことをおすすめします。</t>
    </r>
  </si>
  <si>
    <r>
      <rPr>
        <rFont val="Noto Sans CJK SC"/>
        <color theme="1"/>
        <sz val="9.0"/>
      </rPr>
      <t>・</t>
    </r>
    <r>
      <rPr>
        <rFont val="Arial"/>
        <color theme="1"/>
        <sz val="9.0"/>
      </rPr>
      <t>2025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11</t>
    </r>
    <r>
      <rPr>
        <rFont val="Noto Sans CJK SC"/>
        <color theme="1"/>
        <sz val="9.0"/>
      </rPr>
      <t>月の売上は</t>
    </r>
    <r>
      <rPr>
        <rFont val="Arial"/>
        <color theme="1"/>
        <sz val="9.0"/>
      </rPr>
      <t>10,333,397</t>
    </r>
    <r>
      <rPr>
        <rFont val="Noto Sans CJK SC"/>
        <color theme="1"/>
        <sz val="9.0"/>
      </rPr>
      <t>円で、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7</t>
    </r>
    <r>
      <rPr>
        <rFont val="Noto Sans CJK SC"/>
        <color theme="1"/>
        <sz val="9.0"/>
      </rPr>
      <t>月（月</t>
    </r>
    <r>
      <rPr>
        <rFont val="Arial"/>
        <color theme="1"/>
        <sz val="9.0"/>
      </rPr>
      <t>4.2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6.8</t>
    </r>
    <r>
      <rPr>
        <rFont val="Noto Sans CJK SC"/>
        <color theme="1"/>
        <sz val="9.0"/>
      </rPr>
      <t>百万円）の約</t>
    </r>
    <r>
      <rPr>
        <rFont val="Arial"/>
        <color theme="1"/>
        <sz val="9.0"/>
      </rPr>
      <t>2</t>
    </r>
    <r>
      <rPr>
        <rFont val="Noto Sans CJK SC"/>
        <color theme="1"/>
        <sz val="9.0"/>
      </rPr>
      <t>倍です。前年比を目標に使う場合はこの水準差に注意してください。</t>
    </r>
  </si>
  <si>
    <r>
      <rPr>
        <rFont val="Noto Sans CJK SC"/>
        <color theme="1"/>
        <sz val="9.0"/>
      </rPr>
      <t>・旧ファイルは月ごとに列構成が</t>
    </r>
    <r>
      <rPr>
        <rFont val="Arial"/>
        <color theme="1"/>
        <sz val="9.0"/>
      </rPr>
      <t>6</t>
    </r>
    <r>
      <rPr>
        <rFont val="Noto Sans CJK SC"/>
        <color theme="1"/>
        <sz val="9.0"/>
      </rPr>
      <t>種類（</t>
    </r>
    <r>
      <rPr>
        <rFont val="Arial"/>
        <color theme="1"/>
        <sz val="9.0"/>
      </rPr>
      <t>11</t>
    </r>
    <r>
      <rPr>
        <rFont val="Noto Sans CJK SC"/>
        <color theme="1"/>
        <sz val="9.0"/>
      </rPr>
      <t>月／</t>
    </r>
    <r>
      <rPr>
        <rFont val="Arial"/>
        <color theme="1"/>
        <sz val="9.0"/>
      </rPr>
      <t>12</t>
    </r>
    <r>
      <rPr>
        <rFont val="Noto Sans CJK SC"/>
        <color theme="1"/>
        <sz val="9.0"/>
      </rPr>
      <t>月・</t>
    </r>
    <r>
      <rPr>
        <rFont val="Arial"/>
        <color theme="1"/>
        <sz val="9.0"/>
      </rPr>
      <t>1</t>
    </r>
    <r>
      <rPr>
        <rFont val="Noto Sans CJK SC"/>
        <color theme="1"/>
        <sz val="9.0"/>
      </rPr>
      <t>月／</t>
    </r>
    <r>
      <rPr>
        <rFont val="Arial"/>
        <color theme="1"/>
        <sz val="9.0"/>
      </rPr>
      <t>2</t>
    </r>
    <r>
      <rPr>
        <rFont val="Noto Sans CJK SC"/>
        <color theme="1"/>
        <sz val="9.0"/>
      </rPr>
      <t>月／</t>
    </r>
    <r>
      <rPr>
        <rFont val="Arial"/>
        <color theme="1"/>
        <sz val="9.0"/>
      </rPr>
      <t>3</t>
    </r>
    <r>
      <rPr>
        <rFont val="Noto Sans CJK SC"/>
        <color theme="1"/>
        <sz val="9.0"/>
      </rPr>
      <t>月／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6</t>
    </r>
    <r>
      <rPr>
        <rFont val="Noto Sans CJK SC"/>
        <color theme="1"/>
        <sz val="9.0"/>
      </rPr>
      <t>月／</t>
    </r>
    <r>
      <rPr>
        <rFont val="Arial"/>
        <color theme="1"/>
        <sz val="9.0"/>
      </rPr>
      <t>7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8</t>
    </r>
    <r>
      <rPr>
        <rFont val="Noto Sans CJK SC"/>
        <color theme="1"/>
        <sz val="9.0"/>
      </rPr>
      <t>月）に分かれていました。本ファイルは全月同一構成です。</t>
    </r>
  </si>
  <si>
    <r>
      <rPr>
        <rFont val="Arial"/>
        <b/>
        <color rgb="FFFFFFFF"/>
        <sz val="15.0"/>
      </rPr>
      <t>2027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3</t>
    </r>
    <r>
      <rPr>
        <rFont val="Noto Sans CJK SC"/>
        <b/>
        <color rgb="FFFFFFFF"/>
        <sz val="15.0"/>
      </rPr>
      <t>月　裏原店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</si>
  <si>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</si>
  <si>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</si>
  <si>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</si>
  <si>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※最終週の翌月分（</t>
    </r>
    <r>
      <rPr>
        <rFont val="Noto Sans"/>
        <color rgb="FF808080"/>
        <sz val="8.0"/>
      </rPr>
      <t>4/1</t>
    </r>
    <r>
      <rPr>
        <rFont val="Noto Sans CJK SC"/>
        <color rgb="FF808080"/>
        <sz val="8.0"/>
      </rPr>
      <t>〜）は集計対象外です（翌期のシートが無いため）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</si>
  <si>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</si>
  <si>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t>■ 週次サマリー（月曜〜日曜）</t>
  </si>
  <si>
    <t>■ 週次サマリー（月曜〜日曜）</t>
  </si>
  <si>
    <t>■ 週次サマリー（月曜〜日曜）</t>
  </si>
  <si>
    <t>■ 週次サマリー（月曜〜日曜）</t>
  </si>
  <si>
    <t>■ 週次サマリー（月曜〜日曜）</t>
  </si>
  <si>
    <t>■ 週次サマリー（月曜〜日曜）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</si>
</sst>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¥#,##0;&quot;(¥&quot;#,##0\);\-"/>
    <numFmt numFmtId="165" formatCode="0.0%"/>
    <numFmt numFmtId="166" formatCode="yyyy\/mm\/dd"/>
    <numFmt numFmtId="167" formatCode="m/d"/>
  </numFmts>
  <fonts count="22">
    <font>
      <sz val="11.0"/>
      <color theme="1"/>
      <name val="Calibri"/>
      <scheme val="minor"/>
    </font>
    <font>
      <b/>
      <sz val="15.0"/>
      <color rgb="FFFFFFFF"/>
      <name val="Arial"/>
    </font>
    <font/>
    <font>
      <sz val="9.0"/>
      <color rgb="FF808080"/>
      <name val="Noto Sans"/>
    </font>
    <font>
      <b/>
      <sz val="10.0"/>
      <color theme="1"/>
      <name val="Noto Sans"/>
    </font>
    <font>
      <b/>
      <sz val="11.0"/>
      <color rgb="FF1F3864"/>
      <name val="Arial"/>
    </font>
    <font>
      <b/>
      <sz val="11.0"/>
      <color theme="1"/>
      <name val="Arial"/>
    </font>
    <font>
      <b/>
      <sz val="10.0"/>
      <color rgb="FFFFFFFF"/>
      <name val="Noto Sans"/>
    </font>
    <font>
      <sz val="11.0"/>
      <color theme="1"/>
      <name val="Arial"/>
    </font>
    <font>
      <sz val="11.0"/>
      <color rgb="FF0000FF"/>
      <name val="Arial"/>
    </font>
    <font>
      <sz val="10.0"/>
      <color theme="1"/>
      <name val="Noto Sans"/>
    </font>
    <font>
      <sz val="9.0"/>
      <color rgb="FF0000FF"/>
      <name val="Arial"/>
    </font>
    <font>
      <b/>
      <sz val="11.0"/>
      <color theme="1"/>
      <name val="Noto Sans"/>
    </font>
    <font>
      <sz val="8.0"/>
      <color rgb="FF808080"/>
      <name val="Noto Sans"/>
    </font>
    <font>
      <b/>
      <sz val="11.0"/>
      <color rgb="FFFFFFFF"/>
      <name val="Noto Sans"/>
    </font>
    <font>
      <b/>
      <sz val="11.0"/>
      <color rgb="FFFFFFFF"/>
      <name val="Arial"/>
    </font>
    <font>
      <b/>
      <sz val="11.0"/>
      <color rgb="FF1F3864"/>
      <name val="Noto Sans"/>
    </font>
    <font>
      <sz val="9.0"/>
      <color rgb="FF0000FF"/>
      <name val="Noto Sans"/>
    </font>
    <font>
      <sz val="8.0"/>
      <color rgb="FFD9D9D9"/>
      <name val="Noto Sans"/>
    </font>
    <font>
      <u/>
      <color theme="1"/>
      <name val="Calibri"/>
      <scheme val="minor"/>
    </font>
    <font>
      <b/>
      <sz val="15.0"/>
      <color rgb="FFFFFFFF"/>
      <name val="Noto Sans"/>
    </font>
    <font>
      <sz val="9.0"/>
      <color theme="1"/>
      <name val="Noto Sans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CE6F7"/>
        <bgColor rgb="FFDCE6F7"/>
      </patternFill>
    </fill>
    <fill>
      <patternFill patternType="solid">
        <fgColor rgb="FF2E5AAC"/>
        <bgColor rgb="FF2E5AAC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2F2F2"/>
        <bgColor rgb="FFF2F2F2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4" fillId="0" fontId="5" numFmtId="164" xfId="0" applyAlignment="1" applyBorder="1" applyFont="1" applyNumberFormat="1">
      <alignment horizontal="center" shrinkToFit="0" vertical="center" wrapText="0"/>
    </xf>
    <xf borderId="4" fillId="0" fontId="6" numFmtId="164" xfId="0" applyAlignment="1" applyBorder="1" applyFont="1" applyNumberFormat="1">
      <alignment horizontal="center" shrinkToFit="0" vertical="center" wrapText="0"/>
    </xf>
    <xf borderId="4" fillId="0" fontId="6" numFmtId="165" xfId="0" applyAlignment="1" applyBorder="1" applyFont="1" applyNumberFormat="1">
      <alignment horizontal="center" shrinkToFit="0" vertical="center" wrapText="0"/>
    </xf>
    <xf borderId="4" fillId="0" fontId="6" numFmtId="1" xfId="0" applyAlignment="1" applyBorder="1" applyFont="1" applyNumberFormat="1">
      <alignment horizontal="center" shrinkToFit="0" vertical="center" wrapText="0"/>
    </xf>
    <xf borderId="6" fillId="4" fontId="7" numFmtId="0" xfId="0" applyAlignment="1" applyBorder="1" applyFill="1" applyFont="1">
      <alignment horizontal="center" shrinkToFit="0" vertical="center" wrapText="1"/>
    </xf>
    <xf borderId="4" fillId="0" fontId="6" numFmtId="2" xfId="0" applyAlignment="1" applyBorder="1" applyFont="1" applyNumberFormat="1">
      <alignment horizontal="center" shrinkToFit="0" vertical="center" wrapText="0"/>
    </xf>
    <xf borderId="6" fillId="5" fontId="8" numFmtId="0" xfId="0" applyAlignment="1" applyBorder="1" applyFill="1" applyFont="1">
      <alignment horizontal="center" shrinkToFit="0" vertical="center" wrapText="0"/>
    </xf>
    <xf borderId="6" fillId="4" fontId="7" numFmtId="0" xfId="0" applyAlignment="1" applyBorder="1" applyFill="1" applyFont="1">
      <alignment horizontal="center" shrinkToFit="0" vertical="center" wrapText="0"/>
    </xf>
    <xf borderId="6" fillId="5" fontId="8" numFmtId="164" xfId="0" applyAlignment="1" applyBorder="1" applyFill="1" applyFont="1" applyNumberFormat="1">
      <alignment horizontal="right" shrinkToFit="0" vertical="center" wrapText="0"/>
    </xf>
    <xf borderId="6" fillId="5" fontId="8" numFmtId="166" xfId="0" applyAlignment="1" applyBorder="1" applyFill="1" applyFont="1" applyNumberFormat="1">
      <alignment horizontal="center" shrinkToFit="0" vertical="center" wrapText="0"/>
    </xf>
    <xf borderId="6" fillId="5" fontId="8" numFmtId="165" xfId="0" applyAlignment="1" applyBorder="1" applyFill="1" applyFont="1" applyNumberFormat="1">
      <alignment horizontal="right" shrinkToFit="0" vertical="center" wrapText="0"/>
    </xf>
    <xf borderId="6" fillId="6" fontId="9" numFmtId="164" xfId="0" applyAlignment="1" applyBorder="1" applyFill="1" applyFont="1" applyNumberFormat="1">
      <alignment horizontal="right" shrinkToFit="0" vertical="center" wrapText="0"/>
    </xf>
    <xf borderId="6" fillId="5" fontId="8" numFmtId="1" xfId="0" applyAlignment="1" applyBorder="1" applyFill="1" applyFont="1" applyNumberFormat="1">
      <alignment horizontal="right" shrinkToFit="0" vertical="center" wrapText="0"/>
    </xf>
    <xf borderId="6" fillId="5" fontId="10" numFmtId="0" xfId="0" applyAlignment="1" applyBorder="1" applyFill="1" applyFont="1">
      <alignment horizontal="center" shrinkToFit="0" vertical="center" wrapText="0"/>
    </xf>
    <xf borderId="6" fillId="7" fontId="8" numFmtId="0" xfId="0" applyAlignment="1" applyBorder="1" applyFill="1" applyFont="1">
      <alignment horizontal="center" shrinkToFit="0" vertical="center" wrapText="0"/>
    </xf>
    <xf borderId="6" fillId="6" fontId="9" numFmtId="1" xfId="0" applyAlignment="1" applyBorder="1" applyFill="1" applyFont="1" applyNumberFormat="1">
      <alignment horizontal="right" shrinkToFit="0" vertical="center" wrapText="0"/>
    </xf>
    <xf borderId="6" fillId="7" fontId="8" numFmtId="164" xfId="0" applyAlignment="1" applyBorder="1" applyFill="1" applyFont="1" applyNumberFormat="1">
      <alignment horizontal="right" shrinkToFit="0" vertical="center" wrapText="0"/>
    </xf>
    <xf borderId="6" fillId="5" fontId="8" numFmtId="2" xfId="0" applyAlignment="1" applyBorder="1" applyFill="1" applyFont="1" applyNumberFormat="1">
      <alignment horizontal="right" shrinkToFit="0" vertical="center" wrapText="0"/>
    </xf>
    <xf borderId="6" fillId="7" fontId="8" numFmtId="165" xfId="0" applyAlignment="1" applyBorder="1" applyFill="1" applyFont="1" applyNumberFormat="1">
      <alignment horizontal="right" shrinkToFit="0" vertical="center" wrapText="0"/>
    </xf>
    <xf borderId="6" fillId="6" fontId="11" numFmtId="0" xfId="0" applyAlignment="1" applyBorder="1" applyFill="1" applyFont="1">
      <alignment horizontal="left" shrinkToFit="0" vertical="center" wrapText="0"/>
    </xf>
    <xf borderId="6" fillId="0" fontId="12" numFmtId="0" xfId="0" applyAlignment="1" applyBorder="1" applyFont="1">
      <alignment horizontal="center" shrinkToFit="0" vertical="center" wrapText="0"/>
    </xf>
    <xf borderId="6" fillId="7" fontId="8" numFmtId="1" xfId="0" applyAlignment="1" applyBorder="1" applyFill="1" applyFont="1" applyNumberFormat="1">
      <alignment horizontal="right" shrinkToFit="0" vertical="center" wrapText="0"/>
    </xf>
    <xf borderId="6" fillId="0" fontId="8" numFmtId="164" xfId="0" applyAlignment="1" applyBorder="1" applyFont="1" applyNumberFormat="1">
      <alignment horizontal="right" shrinkToFit="0" vertical="center" wrapText="0"/>
    </xf>
    <xf borderId="6" fillId="0" fontId="8" numFmtId="1" xfId="0" applyAlignment="1" applyBorder="1" applyFont="1" applyNumberFormat="1">
      <alignment horizontal="center" shrinkToFit="0" vertical="center" wrapText="0"/>
    </xf>
    <xf borderId="6" fillId="0" fontId="8" numFmtId="165" xfId="0" applyAlignment="1" applyBorder="1" applyFont="1" applyNumberFormat="1">
      <alignment horizontal="right" shrinkToFit="0" vertical="center" wrapText="0"/>
    </xf>
    <xf borderId="6" fillId="7" fontId="8" numFmtId="166" xfId="0" applyAlignment="1" applyBorder="1" applyFill="1" applyFont="1" applyNumberFormat="1">
      <alignment horizontal="center" shrinkToFit="0" vertical="center" wrapText="0"/>
    </xf>
    <xf borderId="6" fillId="7" fontId="10" numFmtId="0" xfId="0" applyAlignment="1" applyBorder="1" applyFill="1" applyFont="1">
      <alignment horizontal="center" shrinkToFit="0" vertical="center" wrapText="0"/>
    </xf>
    <xf borderId="6" fillId="7" fontId="8" numFmtId="2" xfId="0" applyAlignment="1" applyBorder="1" applyFill="1" applyFont="1" applyNumberFormat="1">
      <alignment horizontal="right" shrinkToFit="0" vertical="center" wrapText="0"/>
    </xf>
    <xf borderId="0" fillId="0" fontId="13" numFmtId="0" xfId="0" applyAlignment="1" applyFont="1">
      <alignment shrinkToFit="0" vertical="bottom" wrapText="0"/>
    </xf>
    <xf borderId="6" fillId="2" fontId="14" numFmtId="0" xfId="0" applyAlignment="1" applyBorder="1" applyFill="1" applyFont="1">
      <alignment horizontal="center" shrinkToFit="0" vertical="center" wrapText="0"/>
    </xf>
    <xf borderId="6" fillId="2" fontId="15" numFmtId="164" xfId="0" applyAlignment="1" applyBorder="1" applyFill="1" applyFont="1" applyNumberFormat="1">
      <alignment horizontal="right" shrinkToFit="0" vertical="center" wrapText="0"/>
    </xf>
    <xf borderId="0" fillId="0" fontId="16" numFmtId="0" xfId="0" applyAlignment="1" applyFont="1">
      <alignment shrinkToFit="0" vertical="bottom" wrapText="0"/>
    </xf>
    <xf borderId="6" fillId="2" fontId="15" numFmtId="165" xfId="0" applyAlignment="1" applyBorder="1" applyFill="1" applyFont="1" applyNumberFormat="1">
      <alignment horizontal="right" shrinkToFit="0" vertical="center" wrapText="0"/>
    </xf>
    <xf borderId="0" fillId="0" fontId="13" numFmtId="167" xfId="0" applyAlignment="1" applyFont="1" applyNumberFormat="1">
      <alignment shrinkToFit="0" vertical="bottom" wrapText="0"/>
    </xf>
    <xf borderId="6" fillId="2" fontId="15" numFmtId="1" xfId="0" applyAlignment="1" applyBorder="1" applyFill="1" applyFont="1" applyNumberFormat="1">
      <alignment horizontal="right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6" fillId="0" fontId="8" numFmtId="2" xfId="0" applyAlignment="1" applyBorder="1" applyFont="1" applyNumberFormat="1">
      <alignment horizontal="right" shrinkToFit="0" vertical="center" wrapText="0"/>
    </xf>
    <xf borderId="6" fillId="6" fontId="17" numFmtId="0" xfId="0" applyAlignment="1" applyBorder="1" applyFill="1" applyFont="1">
      <alignment horizontal="left" shrinkToFit="0" vertical="center" wrapText="0"/>
    </xf>
    <xf borderId="6" fillId="2" fontId="14" numFmtId="166" xfId="0" applyAlignment="1" applyBorder="1" applyFill="1" applyFont="1" applyNumberFormat="1">
      <alignment horizontal="center" shrinkToFit="0" vertical="center" wrapText="0"/>
    </xf>
    <xf borderId="6" fillId="2" fontId="15" numFmtId="0" xfId="0" applyAlignment="1" applyBorder="1" applyFill="1" applyFont="1">
      <alignment horizontal="center" shrinkToFit="0" vertical="center" wrapText="0"/>
    </xf>
    <xf borderId="6" fillId="2" fontId="15" numFmtId="2" xfId="0" applyAlignment="1" applyBorder="1" applyFill="1" applyFont="1" applyNumberFormat="1">
      <alignment horizontal="right" shrinkToFit="0" vertical="center" wrapText="0"/>
    </xf>
    <xf borderId="6" fillId="2" fontId="18" numFmtId="0" xfId="0" applyAlignment="1" applyBorder="1" applyFill="1" applyFont="1">
      <alignment horizontal="left" shrinkToFit="0" vertical="center" wrapText="0"/>
    </xf>
    <xf borderId="6" fillId="6" fontId="9" numFmtId="164" xfId="0" applyAlignment="1" applyBorder="1" applyFill="1" applyFont="1" applyNumberFormat="1">
      <alignment horizontal="right" readingOrder="0" shrinkToFit="0" vertical="center" wrapText="0"/>
    </xf>
    <xf borderId="6" fillId="6" fontId="9" numFmtId="1" xfId="0" applyAlignment="1" applyBorder="1" applyFill="1" applyFont="1" applyNumberFormat="1">
      <alignment horizontal="right" readingOrder="0" shrinkToFit="0" vertical="center" wrapText="0"/>
    </xf>
    <xf borderId="0" fillId="0" fontId="19" numFmtId="0" xfId="0" applyFont="1"/>
    <xf borderId="6" fillId="5" fontId="6" numFmtId="164" xfId="0" applyAlignment="1" applyBorder="1" applyFill="1" applyFont="1" applyNumberFormat="1">
      <alignment horizontal="right" shrinkToFit="0" vertical="center" wrapText="0"/>
    </xf>
    <xf borderId="6" fillId="5" fontId="8" numFmtId="164" xfId="0" applyAlignment="1" applyBorder="1" applyFill="1" applyFont="1" applyNumberFormat="1">
      <alignment horizontal="right" readingOrder="0" shrinkToFit="0" vertical="center" wrapText="0"/>
    </xf>
    <xf borderId="1" fillId="2" fontId="20" numFmtId="0" xfId="0" applyAlignment="1" applyBorder="1" applyFill="1" applyFont="1">
      <alignment horizontal="left" shrinkToFit="0" vertical="center" wrapText="0"/>
    </xf>
    <xf borderId="6" fillId="3" fontId="4" numFmtId="0" xfId="0" applyAlignment="1" applyBorder="1" applyFill="1" applyFont="1">
      <alignment shrinkToFit="0" vertical="bottom" wrapText="0"/>
    </xf>
    <xf borderId="6" fillId="0" fontId="6" numFmtId="164" xfId="0" applyAlignment="1" applyBorder="1" applyFont="1" applyNumberFormat="1">
      <alignment shrinkToFit="0" vertical="bottom" wrapText="0"/>
    </xf>
    <xf borderId="6" fillId="5" fontId="8" numFmtId="1" xfId="0" applyAlignment="1" applyBorder="1" applyFill="1" applyFont="1" applyNumberFormat="1">
      <alignment horizontal="center" shrinkToFit="0" vertical="center" wrapText="0"/>
    </xf>
    <xf borderId="6" fillId="7" fontId="8" numFmtId="1" xfId="0" applyAlignment="1" applyBorder="1" applyFill="1" applyFont="1" applyNumberFormat="1">
      <alignment horizontal="center" shrinkToFit="0" vertical="center" wrapText="0"/>
    </xf>
    <xf borderId="6" fillId="6" fontId="9" numFmtId="164" xfId="0" applyAlignment="1" applyBorder="1" applyFill="1" applyFont="1" applyNumberFormat="1">
      <alignment horizontal="right" readingOrder="0" vertical="center"/>
    </xf>
    <xf borderId="6" fillId="2" fontId="15" numFmtId="1" xfId="0" applyAlignment="1" applyBorder="1" applyFill="1" applyFont="1" applyNumberFormat="1">
      <alignment horizontal="center" shrinkToFit="0" vertical="center" wrapText="0"/>
    </xf>
    <xf borderId="0" fillId="0" fontId="21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月別：予算 vs 実績 vs 前年実績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月間予算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'ダッシュボード'!$A$8:$A$19</c:f>
            </c:strRef>
          </c:cat>
          <c:val>
            <c:numRef>
              <c:f>'ダッシュボード'!$B$8:$B$19</c:f>
              <c:numCache/>
            </c:numRef>
          </c:val>
        </c:ser>
        <c:ser>
          <c:idx val="1"/>
          <c:order val="1"/>
          <c:tx>
            <c:v>当月実績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'ダッシュボード'!$A$8:$A$19</c:f>
            </c:strRef>
          </c:cat>
          <c:val>
            <c:numRef>
              <c:f>'ダッシュボード'!$C$8:$C$19</c:f>
              <c:numCache/>
            </c:numRef>
          </c:val>
        </c:ser>
        <c:ser>
          <c:idx val="2"/>
          <c:order val="2"/>
          <c:tx>
            <c:v>前年実績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'ダッシュボード'!$A$8:$A$19</c:f>
            </c:strRef>
          </c:cat>
          <c:val>
            <c:numRef>
              <c:f>'ダッシュボード'!$F$8:$F$19</c:f>
              <c:numCache/>
            </c:numRef>
          </c:val>
        </c:ser>
        <c:axId val="211490278"/>
        <c:axId val="311859450"/>
      </c:barChart>
      <c:catAx>
        <c:axId val="211490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11859450"/>
      </c:catAx>
      <c:valAx>
        <c:axId val="311859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149027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月別：達成率 と 前年比</a:t>
            </a:r>
          </a:p>
        </c:rich>
      </c:tx>
      <c:overlay val="0"/>
    </c:title>
    <c:plotArea>
      <c:layout/>
      <c:lineChart>
        <c:ser>
          <c:idx val="0"/>
          <c:order val="0"/>
          <c:tx>
            <c:v>達成率</c:v>
          </c:tx>
          <c:spPr>
            <a:ln cmpd="sng" w="19050">
              <a:solidFill>
                <a:srgbClr val="4F81BD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4F81BD">
                  <a:alpha val="100000"/>
                </a:srgbClr>
              </a:solidFill>
              <a:ln cmpd="sng">
                <a:solidFill>
                  <a:srgbClr val="4F81BD">
                    <a:alpha val="100000"/>
                  </a:srgbClr>
                </a:solidFill>
              </a:ln>
            </c:spPr>
          </c:marker>
          <c:cat>
            <c:strRef>
              <c:f>'ダッシュボード'!$A$8:$A$19</c:f>
            </c:strRef>
          </c:cat>
          <c:val>
            <c:numRef>
              <c:f>'ダッシュボード'!$D$8:$D$19</c:f>
              <c:numCache/>
            </c:numRef>
          </c:val>
          <c:smooth val="0"/>
        </c:ser>
        <c:ser>
          <c:idx val="1"/>
          <c:order val="1"/>
          <c:tx>
            <c:v>前年比</c:v>
          </c:tx>
          <c:spPr>
            <a:ln cmpd="sng" w="19050">
              <a:solidFill>
                <a:srgbClr val="C0504D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0504D">
                  <a:alpha val="100000"/>
                </a:srgbClr>
              </a:solidFill>
              <a:ln cmpd="sng">
                <a:solidFill>
                  <a:srgbClr val="C0504D">
                    <a:alpha val="100000"/>
                  </a:srgbClr>
                </a:solidFill>
              </a:ln>
            </c:spPr>
          </c:marker>
          <c:cat>
            <c:strRef>
              <c:f>'ダッシュボード'!$A$8:$A$19</c:f>
            </c:strRef>
          </c:cat>
          <c:val>
            <c:numRef>
              <c:f>'ダッシュボード'!$G$8:$G$19</c:f>
              <c:numCache/>
            </c:numRef>
          </c:val>
          <c:smooth val="0"/>
        </c:ser>
        <c:axId val="10485470"/>
        <c:axId val="469041263"/>
      </c:lineChart>
      <c:catAx>
        <c:axId val="10485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69041263"/>
      </c:catAx>
      <c:valAx>
        <c:axId val="469041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48547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累計：予算 vs 実績（YTDペース）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'ダッシュボード'!$A$8:$A$19</c:f>
            </c:strRef>
          </c:cat>
          <c:val>
            <c:numRef>
              <c:f>'ダッシュボード'!$L$8:$L$19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'ダッシュボード'!$A$8:$A$19</c:f>
            </c:strRef>
          </c:cat>
          <c:val>
            <c:numRef>
              <c:f>'ダッシュボード'!$M$8:$M$19</c:f>
              <c:numCache/>
            </c:numRef>
          </c:val>
          <c:smooth val="1"/>
        </c:ser>
        <c:axId val="586637047"/>
        <c:axId val="843346797"/>
      </c:lineChart>
      <c:catAx>
        <c:axId val="586637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43346797"/>
      </c:catAx>
      <c:valAx>
        <c:axId val="843346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8663704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4月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'2026年04月'!$A$8:$A$37</c:f>
            </c:strRef>
          </c:cat>
          <c:val>
            <c:numRef>
              <c:f>'2026年04月'!$D$8:$D$37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'2026年04月'!$A$8:$A$37</c:f>
            </c:strRef>
          </c:cat>
          <c:val>
            <c:numRef>
              <c:f>'2026年04月'!$H$8:$H$37</c:f>
              <c:numCache/>
            </c:numRef>
          </c:val>
          <c:smooth val="1"/>
        </c:ser>
        <c:axId val="1737154807"/>
        <c:axId val="792918799"/>
      </c:lineChart>
      <c:catAx>
        <c:axId val="1737154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92918799"/>
      </c:catAx>
      <c:valAx>
        <c:axId val="792918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3715480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4月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'2026年04月'!$A$8:$A$37</c:f>
            </c:strRef>
          </c:cat>
          <c:val>
            <c:numRef>
              <c:f>'2026年04月'!$C$8:$C$37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'2026年04月'!$A$8:$A$37</c:f>
            </c:strRef>
          </c:cat>
          <c:val>
            <c:numRef>
              <c:f>'2026年04月'!$G$8:$G$37</c:f>
              <c:numCache/>
            </c:numRef>
          </c:val>
        </c:ser>
        <c:axId val="999759965"/>
        <c:axId val="1169414760"/>
      </c:barChart>
      <c:catAx>
        <c:axId val="999759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69414760"/>
      </c:catAx>
      <c:valAx>
        <c:axId val="1169414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9975996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5月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'2026年05月'!$A$8:$A$38</c:f>
            </c:strRef>
          </c:cat>
          <c:val>
            <c:numRef>
              <c:f>'2026年05月'!$D$8:$D$38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'2026年05月'!$A$8:$A$38</c:f>
            </c:strRef>
          </c:cat>
          <c:val>
            <c:numRef>
              <c:f>'2026年05月'!$H$8:$H$38</c:f>
              <c:numCache/>
            </c:numRef>
          </c:val>
          <c:smooth val="1"/>
        </c:ser>
        <c:axId val="2092297162"/>
        <c:axId val="1623633210"/>
      </c:lineChart>
      <c:catAx>
        <c:axId val="2092297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23633210"/>
      </c:catAx>
      <c:valAx>
        <c:axId val="1623633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229716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5月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'2026年05月'!$A$8:$A$38</c:f>
            </c:strRef>
          </c:cat>
          <c:val>
            <c:numRef>
              <c:f>'2026年05月'!$C$8:$C$38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'2026年05月'!$A$8:$A$38</c:f>
            </c:strRef>
          </c:cat>
          <c:val>
            <c:numRef>
              <c:f>'2026年05月'!$G$8:$G$38</c:f>
              <c:numCache/>
            </c:numRef>
          </c:val>
        </c:ser>
        <c:axId val="572920952"/>
        <c:axId val="1620516367"/>
      </c:barChart>
      <c:catAx>
        <c:axId val="572920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20516367"/>
      </c:catAx>
      <c:valAx>
        <c:axId val="1620516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292095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6月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'2026年06月'!$A$8:$A$37</c:f>
            </c:strRef>
          </c:cat>
          <c:val>
            <c:numRef>
              <c:f>'2026年06月'!$D$8:$D$37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'2026年06月'!$A$8:$A$37</c:f>
            </c:strRef>
          </c:cat>
          <c:val>
            <c:numRef>
              <c:f>'2026年06月'!$H$8:$H$37</c:f>
              <c:numCache/>
            </c:numRef>
          </c:val>
          <c:smooth val="1"/>
        </c:ser>
        <c:axId val="2124927280"/>
        <c:axId val="206918272"/>
      </c:lineChart>
      <c:catAx>
        <c:axId val="212492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6918272"/>
      </c:catAx>
      <c:valAx>
        <c:axId val="206918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2492728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6月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'2026年06月'!$A$8:$A$37</c:f>
            </c:strRef>
          </c:cat>
          <c:val>
            <c:numRef>
              <c:f>'2026年06月'!$C$8:$C$37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'2026年06月'!$A$8:$A$37</c:f>
            </c:strRef>
          </c:cat>
          <c:val>
            <c:numRef>
              <c:f>'2026年06月'!$G$8:$G$37</c:f>
              <c:numCache/>
            </c:numRef>
          </c:val>
        </c:ser>
        <c:axId val="1896309686"/>
        <c:axId val="18312688"/>
      </c:barChart>
      <c:catAx>
        <c:axId val="1896309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312688"/>
      </c:catAx>
      <c:valAx>
        <c:axId val="18312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9630968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7月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'2026年07月'!$A$8:$A$38</c:f>
            </c:strRef>
          </c:cat>
          <c:val>
            <c:numRef>
              <c:f>'2026年07月'!$D$8:$D$38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'2026年07月'!$A$8:$A$38</c:f>
            </c:strRef>
          </c:cat>
          <c:val>
            <c:numRef>
              <c:f>'2026年07月'!$H$8:$H$38</c:f>
              <c:numCache/>
            </c:numRef>
          </c:val>
          <c:smooth val="1"/>
        </c:ser>
        <c:axId val="265586660"/>
        <c:axId val="1630279166"/>
      </c:lineChart>
      <c:catAx>
        <c:axId val="265586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0279166"/>
      </c:catAx>
      <c:valAx>
        <c:axId val="1630279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6558666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7月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'2026年07月'!$A$8:$A$38</c:f>
            </c:strRef>
          </c:cat>
          <c:val>
            <c:numRef>
              <c:f>'2026年07月'!$C$8:$C$38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'2026年07月'!$A$8:$A$38</c:f>
            </c:strRef>
          </c:cat>
          <c:val>
            <c:numRef>
              <c:f>'2026年07月'!$G$8:$G$38</c:f>
              <c:numCache/>
            </c:numRef>
          </c:val>
        </c:ser>
        <c:axId val="5459696"/>
        <c:axId val="1579981079"/>
      </c:barChart>
      <c:catAx>
        <c:axId val="5459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79981079"/>
      </c:catAx>
      <c:valAx>
        <c:axId val="1579981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45969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8月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'2026年08月'!$A$8:$A$38</c:f>
            </c:strRef>
          </c:cat>
          <c:val>
            <c:numRef>
              <c:f>'2026年08月'!$D$8:$D$38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'2026年08月'!$A$8:$A$38</c:f>
            </c:strRef>
          </c:cat>
          <c:val>
            <c:numRef>
              <c:f>'2026年08月'!$H$8:$H$38</c:f>
              <c:numCache/>
            </c:numRef>
          </c:val>
          <c:smooth val="1"/>
        </c:ser>
        <c:axId val="1505302097"/>
        <c:axId val="871342601"/>
      </c:lineChart>
      <c:catAx>
        <c:axId val="1505302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71342601"/>
      </c:catAx>
      <c:valAx>
        <c:axId val="871342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0530209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8月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'2026年08月'!$A$8:$A$38</c:f>
            </c:strRef>
          </c:cat>
          <c:val>
            <c:numRef>
              <c:f>'2026年08月'!$C$8:$C$38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'2026年08月'!$A$8:$A$38</c:f>
            </c:strRef>
          </c:cat>
          <c:val>
            <c:numRef>
              <c:f>'2026年08月'!$G$8:$G$38</c:f>
              <c:numCache/>
            </c:numRef>
          </c:val>
        </c:ser>
        <c:axId val="1364448452"/>
        <c:axId val="1073200132"/>
      </c:barChart>
      <c:catAx>
        <c:axId val="1364448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73200132"/>
      </c:catAx>
      <c:valAx>
        <c:axId val="1073200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6444845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9月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'2026年09月'!$A$8:$A$37</c:f>
            </c:strRef>
          </c:cat>
          <c:val>
            <c:numRef>
              <c:f>'2026年09月'!$D$8:$D$37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'2026年09月'!$A$8:$A$37</c:f>
            </c:strRef>
          </c:cat>
          <c:val>
            <c:numRef>
              <c:f>'2026年09月'!$H$8:$H$37</c:f>
              <c:numCache/>
            </c:numRef>
          </c:val>
          <c:smooth val="1"/>
        </c:ser>
        <c:axId val="638974479"/>
        <c:axId val="420381323"/>
      </c:lineChart>
      <c:catAx>
        <c:axId val="638974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20381323"/>
      </c:catAx>
      <c:valAx>
        <c:axId val="420381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3897447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9月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'2026年09月'!$A$8:$A$37</c:f>
            </c:strRef>
          </c:cat>
          <c:val>
            <c:numRef>
              <c:f>'2026年09月'!$C$8:$C$37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'2026年09月'!$A$8:$A$37</c:f>
            </c:strRef>
          </c:cat>
          <c:val>
            <c:numRef>
              <c:f>'2026年09月'!$G$8:$G$37</c:f>
              <c:numCache/>
            </c:numRef>
          </c:val>
        </c:ser>
        <c:axId val="445732539"/>
        <c:axId val="1134226848"/>
      </c:barChart>
      <c:catAx>
        <c:axId val="445732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4226848"/>
      </c:catAx>
      <c:valAx>
        <c:axId val="1134226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4573253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10月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'2026年10月'!$A$8:$A$38</c:f>
            </c:strRef>
          </c:cat>
          <c:val>
            <c:numRef>
              <c:f>'2026年10月'!$D$8:$D$38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'2026年10月'!$A$8:$A$38</c:f>
            </c:strRef>
          </c:cat>
          <c:val>
            <c:numRef>
              <c:f>'2026年10月'!$H$8:$H$38</c:f>
              <c:numCache/>
            </c:numRef>
          </c:val>
          <c:smooth val="1"/>
        </c:ser>
        <c:axId val="2128590962"/>
        <c:axId val="574070577"/>
      </c:lineChart>
      <c:catAx>
        <c:axId val="2128590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4070577"/>
      </c:catAx>
      <c:valAx>
        <c:axId val="574070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2859096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10月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'2026年10月'!$A$8:$A$38</c:f>
            </c:strRef>
          </c:cat>
          <c:val>
            <c:numRef>
              <c:f>'2026年10月'!$C$8:$C$38</c:f>
              <c:numCache/>
            </c:numRef>
          </c:val>
        </c:ser>
        <c:ser>
          <c:idx val="1"/>
          <c:order val="1"/>
          <c:tx>
            <c:strRef>
              <c:f>'2026年10月'!$G$7</c:f>
            </c:strRef>
          </c:tx>
          <c:invertIfNegative val="0"/>
          <c:cat>
            <c:strRef>
              <c:f>'2026年10月'!$A$8:$A$38</c:f>
            </c:strRef>
          </c:cat>
          <c:val>
            <c:numRef>
              <c:f>'2026年10月'!$G$8:$G$38</c:f>
              <c:numCache/>
            </c:numRef>
          </c:val>
        </c:ser>
        <c:axId val="896061826"/>
        <c:axId val="1872392690"/>
      </c:barChart>
      <c:catAx>
        <c:axId val="896061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72392690"/>
      </c:catAx>
      <c:valAx>
        <c:axId val="1872392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9606182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11月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'2026年11月'!$A$8:$A$37</c:f>
            </c:strRef>
          </c:cat>
          <c:val>
            <c:numRef>
              <c:f>'2026年11月'!$D$8:$D$37</c:f>
              <c:numCache/>
            </c:numRef>
          </c:val>
          <c:smooth val="1"/>
        </c:ser>
        <c:axId val="130991096"/>
        <c:axId val="1801235032"/>
      </c:lineChart>
      <c:catAx>
        <c:axId val="130991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01235032"/>
      </c:catAx>
      <c:valAx>
        <c:axId val="1801235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099109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11月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'2026年11月'!$C$7</c:f>
            </c:strRef>
          </c:tx>
          <c:invertIfNegative val="0"/>
          <c:cat>
            <c:strRef>
              <c:f>'2026年11月'!$A$8:$A$37</c:f>
            </c:strRef>
          </c:cat>
          <c:val>
            <c:numRef>
              <c:f>'2026年11月'!$C$8:$C$37</c:f>
              <c:numCache/>
            </c:numRef>
          </c:val>
        </c:ser>
        <c:ser>
          <c:idx val="1"/>
          <c:order val="1"/>
          <c:tx>
            <c:strRef>
              <c:f>'2026年11月'!$G$7</c:f>
            </c:strRef>
          </c:tx>
          <c:invertIfNegative val="0"/>
          <c:cat>
            <c:strRef>
              <c:f>'2026年11月'!$A$8:$A$37</c:f>
            </c:strRef>
          </c:cat>
          <c:val>
            <c:numRef>
              <c:f>'2026年11月'!$G$8:$G$37</c:f>
              <c:numCache/>
            </c:numRef>
          </c:val>
        </c:ser>
        <c:axId val="849168026"/>
        <c:axId val="770733370"/>
      </c:barChart>
      <c:catAx>
        <c:axId val="849168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0733370"/>
      </c:catAx>
      <c:valAx>
        <c:axId val="77073337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4916802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12月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'2026年12月'!$A$8:$A$38</c:f>
            </c:strRef>
          </c:cat>
          <c:val>
            <c:numRef>
              <c:f>'2026年12月'!$D$8:$D$38</c:f>
              <c:numCache/>
            </c:numRef>
          </c:val>
          <c:smooth val="1"/>
        </c:ser>
        <c:axId val="496585401"/>
        <c:axId val="336171917"/>
      </c:lineChart>
      <c:catAx>
        <c:axId val="496585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36171917"/>
      </c:catAx>
      <c:valAx>
        <c:axId val="336171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9658540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12月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'2026年12月'!$C$7</c:f>
            </c:strRef>
          </c:tx>
          <c:invertIfNegative val="0"/>
          <c:cat>
            <c:strRef>
              <c:f>'2026年12月'!$A$8:$A$38</c:f>
            </c:strRef>
          </c:cat>
          <c:val>
            <c:numRef>
              <c:f>'2026年12月'!$C$8:$C$38</c:f>
              <c:numCache/>
            </c:numRef>
          </c:val>
        </c:ser>
        <c:ser>
          <c:idx val="1"/>
          <c:order val="1"/>
          <c:tx>
            <c:strRef>
              <c:f>'2026年12月'!$G$7</c:f>
            </c:strRef>
          </c:tx>
          <c:invertIfNegative val="0"/>
          <c:cat>
            <c:strRef>
              <c:f>'2026年12月'!$A$8:$A$38</c:f>
            </c:strRef>
          </c:cat>
          <c:val>
            <c:numRef>
              <c:f>'2026年12月'!$G$8:$G$38</c:f>
              <c:numCache/>
            </c:numRef>
          </c:val>
        </c:ser>
        <c:axId val="103488111"/>
        <c:axId val="1788562510"/>
      </c:barChart>
      <c:catAx>
        <c:axId val="103488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88562510"/>
      </c:catAx>
      <c:valAx>
        <c:axId val="178856251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348811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'2027年01月'!$A$8:$A$38</c:f>
            </c:strRef>
          </c:cat>
          <c:val>
            <c:numRef>
              <c:f>'2027年01月'!$D$8:$D$38</c:f>
              <c:numCache/>
            </c:numRef>
          </c:val>
          <c:smooth val="1"/>
        </c:ser>
        <c:axId val="838558265"/>
        <c:axId val="614203168"/>
      </c:lineChart>
      <c:catAx>
        <c:axId val="838558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14203168"/>
      </c:catAx>
      <c:valAx>
        <c:axId val="614203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3855826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'2027年01月'!$C$7</c:f>
            </c:strRef>
          </c:tx>
          <c:invertIfNegative val="0"/>
          <c:cat>
            <c:strRef>
              <c:f>'2027年01月'!$A$8:$A$38</c:f>
            </c:strRef>
          </c:cat>
          <c:val>
            <c:numRef>
              <c:f>'2027年01月'!$C$8:$C$38</c:f>
              <c:numCache/>
            </c:numRef>
          </c:val>
        </c:ser>
        <c:ser>
          <c:idx val="1"/>
          <c:order val="1"/>
          <c:tx>
            <c:strRef>
              <c:f>'2027年01月'!$G$7</c:f>
            </c:strRef>
          </c:tx>
          <c:invertIfNegative val="0"/>
          <c:cat>
            <c:strRef>
              <c:f>'2027年01月'!$A$8:$A$38</c:f>
            </c:strRef>
          </c:cat>
          <c:val>
            <c:numRef>
              <c:f>'2027年01月'!$G$8:$G$38</c:f>
              <c:numCache/>
            </c:numRef>
          </c:val>
        </c:ser>
        <c:axId val="1722222131"/>
        <c:axId val="1984058585"/>
      </c:barChart>
      <c:catAx>
        <c:axId val="1722222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84058585"/>
      </c:catAx>
      <c:valAx>
        <c:axId val="198405858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2222213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2月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'2027年02月'!$A$8:$A$35</c:f>
            </c:strRef>
          </c:cat>
          <c:val>
            <c:numRef>
              <c:f>'2027年02月'!$D$8:$D$35</c:f>
              <c:numCache/>
            </c:numRef>
          </c:val>
          <c:smooth val="1"/>
        </c:ser>
        <c:axId val="1633500764"/>
        <c:axId val="366772531"/>
      </c:lineChart>
      <c:catAx>
        <c:axId val="1633500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66772531"/>
      </c:catAx>
      <c:valAx>
        <c:axId val="366772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350076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2月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'2027年02月'!$C$7</c:f>
            </c:strRef>
          </c:tx>
          <c:invertIfNegative val="0"/>
          <c:cat>
            <c:strRef>
              <c:f>'2027年02月'!$A$8:$A$35</c:f>
            </c:strRef>
          </c:cat>
          <c:val>
            <c:numRef>
              <c:f>'2027年02月'!$C$8:$C$35</c:f>
              <c:numCache/>
            </c:numRef>
          </c:val>
        </c:ser>
        <c:ser>
          <c:idx val="1"/>
          <c:order val="1"/>
          <c:tx>
            <c:strRef>
              <c:f>'2027年02月'!$G$7</c:f>
            </c:strRef>
          </c:tx>
          <c:invertIfNegative val="0"/>
          <c:cat>
            <c:strRef>
              <c:f>'2027年02月'!$A$8:$A$35</c:f>
            </c:strRef>
          </c:cat>
          <c:val>
            <c:numRef>
              <c:f>'2027年02月'!$G$8:$G$35</c:f>
              <c:numCache/>
            </c:numRef>
          </c:val>
        </c:ser>
        <c:axId val="758748652"/>
        <c:axId val="1064968138"/>
      </c:barChart>
      <c:catAx>
        <c:axId val="758748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64968138"/>
      </c:catAx>
      <c:valAx>
        <c:axId val="106496813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5874865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3月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'2027年03月'!$A$8:$A$38</c:f>
            </c:strRef>
          </c:cat>
          <c:val>
            <c:numRef>
              <c:f>'2027年03月'!$D$8:$D$38</c:f>
              <c:numCache/>
            </c:numRef>
          </c:val>
          <c:smooth val="1"/>
        </c:ser>
        <c:axId val="77059685"/>
        <c:axId val="519958349"/>
      </c:lineChart>
      <c:catAx>
        <c:axId val="77059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19958349"/>
      </c:catAx>
      <c:valAx>
        <c:axId val="519958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05968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3月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'2027年03月'!$C$7</c:f>
            </c:strRef>
          </c:tx>
          <c:invertIfNegative val="0"/>
          <c:cat>
            <c:strRef>
              <c:f>'2027年03月'!$A$8:$A$38</c:f>
            </c:strRef>
          </c:cat>
          <c:val>
            <c:numRef>
              <c:f>'2027年03月'!$C$8:$C$38</c:f>
              <c:numCache/>
            </c:numRef>
          </c:val>
        </c:ser>
        <c:ser>
          <c:idx val="1"/>
          <c:order val="1"/>
          <c:tx>
            <c:strRef>
              <c:f>'2027年03月'!$G$7</c:f>
            </c:strRef>
          </c:tx>
          <c:invertIfNegative val="0"/>
          <c:cat>
            <c:strRef>
              <c:f>'2027年03月'!$A$8:$A$38</c:f>
            </c:strRef>
          </c:cat>
          <c:val>
            <c:numRef>
              <c:f>'2027年03月'!$G$8:$G$38</c:f>
              <c:numCache/>
            </c:numRef>
          </c:val>
        </c:ser>
        <c:axId val="1055438378"/>
        <c:axId val="1995099820"/>
      </c:barChart>
      <c:catAx>
        <c:axId val="1055438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5099820"/>
      </c:catAx>
      <c:valAx>
        <c:axId val="199509982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5543837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47625</xdr:rowOff>
    </xdr:from>
    <xdr:ext cx="7496175" cy="3400425"/>
    <xdr:graphicFrame>
      <xdr:nvGraphicFramePr>
        <xdr:cNvPr id="186749971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47625</xdr:rowOff>
    </xdr:from>
    <xdr:ext cx="7496175" cy="3400425"/>
    <xdr:graphicFrame>
      <xdr:nvGraphicFramePr>
        <xdr:cNvPr id="171553872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63</xdr:row>
      <xdr:rowOff>47625</xdr:rowOff>
    </xdr:from>
    <xdr:ext cx="7496175" cy="3400425"/>
    <xdr:graphicFrame>
      <xdr:nvGraphicFramePr>
        <xdr:cNvPr id="78171416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5114925" cy="2828925"/>
    <xdr:graphicFrame>
      <xdr:nvGraphicFramePr>
        <xdr:cNvPr id="21940979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42</xdr:row>
      <xdr:rowOff>0</xdr:rowOff>
    </xdr:from>
    <xdr:ext cx="5124450" cy="2828925"/>
    <xdr:graphicFrame>
      <xdr:nvGraphicFramePr>
        <xdr:cNvPr id="160486252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175093130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167175576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5114925" cy="2828925"/>
    <xdr:graphicFrame>
      <xdr:nvGraphicFramePr>
        <xdr:cNvPr id="768313676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42</xdr:row>
      <xdr:rowOff>0</xdr:rowOff>
    </xdr:from>
    <xdr:ext cx="5124450" cy="2828925"/>
    <xdr:graphicFrame>
      <xdr:nvGraphicFramePr>
        <xdr:cNvPr id="74759428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125581772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1822279658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1511690018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1453526539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40</xdr:row>
      <xdr:rowOff>9525</xdr:rowOff>
    </xdr:from>
    <xdr:ext cx="5114925" cy="2876550"/>
    <xdr:graphicFrame>
      <xdr:nvGraphicFramePr>
        <xdr:cNvPr id="1832909139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42</xdr:row>
      <xdr:rowOff>0</xdr:rowOff>
    </xdr:from>
    <xdr:ext cx="5124450" cy="2828925"/>
    <xdr:graphicFrame>
      <xdr:nvGraphicFramePr>
        <xdr:cNvPr id="1306431080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394903931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2146548813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5114925" cy="2828925"/>
    <xdr:graphicFrame>
      <xdr:nvGraphicFramePr>
        <xdr:cNvPr id="933989704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42</xdr:row>
      <xdr:rowOff>0</xdr:rowOff>
    </xdr:from>
    <xdr:ext cx="5124450" cy="2828925"/>
    <xdr:graphicFrame>
      <xdr:nvGraphicFramePr>
        <xdr:cNvPr id="49962974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1654029135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814992317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1931311060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961392315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0</xdr:rowOff>
    </xdr:from>
    <xdr:ext cx="5114925" cy="2828925"/>
    <xdr:graphicFrame>
      <xdr:nvGraphicFramePr>
        <xdr:cNvPr id="285429257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40</xdr:row>
      <xdr:rowOff>0</xdr:rowOff>
    </xdr:from>
    <xdr:ext cx="5124450" cy="2828925"/>
    <xdr:graphicFrame>
      <xdr:nvGraphicFramePr>
        <xdr:cNvPr id="1205895831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36605605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305548004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2.0"/>
    <col customWidth="1" min="2" max="3" width="13.0"/>
    <col customWidth="1" min="4" max="4" width="9.0"/>
    <col customWidth="1" min="5" max="6" width="13.0"/>
    <col customWidth="1" min="7" max="7" width="9.0"/>
    <col customWidth="1" min="8" max="8" width="10.0"/>
    <col customWidth="1" min="9" max="10" width="9.0"/>
    <col customWidth="1" min="11" max="11" width="11.0"/>
    <col customWidth="1" min="12" max="13" width="14.0"/>
    <col customWidth="1" min="14" max="14" width="10.0"/>
    <col customWidth="1" min="15" max="26" width="8.71"/>
  </cols>
  <sheetData>
    <row r="1" ht="27.75" customHeight="1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11</v>
      </c>
    </row>
    <row r="4">
      <c r="A4" s="5" t="s">
        <v>12</v>
      </c>
      <c r="B4" s="6"/>
      <c r="C4" s="5" t="s">
        <v>13</v>
      </c>
      <c r="D4" s="6"/>
      <c r="E4" s="5" t="s">
        <v>14</v>
      </c>
      <c r="F4" s="6"/>
      <c r="G4" s="5" t="s">
        <v>15</v>
      </c>
      <c r="H4" s="6"/>
      <c r="I4" s="5" t="s">
        <v>7</v>
      </c>
      <c r="J4" s="6"/>
    </row>
    <row r="5">
      <c r="A5" s="8">
        <f>IF('設定'!$B$5=0,SUM(B8:B19),'設定'!$B$5)</f>
        <v>94225074</v>
      </c>
      <c r="B5" s="6"/>
      <c r="C5" s="8">
        <f>SUM(C8:C19)</f>
        <v>27859266</v>
      </c>
      <c r="D5" s="6"/>
      <c r="E5" s="9">
        <f>IFERROR(C5/A5,0)</f>
        <v>0.2956672234</v>
      </c>
      <c r="F5" s="6"/>
      <c r="G5" s="9">
        <f>IFERROR(SUMIFS($C$8:$C$19,$C$8:$C$19,"&gt;0",$B$8:$B$19,"&gt;0")/SUMIFS($B$8:$B$19,$C$8:$C$19,"&gt;0",$B$8:$B$19,"&gt;0"),0)</f>
        <v>0.4954954083</v>
      </c>
      <c r="H5" s="6"/>
      <c r="I5" s="8">
        <f>A5-C5</f>
        <v>66365808</v>
      </c>
      <c r="J5" s="6"/>
    </row>
    <row r="7" ht="30.0" customHeight="1">
      <c r="A7" s="11" t="s">
        <v>22</v>
      </c>
      <c r="B7" s="11" t="s">
        <v>3</v>
      </c>
      <c r="C7" s="11" t="s">
        <v>4</v>
      </c>
      <c r="D7" s="11" t="s">
        <v>5</v>
      </c>
      <c r="E7" s="11" t="s">
        <v>23</v>
      </c>
      <c r="F7" s="11" t="s">
        <v>24</v>
      </c>
      <c r="G7" s="11" t="s">
        <v>25</v>
      </c>
      <c r="H7" s="11" t="s">
        <v>26</v>
      </c>
      <c r="I7" s="11" t="s">
        <v>27</v>
      </c>
      <c r="J7" s="11" t="s">
        <v>18</v>
      </c>
      <c r="K7" s="11" t="s">
        <v>19</v>
      </c>
      <c r="L7" s="11" t="s">
        <v>28</v>
      </c>
      <c r="M7" s="11" t="s">
        <v>29</v>
      </c>
      <c r="N7" s="11" t="s">
        <v>30</v>
      </c>
    </row>
    <row r="8">
      <c r="A8" s="13" t="s">
        <v>31</v>
      </c>
      <c r="B8" s="15">
        <f>'2026年04月'!$A$4</f>
        <v>5390161</v>
      </c>
      <c r="C8" s="15">
        <f>'2026年04月'!$C$4</f>
        <v>5413159</v>
      </c>
      <c r="D8" s="17">
        <f t="shared" ref="D8:D19" si="1">IF(C8=0,"",IFERROR(C8/B8,""))</f>
        <v>1.004266663</v>
      </c>
      <c r="E8" s="15">
        <f t="shared" ref="E8:E19" si="2">C8-B8</f>
        <v>22998</v>
      </c>
      <c r="F8" s="15">
        <f>IF('設定'!C8="","",'設定'!C8)</f>
        <v>9300098</v>
      </c>
      <c r="G8" s="17">
        <f t="shared" ref="G8:G19" si="3">IF(OR(F8="",C8=0),"",IFERROR(C8/F8,""))</f>
        <v>0.5820539741</v>
      </c>
      <c r="H8" s="19">
        <f>'2026年04月'!$M$38</f>
        <v>230</v>
      </c>
      <c r="I8" s="19">
        <f>'2026年04月'!$O$38</f>
        <v>830</v>
      </c>
      <c r="J8" s="17">
        <f t="shared" ref="J8:J20" si="4">IFERROR(H8/I8,0)</f>
        <v>0.2771084337</v>
      </c>
      <c r="K8" s="15">
        <f t="shared" ref="K8:K20" si="5">IFERROR(C8/H8,0)</f>
        <v>23535.47391</v>
      </c>
      <c r="L8" s="15">
        <f t="shared" ref="L8:L19" si="6">IF(C8=0,"",SUM($B$8:B8))</f>
        <v>5390161</v>
      </c>
      <c r="M8" s="15">
        <f t="shared" ref="M8:M19" si="7">IF(C8=0,"",SUM($C$8:C8))</f>
        <v>5413159</v>
      </c>
      <c r="N8" s="17">
        <f t="shared" ref="N8:N19" si="8">IF(M8="","",IFERROR(M8/L8,0))</f>
        <v>1.004266663</v>
      </c>
    </row>
    <row r="9">
      <c r="A9" s="21" t="s">
        <v>52</v>
      </c>
      <c r="B9" s="23">
        <f>'2026年05月'!$A$4</f>
        <v>6734913</v>
      </c>
      <c r="C9" s="23">
        <f>'2026年05月'!$C$4</f>
        <v>6754710</v>
      </c>
      <c r="D9" s="25">
        <f t="shared" si="1"/>
        <v>1.002939459</v>
      </c>
      <c r="E9" s="23">
        <f t="shared" si="2"/>
        <v>19797</v>
      </c>
      <c r="F9" s="23">
        <f>IF('設定'!C9="","",'設定'!C9)</f>
        <v>10400457</v>
      </c>
      <c r="G9" s="25">
        <f t="shared" si="3"/>
        <v>0.6494628073</v>
      </c>
      <c r="H9" s="28">
        <f>'2026年05月'!$M$39</f>
        <v>274</v>
      </c>
      <c r="I9" s="28">
        <f>'2026年05月'!$O$39</f>
        <v>923</v>
      </c>
      <c r="J9" s="25">
        <f t="shared" si="4"/>
        <v>0.2968580715</v>
      </c>
      <c r="K9" s="23">
        <f t="shared" si="5"/>
        <v>24652.22628</v>
      </c>
      <c r="L9" s="23">
        <f t="shared" si="6"/>
        <v>12125074</v>
      </c>
      <c r="M9" s="23">
        <f t="shared" si="7"/>
        <v>12167869</v>
      </c>
      <c r="N9" s="25">
        <f t="shared" si="8"/>
        <v>1.003529463</v>
      </c>
    </row>
    <row r="10">
      <c r="A10" s="13" t="s">
        <v>54</v>
      </c>
      <c r="B10" s="15">
        <f>'2026年06月'!$A$4</f>
        <v>7000000</v>
      </c>
      <c r="C10" s="15">
        <f>'2026年06月'!$C$4</f>
        <v>4557689</v>
      </c>
      <c r="D10" s="17">
        <f t="shared" si="1"/>
        <v>0.6510984286</v>
      </c>
      <c r="E10" s="15">
        <f t="shared" si="2"/>
        <v>-2442311</v>
      </c>
      <c r="F10" s="15">
        <f>IF('設定'!C10="","",'設定'!C10)</f>
        <v>12486915</v>
      </c>
      <c r="G10" s="17">
        <f t="shared" si="3"/>
        <v>0.3649971991</v>
      </c>
      <c r="H10" s="19">
        <f>'2026年06月'!$M$38</f>
        <v>202</v>
      </c>
      <c r="I10" s="19">
        <f>'2026年06月'!$O$38</f>
        <v>667</v>
      </c>
      <c r="J10" s="17">
        <f t="shared" si="4"/>
        <v>0.3028485757</v>
      </c>
      <c r="K10" s="15">
        <f t="shared" si="5"/>
        <v>22562.81683</v>
      </c>
      <c r="L10" s="15">
        <f t="shared" si="6"/>
        <v>19125074</v>
      </c>
      <c r="M10" s="15">
        <f t="shared" si="7"/>
        <v>16725558</v>
      </c>
      <c r="N10" s="17">
        <f t="shared" si="8"/>
        <v>0.8745355966</v>
      </c>
    </row>
    <row r="11">
      <c r="A11" s="21" t="s">
        <v>56</v>
      </c>
      <c r="B11" s="23">
        <f>'2026年07月'!$A$4</f>
        <v>9000000</v>
      </c>
      <c r="C11" s="23">
        <f>'2026年07月'!$C$4</f>
        <v>4198583</v>
      </c>
      <c r="D11" s="25">
        <f t="shared" si="1"/>
        <v>0.4665092222</v>
      </c>
      <c r="E11" s="23">
        <f t="shared" si="2"/>
        <v>-4801417</v>
      </c>
      <c r="F11" s="23">
        <f>IF('設定'!C11="","",'設定'!C11)</f>
        <v>15296389</v>
      </c>
      <c r="G11" s="25">
        <f t="shared" si="3"/>
        <v>0.2744819709</v>
      </c>
      <c r="H11" s="28">
        <f>'2026年07月'!$M$39</f>
        <v>180</v>
      </c>
      <c r="I11" s="28">
        <f>'2026年07月'!$O$39</f>
        <v>572</v>
      </c>
      <c r="J11" s="25">
        <f t="shared" si="4"/>
        <v>0.3146853147</v>
      </c>
      <c r="K11" s="23">
        <f t="shared" si="5"/>
        <v>23325.46111</v>
      </c>
      <c r="L11" s="23">
        <f t="shared" si="6"/>
        <v>28125074</v>
      </c>
      <c r="M11" s="23">
        <f t="shared" si="7"/>
        <v>20924141</v>
      </c>
      <c r="N11" s="25">
        <f t="shared" si="8"/>
        <v>0.7439675003</v>
      </c>
    </row>
    <row r="12">
      <c r="A12" s="13" t="s">
        <v>57</v>
      </c>
      <c r="B12" s="15">
        <f>'2026年08月'!$A$4</f>
        <v>12100000</v>
      </c>
      <c r="C12" s="15">
        <f>'2026年08月'!$C$4</f>
        <v>2547510</v>
      </c>
      <c r="D12" s="17">
        <f t="shared" si="1"/>
        <v>0.2105380165</v>
      </c>
      <c r="E12" s="15">
        <f t="shared" si="2"/>
        <v>-9552490</v>
      </c>
      <c r="F12" s="15">
        <f>IF('設定'!C12="","",'設定'!C12)</f>
        <v>19324734</v>
      </c>
      <c r="G12" s="17">
        <f t="shared" si="3"/>
        <v>0.1318263941</v>
      </c>
      <c r="H12" s="19">
        <f>'2026年08月'!$M$39</f>
        <v>120</v>
      </c>
      <c r="I12" s="19">
        <f>'2026年08月'!$O$39</f>
        <v>494</v>
      </c>
      <c r="J12" s="17">
        <f t="shared" si="4"/>
        <v>0.2429149798</v>
      </c>
      <c r="K12" s="15">
        <f t="shared" si="5"/>
        <v>21229.25</v>
      </c>
      <c r="L12" s="15">
        <f t="shared" si="6"/>
        <v>40225074</v>
      </c>
      <c r="M12" s="15">
        <f t="shared" si="7"/>
        <v>23471651</v>
      </c>
      <c r="N12" s="17">
        <f t="shared" si="8"/>
        <v>0.5835079632</v>
      </c>
    </row>
    <row r="13">
      <c r="A13" s="21" t="s">
        <v>58</v>
      </c>
      <c r="B13" s="23">
        <f>'2026年09月'!$A$4</f>
        <v>9000000</v>
      </c>
      <c r="C13" s="23">
        <f>'2026年09月'!$C$4</f>
        <v>2580671</v>
      </c>
      <c r="D13" s="25">
        <f t="shared" si="1"/>
        <v>0.2867412222</v>
      </c>
      <c r="E13" s="23">
        <f t="shared" si="2"/>
        <v>-6419329</v>
      </c>
      <c r="F13" s="23">
        <f>IF('設定'!C13="","",'設定'!C13)</f>
        <v>13318491</v>
      </c>
      <c r="G13" s="25">
        <f t="shared" si="3"/>
        <v>0.1937660205</v>
      </c>
      <c r="H13" s="28">
        <f>'2026年09月'!$M$38</f>
        <v>115</v>
      </c>
      <c r="I13" s="28">
        <f>'2026年09月'!$O$38</f>
        <v>326</v>
      </c>
      <c r="J13" s="25">
        <f t="shared" si="4"/>
        <v>0.3527607362</v>
      </c>
      <c r="K13" s="23">
        <f t="shared" si="5"/>
        <v>22440.61739</v>
      </c>
      <c r="L13" s="23">
        <f t="shared" si="6"/>
        <v>49225074</v>
      </c>
      <c r="M13" s="23">
        <f t="shared" si="7"/>
        <v>26052322</v>
      </c>
      <c r="N13" s="25">
        <f t="shared" si="8"/>
        <v>0.5292490165</v>
      </c>
    </row>
    <row r="14">
      <c r="A14" s="13" t="s">
        <v>60</v>
      </c>
      <c r="B14" s="15">
        <f>'2026年10月'!$A$4</f>
        <v>7000000</v>
      </c>
      <c r="C14" s="15">
        <f>'2026年10月'!$C$4</f>
        <v>1806944</v>
      </c>
      <c r="D14" s="17">
        <f t="shared" si="1"/>
        <v>0.2581348571</v>
      </c>
      <c r="E14" s="15">
        <f t="shared" si="2"/>
        <v>-5193056</v>
      </c>
      <c r="F14" s="15">
        <f>IF('設定'!C14="","",'設定'!C14)</f>
        <v>9588937</v>
      </c>
      <c r="G14" s="17">
        <f t="shared" si="3"/>
        <v>0.1884404914</v>
      </c>
      <c r="H14" s="19">
        <f>'2026年10月'!$M$39</f>
        <v>78</v>
      </c>
      <c r="I14" s="19">
        <f>'2026年10月'!$O$39</f>
        <v>236</v>
      </c>
      <c r="J14" s="17">
        <f t="shared" si="4"/>
        <v>0.3305084746</v>
      </c>
      <c r="K14" s="15">
        <f t="shared" si="5"/>
        <v>23165.94872</v>
      </c>
      <c r="L14" s="15">
        <f t="shared" si="6"/>
        <v>56225074</v>
      </c>
      <c r="M14" s="15">
        <f t="shared" si="7"/>
        <v>27859266</v>
      </c>
      <c r="N14" s="17">
        <f t="shared" si="8"/>
        <v>0.4954954083</v>
      </c>
    </row>
    <row r="15">
      <c r="A15" s="21" t="s">
        <v>62</v>
      </c>
      <c r="B15" s="23">
        <f>'2026年11月'!$A$4</f>
        <v>8000000</v>
      </c>
      <c r="C15" s="23">
        <f>'2026年11月'!$C$4</f>
        <v>0</v>
      </c>
      <c r="D15" s="25" t="str">
        <f t="shared" si="1"/>
        <v/>
      </c>
      <c r="E15" s="23">
        <f t="shared" si="2"/>
        <v>-8000000</v>
      </c>
      <c r="F15" s="23">
        <f>IF('設定'!C15="","",'設定'!C15)</f>
        <v>10333397</v>
      </c>
      <c r="G15" s="25" t="str">
        <f t="shared" si="3"/>
        <v/>
      </c>
      <c r="H15" s="28">
        <f>'2026年11月'!$M$38</f>
        <v>0</v>
      </c>
      <c r="I15" s="28">
        <f>'2026年11月'!$O$38</f>
        <v>0</v>
      </c>
      <c r="J15" s="25">
        <f t="shared" si="4"/>
        <v>0</v>
      </c>
      <c r="K15" s="23">
        <f t="shared" si="5"/>
        <v>0</v>
      </c>
      <c r="L15" s="23" t="str">
        <f t="shared" si="6"/>
        <v/>
      </c>
      <c r="M15" s="23" t="str">
        <f t="shared" si="7"/>
        <v/>
      </c>
      <c r="N15" s="25" t="str">
        <f t="shared" si="8"/>
        <v/>
      </c>
    </row>
    <row r="16">
      <c r="A16" s="13" t="s">
        <v>64</v>
      </c>
      <c r="B16" s="15">
        <f>'2026年12月'!$A$4</f>
        <v>9000000</v>
      </c>
      <c r="C16" s="15">
        <f>'2026年12月'!$C$4</f>
        <v>0</v>
      </c>
      <c r="D16" s="17" t="str">
        <f t="shared" si="1"/>
        <v/>
      </c>
      <c r="E16" s="15">
        <f t="shared" si="2"/>
        <v>-9000000</v>
      </c>
      <c r="F16" s="15">
        <f>IF('設定'!C16="","",'設定'!C16)</f>
        <v>9047402</v>
      </c>
      <c r="G16" s="17" t="str">
        <f t="shared" si="3"/>
        <v/>
      </c>
      <c r="H16" s="19">
        <f>'2026年12月'!$M$39</f>
        <v>0</v>
      </c>
      <c r="I16" s="19">
        <f>'2026年12月'!$O$39</f>
        <v>0</v>
      </c>
      <c r="J16" s="17">
        <f t="shared" si="4"/>
        <v>0</v>
      </c>
      <c r="K16" s="15">
        <f t="shared" si="5"/>
        <v>0</v>
      </c>
      <c r="L16" s="15" t="str">
        <f t="shared" si="6"/>
        <v/>
      </c>
      <c r="M16" s="15" t="str">
        <f t="shared" si="7"/>
        <v/>
      </c>
      <c r="N16" s="17" t="str">
        <f t="shared" si="8"/>
        <v/>
      </c>
    </row>
    <row r="17">
      <c r="A17" s="21" t="s">
        <v>66</v>
      </c>
      <c r="B17" s="23">
        <f>'2027年01月'!$A$4</f>
        <v>8000000</v>
      </c>
      <c r="C17" s="23">
        <f>'2027年01月'!$C$4</f>
        <v>0</v>
      </c>
      <c r="D17" s="25" t="str">
        <f t="shared" si="1"/>
        <v/>
      </c>
      <c r="E17" s="23">
        <f t="shared" si="2"/>
        <v>-8000000</v>
      </c>
      <c r="F17" s="23">
        <f>IF('設定'!C17="","",'設定'!C17)</f>
        <v>3678375</v>
      </c>
      <c r="G17" s="25" t="str">
        <f t="shared" si="3"/>
        <v/>
      </c>
      <c r="H17" s="28">
        <f>'2027年01月'!$M$39</f>
        <v>0</v>
      </c>
      <c r="I17" s="28">
        <f>'2027年01月'!$O$39</f>
        <v>0</v>
      </c>
      <c r="J17" s="25">
        <f t="shared" si="4"/>
        <v>0</v>
      </c>
      <c r="K17" s="23">
        <f t="shared" si="5"/>
        <v>0</v>
      </c>
      <c r="L17" s="23" t="str">
        <f t="shared" si="6"/>
        <v/>
      </c>
      <c r="M17" s="23" t="str">
        <f t="shared" si="7"/>
        <v/>
      </c>
      <c r="N17" s="25" t="str">
        <f t="shared" si="8"/>
        <v/>
      </c>
    </row>
    <row r="18">
      <c r="A18" s="13" t="s">
        <v>68</v>
      </c>
      <c r="B18" s="15">
        <f>'2027年02月'!$A$4</f>
        <v>6000000</v>
      </c>
      <c r="C18" s="15">
        <f>'2027年02月'!$C$4</f>
        <v>0</v>
      </c>
      <c r="D18" s="17" t="str">
        <f t="shared" si="1"/>
        <v/>
      </c>
      <c r="E18" s="15">
        <f t="shared" si="2"/>
        <v>-6000000</v>
      </c>
      <c r="F18" s="15">
        <f>IF('設定'!C18="","",'設定'!C18)</f>
        <v>4607699</v>
      </c>
      <c r="G18" s="17" t="str">
        <f t="shared" si="3"/>
        <v/>
      </c>
      <c r="H18" s="19">
        <f>'2027年02月'!$M$36</f>
        <v>0</v>
      </c>
      <c r="I18" s="19">
        <f>'2027年02月'!$O$36</f>
        <v>0</v>
      </c>
      <c r="J18" s="17">
        <f t="shared" si="4"/>
        <v>0</v>
      </c>
      <c r="K18" s="15">
        <f t="shared" si="5"/>
        <v>0</v>
      </c>
      <c r="L18" s="15" t="str">
        <f t="shared" si="6"/>
        <v/>
      </c>
      <c r="M18" s="15" t="str">
        <f t="shared" si="7"/>
        <v/>
      </c>
      <c r="N18" s="17" t="str">
        <f t="shared" si="8"/>
        <v/>
      </c>
    </row>
    <row r="19">
      <c r="A19" s="21" t="s">
        <v>70</v>
      </c>
      <c r="B19" s="23">
        <f>'2027年03月'!$A$4</f>
        <v>7000000</v>
      </c>
      <c r="C19" s="23">
        <f>'2027年03月'!$C$4</f>
        <v>0</v>
      </c>
      <c r="D19" s="25" t="str">
        <f t="shared" si="1"/>
        <v/>
      </c>
      <c r="E19" s="23">
        <f t="shared" si="2"/>
        <v>-7000000</v>
      </c>
      <c r="F19" s="23">
        <f>IF('設定'!C19="","",'設定'!C19)</f>
        <v>5388669</v>
      </c>
      <c r="G19" s="25" t="str">
        <f t="shared" si="3"/>
        <v/>
      </c>
      <c r="H19" s="28">
        <f>'2027年03月'!$M$39</f>
        <v>0</v>
      </c>
      <c r="I19" s="28">
        <f>'2027年03月'!$O$39</f>
        <v>0</v>
      </c>
      <c r="J19" s="25">
        <f t="shared" si="4"/>
        <v>0</v>
      </c>
      <c r="K19" s="23">
        <f t="shared" si="5"/>
        <v>0</v>
      </c>
      <c r="L19" s="23" t="str">
        <f t="shared" si="6"/>
        <v/>
      </c>
      <c r="M19" s="23" t="str">
        <f t="shared" si="7"/>
        <v/>
      </c>
      <c r="N19" s="25" t="str">
        <f t="shared" si="8"/>
        <v/>
      </c>
    </row>
    <row r="20">
      <c r="A20" s="36" t="s">
        <v>72</v>
      </c>
      <c r="B20" s="37">
        <f t="shared" ref="B20:C20" si="9">SUM(B8:B19)</f>
        <v>94225074</v>
      </c>
      <c r="C20" s="37">
        <f t="shared" si="9"/>
        <v>27859266</v>
      </c>
      <c r="D20" s="39">
        <f>IFERROR(C20/B20,0)</f>
        <v>0.2956672234</v>
      </c>
      <c r="E20" s="37">
        <f t="shared" ref="E20:F20" si="10">SUM(E8:E19)</f>
        <v>-66365808</v>
      </c>
      <c r="F20" s="37">
        <f t="shared" si="10"/>
        <v>122771563</v>
      </c>
      <c r="G20" s="39">
        <f>IFERROR(C20/F20,0)</f>
        <v>0.2269195351</v>
      </c>
      <c r="H20" s="41">
        <f t="shared" ref="H20:I20" si="11">SUM(H8:H19)</f>
        <v>1199</v>
      </c>
      <c r="I20" s="41">
        <f t="shared" si="11"/>
        <v>4048</v>
      </c>
      <c r="J20" s="39">
        <f t="shared" si="4"/>
        <v>0.2961956522</v>
      </c>
      <c r="K20" s="37">
        <f t="shared" si="5"/>
        <v>23235.41785</v>
      </c>
      <c r="L20" s="37"/>
      <c r="M20" s="37"/>
      <c r="N20" s="39"/>
    </row>
    <row r="21" ht="15.75" customHeight="1"/>
    <row r="22" ht="15.75" customHeight="1">
      <c r="A22" s="35" t="s">
        <v>79</v>
      </c>
    </row>
    <row r="23" ht="15.75" customHeight="1">
      <c r="A23" s="35" t="s">
        <v>80</v>
      </c>
    </row>
    <row r="24" ht="15.75" customHeight="1">
      <c r="A24" s="38" t="s">
        <v>81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5:D5"/>
    <mergeCell ref="E5:F5"/>
    <mergeCell ref="G5:H5"/>
    <mergeCell ref="I5:J5"/>
    <mergeCell ref="A1:N1"/>
    <mergeCell ref="A4:B4"/>
    <mergeCell ref="C4:D4"/>
    <mergeCell ref="E4:F4"/>
    <mergeCell ref="G4:H4"/>
    <mergeCell ref="I4:J4"/>
    <mergeCell ref="A5:B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9</v>
      </c>
      <c r="H3" s="6"/>
      <c r="I3" s="5" t="s">
        <v>7</v>
      </c>
      <c r="J3" s="6"/>
      <c r="K3" s="5" t="s">
        <v>8</v>
      </c>
      <c r="L3" s="6"/>
    </row>
    <row r="4">
      <c r="A4" s="7">
        <f>IF('設定'!$B$8="",SUM(C8:C37),'設定'!$B$8)</f>
        <v>5390161</v>
      </c>
      <c r="B4" s="6"/>
      <c r="C4" s="8">
        <f>SUM(G8:G37)</f>
        <v>5413159</v>
      </c>
      <c r="D4" s="6"/>
      <c r="E4" s="9">
        <f>IFERROR(C4/A4,0)</f>
        <v>1.004266663</v>
      </c>
      <c r="F4" s="6"/>
      <c r="G4" s="10">
        <f>COUNTIF(G8:G37,"&gt;0")</f>
        <v>30</v>
      </c>
      <c r="H4" s="6"/>
      <c r="I4" s="8">
        <f>A4-C4</f>
        <v>-22998</v>
      </c>
      <c r="J4" s="6"/>
      <c r="K4" s="8">
        <f>IF((30-G4)&gt;0,(A4-C4)/(30-G4),0)</f>
        <v>0</v>
      </c>
      <c r="L4" s="6"/>
    </row>
    <row r="5">
      <c r="A5" s="5" t="s">
        <v>16</v>
      </c>
      <c r="B5" s="6"/>
      <c r="C5" s="5" t="s">
        <v>17</v>
      </c>
      <c r="D5" s="6"/>
      <c r="E5" s="5" t="s">
        <v>18</v>
      </c>
      <c r="F5" s="6"/>
      <c r="G5" s="5" t="s">
        <v>19</v>
      </c>
      <c r="H5" s="6"/>
      <c r="I5" s="5" t="s">
        <v>20</v>
      </c>
      <c r="J5" s="6"/>
      <c r="K5" s="5" t="s">
        <v>21</v>
      </c>
      <c r="L5" s="6"/>
    </row>
    <row r="6">
      <c r="A6" s="8">
        <f>SUM(C8:C37)</f>
        <v>8350000</v>
      </c>
      <c r="B6" s="6"/>
      <c r="C6" s="8">
        <f>IFERROR(C4/G4*30,0)</f>
        <v>5413159</v>
      </c>
      <c r="D6" s="6"/>
      <c r="E6" s="9">
        <f>IFERROR(M38/O38,0)</f>
        <v>0.2771084337</v>
      </c>
      <c r="F6" s="6"/>
      <c r="G6" s="8">
        <f>IFERROR(G38/M38,0)</f>
        <v>23535.47391</v>
      </c>
      <c r="H6" s="6"/>
      <c r="I6" s="12">
        <f>IFERROR(N38/M38,0)</f>
        <v>1.069565217</v>
      </c>
      <c r="J6" s="6"/>
      <c r="K6" s="9">
        <f>IFERROR(P38/O38,0)</f>
        <v>0.4240963855</v>
      </c>
      <c r="L6" s="6"/>
    </row>
    <row r="7" ht="30.0" customHeight="1">
      <c r="A7" s="11" t="s">
        <v>32</v>
      </c>
      <c r="B7" s="11" t="s">
        <v>33</v>
      </c>
      <c r="C7" s="11" t="s">
        <v>34</v>
      </c>
      <c r="D7" s="11" t="s">
        <v>28</v>
      </c>
      <c r="E7" s="11" t="s">
        <v>35</v>
      </c>
      <c r="F7" s="11" t="s">
        <v>36</v>
      </c>
      <c r="G7" s="11" t="s">
        <v>37</v>
      </c>
      <c r="H7" s="11" t="s">
        <v>29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26</v>
      </c>
      <c r="N7" s="11" t="s">
        <v>42</v>
      </c>
      <c r="O7" s="11" t="s">
        <v>27</v>
      </c>
      <c r="P7" s="11" t="s">
        <v>43</v>
      </c>
      <c r="Q7" s="11" t="s">
        <v>44</v>
      </c>
      <c r="R7" s="11" t="s">
        <v>18</v>
      </c>
      <c r="S7" s="11" t="s">
        <v>19</v>
      </c>
      <c r="T7" s="11" t="s">
        <v>20</v>
      </c>
      <c r="U7" s="11" t="s">
        <v>21</v>
      </c>
      <c r="V7" s="11" t="s">
        <v>45</v>
      </c>
      <c r="W7" s="11" t="s">
        <v>46</v>
      </c>
      <c r="X7" s="11" t="s">
        <v>47</v>
      </c>
      <c r="Y7" s="11" t="s">
        <v>48</v>
      </c>
      <c r="AA7" s="14" t="s">
        <v>49</v>
      </c>
      <c r="AB7" s="14" t="s">
        <v>50</v>
      </c>
      <c r="AC7" s="14" t="s">
        <v>51</v>
      </c>
      <c r="AD7" s="14" t="s">
        <v>18</v>
      </c>
      <c r="AE7" s="14" t="s">
        <v>19</v>
      </c>
    </row>
    <row r="8">
      <c r="A8" s="16">
        <v>46113.0</v>
      </c>
      <c r="B8" s="13" t="str">
        <f t="shared" ref="B8:B37" si="2">MID("日月火水木金土",WEEKDAY(A8),1)</f>
        <v>水</v>
      </c>
      <c r="C8" s="18">
        <v>250000.0</v>
      </c>
      <c r="D8" s="15">
        <f t="shared" ref="D8:D37" si="3">SUM($C$8:C8)</f>
        <v>250000</v>
      </c>
      <c r="E8" s="18">
        <v>0.0</v>
      </c>
      <c r="F8" s="18">
        <v>234560.0</v>
      </c>
      <c r="G8" s="15">
        <f t="shared" ref="G8:G37" si="4">IF(COUNT(E8:F8)=0,"",SUM(E8:F8))</f>
        <v>234560</v>
      </c>
      <c r="H8" s="15">
        <f t="shared" ref="H8:H37" si="5">IF(G8="","",SUM($G$8:G8))</f>
        <v>234560</v>
      </c>
      <c r="I8" s="17">
        <f t="shared" ref="I8:J8" si="1">IF(G8="","",IFERROR(G8/C8,""))</f>
        <v>0.93824</v>
      </c>
      <c r="J8" s="17">
        <f t="shared" si="1"/>
        <v>0.93824</v>
      </c>
      <c r="K8" s="15">
        <f t="shared" ref="K8:K37" si="7">IF(H8="","",IF(D8=0,"",H8-D8))</f>
        <v>-15440</v>
      </c>
      <c r="L8" s="20" t="str">
        <f t="shared" ref="L8:L37" si="8">IF(G8="","—",IF(D8=0,"予算未入力",IF(H8&gt;=D8,"◎ ペース内","▲ 遅れ")))</f>
        <v>▲ 遅れ</v>
      </c>
      <c r="M8" s="22">
        <v>9.0</v>
      </c>
      <c r="N8" s="22">
        <v>9.0</v>
      </c>
      <c r="O8" s="22">
        <v>27.0</v>
      </c>
      <c r="P8" s="22">
        <v>14.0</v>
      </c>
      <c r="Q8" s="22"/>
      <c r="R8" s="17">
        <f t="shared" ref="R8:R38" si="9">IFERROR(M8/O8,"")</f>
        <v>0.3333333333</v>
      </c>
      <c r="S8" s="15">
        <f t="shared" ref="S8:S38" si="10">IFERROR(G8/M8,"")</f>
        <v>26062.22222</v>
      </c>
      <c r="T8" s="24">
        <f t="shared" ref="T8:T38" si="11">IFERROR(N8/M8,"")</f>
        <v>1</v>
      </c>
      <c r="U8" s="17">
        <f t="shared" ref="U8:U38" si="12">IFERROR(P8/O8,"")</f>
        <v>0.5185185185</v>
      </c>
      <c r="V8" s="22"/>
      <c r="W8" s="22"/>
      <c r="X8" s="18">
        <v>0.0</v>
      </c>
      <c r="Y8" s="26"/>
      <c r="AA8" s="27" t="s">
        <v>22</v>
      </c>
      <c r="AB8" s="29">
        <f t="shared" ref="AB8:AB14" si="13">IFERROR(AVERAGEIFS($G$8:$G$37,$B$8:$B$37,AA8,$G$8:$G$37,"&gt;0"),0)</f>
        <v>126300</v>
      </c>
      <c r="AC8" s="30">
        <f t="shared" ref="AC8:AC14" si="14">COUNTIFS($B$8:$B$37,AA8,$G$8:$G$37,"&gt;0")</f>
        <v>4</v>
      </c>
      <c r="AD8" s="31">
        <f t="shared" ref="AD8:AD14" si="15">IFERROR(SUMIF($B$8:$B$37,AA8,$M$8:$M$37)/SUMIF($B$8:$B$37,AA8,$O$8:$O$37),0)</f>
        <v>0.2619047619</v>
      </c>
      <c r="AE8" s="29">
        <f t="shared" ref="AE8:AE14" si="16">IFERROR(SUMIF($B$8:$B$37,AA8,$G$8:$G$37)/SUMIF($B$8:$B$37,AA8,$M$8:$M$37),0)</f>
        <v>22963.63636</v>
      </c>
    </row>
    <row r="9">
      <c r="A9" s="32">
        <v>46114.0</v>
      </c>
      <c r="B9" s="21" t="str">
        <f t="shared" si="2"/>
        <v>木</v>
      </c>
      <c r="C9" s="18">
        <v>250000.0</v>
      </c>
      <c r="D9" s="23">
        <f t="shared" si="3"/>
        <v>500000</v>
      </c>
      <c r="E9" s="18">
        <v>0.0</v>
      </c>
      <c r="F9" s="18">
        <v>191110.0</v>
      </c>
      <c r="G9" s="23">
        <f t="shared" si="4"/>
        <v>191110</v>
      </c>
      <c r="H9" s="23">
        <f t="shared" si="5"/>
        <v>425670</v>
      </c>
      <c r="I9" s="25">
        <f t="shared" ref="I9:J9" si="6">IF(G9="","",IFERROR(G9/C9,""))</f>
        <v>0.76444</v>
      </c>
      <c r="J9" s="25">
        <f t="shared" si="6"/>
        <v>0.85134</v>
      </c>
      <c r="K9" s="23">
        <f t="shared" si="7"/>
        <v>-74330</v>
      </c>
      <c r="L9" s="33" t="str">
        <f t="shared" si="8"/>
        <v>▲ 遅れ</v>
      </c>
      <c r="M9" s="22">
        <v>9.0</v>
      </c>
      <c r="N9" s="22">
        <v>9.0</v>
      </c>
      <c r="O9" s="22">
        <v>21.0</v>
      </c>
      <c r="P9" s="22">
        <v>11.0</v>
      </c>
      <c r="Q9" s="22"/>
      <c r="R9" s="25">
        <f t="shared" si="9"/>
        <v>0.4285714286</v>
      </c>
      <c r="S9" s="23">
        <f t="shared" si="10"/>
        <v>21234.44444</v>
      </c>
      <c r="T9" s="34">
        <f t="shared" si="11"/>
        <v>1</v>
      </c>
      <c r="U9" s="25">
        <f t="shared" si="12"/>
        <v>0.5238095238</v>
      </c>
      <c r="V9" s="22"/>
      <c r="W9" s="22"/>
      <c r="X9" s="18">
        <v>0.0</v>
      </c>
      <c r="Y9" s="26"/>
      <c r="AA9" s="27" t="s">
        <v>59</v>
      </c>
      <c r="AB9" s="29">
        <f t="shared" si="13"/>
        <v>101010</v>
      </c>
      <c r="AC9" s="30">
        <f t="shared" si="14"/>
        <v>4</v>
      </c>
      <c r="AD9" s="31">
        <f t="shared" si="15"/>
        <v>0.2025316456</v>
      </c>
      <c r="AE9" s="29">
        <f t="shared" si="16"/>
        <v>25252.5</v>
      </c>
    </row>
    <row r="10">
      <c r="A10" s="16">
        <v>46115.0</v>
      </c>
      <c r="B10" s="13" t="str">
        <f t="shared" si="2"/>
        <v>金</v>
      </c>
      <c r="C10" s="18">
        <v>250000.0</v>
      </c>
      <c r="D10" s="15">
        <f t="shared" si="3"/>
        <v>750000</v>
      </c>
      <c r="E10" s="18">
        <v>48120.0</v>
      </c>
      <c r="F10" s="18">
        <v>124709.0</v>
      </c>
      <c r="G10" s="15">
        <f t="shared" si="4"/>
        <v>172829</v>
      </c>
      <c r="H10" s="15">
        <f t="shared" si="5"/>
        <v>598499</v>
      </c>
      <c r="I10" s="17">
        <f t="shared" ref="I10:J10" si="17">IF(G10="","",IFERROR(G10/C10,""))</f>
        <v>0.691316</v>
      </c>
      <c r="J10" s="17">
        <f t="shared" si="17"/>
        <v>0.7979986667</v>
      </c>
      <c r="K10" s="15">
        <f t="shared" si="7"/>
        <v>-151501</v>
      </c>
      <c r="L10" s="20" t="str">
        <f t="shared" si="8"/>
        <v>▲ 遅れ</v>
      </c>
      <c r="M10" s="22">
        <v>8.0</v>
      </c>
      <c r="N10" s="22">
        <v>8.0</v>
      </c>
      <c r="O10" s="22">
        <v>27.0</v>
      </c>
      <c r="P10" s="22">
        <v>13.0</v>
      </c>
      <c r="Q10" s="22"/>
      <c r="R10" s="17">
        <f t="shared" si="9"/>
        <v>0.2962962963</v>
      </c>
      <c r="S10" s="15">
        <f t="shared" si="10"/>
        <v>21603.625</v>
      </c>
      <c r="T10" s="24">
        <f t="shared" si="11"/>
        <v>1</v>
      </c>
      <c r="U10" s="17">
        <f t="shared" si="12"/>
        <v>0.4814814815</v>
      </c>
      <c r="V10" s="22"/>
      <c r="W10" s="22">
        <v>42726.0</v>
      </c>
      <c r="X10" s="18">
        <v>0.0</v>
      </c>
      <c r="Y10" s="26"/>
      <c r="AA10" s="27" t="s">
        <v>61</v>
      </c>
      <c r="AB10" s="29">
        <f t="shared" si="13"/>
        <v>227994</v>
      </c>
      <c r="AC10" s="30">
        <f t="shared" si="14"/>
        <v>5</v>
      </c>
      <c r="AD10" s="31">
        <f t="shared" si="15"/>
        <v>0.2965517241</v>
      </c>
      <c r="AE10" s="29">
        <f t="shared" si="16"/>
        <v>26510.93023</v>
      </c>
    </row>
    <row r="11">
      <c r="A11" s="32">
        <v>46116.0</v>
      </c>
      <c r="B11" s="21" t="str">
        <f t="shared" si="2"/>
        <v>土</v>
      </c>
      <c r="C11" s="18">
        <v>300000.0</v>
      </c>
      <c r="D11" s="23">
        <f t="shared" si="3"/>
        <v>1050000</v>
      </c>
      <c r="E11" s="18">
        <v>36620.0</v>
      </c>
      <c r="F11" s="18">
        <v>121050.0</v>
      </c>
      <c r="G11" s="23">
        <f t="shared" si="4"/>
        <v>157670</v>
      </c>
      <c r="H11" s="23">
        <f t="shared" si="5"/>
        <v>756169</v>
      </c>
      <c r="I11" s="25">
        <f t="shared" ref="I11:J11" si="18">IF(G11="","",IFERROR(G11/C11,""))</f>
        <v>0.5255666667</v>
      </c>
      <c r="J11" s="25">
        <f t="shared" si="18"/>
        <v>0.7201609524</v>
      </c>
      <c r="K11" s="23">
        <f t="shared" si="7"/>
        <v>-293831</v>
      </c>
      <c r="L11" s="33" t="str">
        <f t="shared" si="8"/>
        <v>▲ 遅れ</v>
      </c>
      <c r="M11" s="22">
        <v>7.0</v>
      </c>
      <c r="N11" s="22">
        <v>7.0</v>
      </c>
      <c r="O11" s="22">
        <v>38.0</v>
      </c>
      <c r="P11" s="22">
        <v>13.0</v>
      </c>
      <c r="Q11" s="22"/>
      <c r="R11" s="25">
        <f t="shared" si="9"/>
        <v>0.1842105263</v>
      </c>
      <c r="S11" s="23">
        <f t="shared" si="10"/>
        <v>22524.28571</v>
      </c>
      <c r="T11" s="34">
        <f t="shared" si="11"/>
        <v>1</v>
      </c>
      <c r="U11" s="25">
        <f t="shared" si="12"/>
        <v>0.3421052632</v>
      </c>
      <c r="V11" s="22"/>
      <c r="W11" s="22">
        <v>42747.0</v>
      </c>
      <c r="X11" s="18">
        <v>0.0</v>
      </c>
      <c r="Y11" s="26"/>
      <c r="AA11" s="27" t="s">
        <v>63</v>
      </c>
      <c r="AB11" s="29">
        <f t="shared" si="13"/>
        <v>110206</v>
      </c>
      <c r="AC11" s="30">
        <f t="shared" si="14"/>
        <v>5</v>
      </c>
      <c r="AD11" s="31">
        <f t="shared" si="15"/>
        <v>0.2475247525</v>
      </c>
      <c r="AE11" s="29">
        <f t="shared" si="16"/>
        <v>22041.2</v>
      </c>
    </row>
    <row r="12">
      <c r="A12" s="16">
        <v>46117.0</v>
      </c>
      <c r="B12" s="13" t="str">
        <f t="shared" si="2"/>
        <v>日</v>
      </c>
      <c r="C12" s="18">
        <v>400000.0</v>
      </c>
      <c r="D12" s="15">
        <f t="shared" si="3"/>
        <v>1450000</v>
      </c>
      <c r="E12" s="18">
        <v>0.0</v>
      </c>
      <c r="F12" s="18">
        <v>220680.0</v>
      </c>
      <c r="G12" s="15">
        <f t="shared" si="4"/>
        <v>220680</v>
      </c>
      <c r="H12" s="15">
        <f t="shared" si="5"/>
        <v>976849</v>
      </c>
      <c r="I12" s="17">
        <f t="shared" ref="I12:J12" si="19">IF(G12="","",IFERROR(G12/C12,""))</f>
        <v>0.5517</v>
      </c>
      <c r="J12" s="17">
        <f t="shared" si="19"/>
        <v>0.6736889655</v>
      </c>
      <c r="K12" s="15">
        <f t="shared" si="7"/>
        <v>-473151</v>
      </c>
      <c r="L12" s="20" t="str">
        <f t="shared" si="8"/>
        <v>▲ 遅れ</v>
      </c>
      <c r="M12" s="22">
        <v>10.0</v>
      </c>
      <c r="N12" s="22">
        <v>11.0</v>
      </c>
      <c r="O12" s="22">
        <v>32.0</v>
      </c>
      <c r="P12" s="22">
        <v>17.0</v>
      </c>
      <c r="Q12" s="22"/>
      <c r="R12" s="17">
        <f t="shared" si="9"/>
        <v>0.3125</v>
      </c>
      <c r="S12" s="15">
        <f t="shared" si="10"/>
        <v>22068</v>
      </c>
      <c r="T12" s="24">
        <f t="shared" si="11"/>
        <v>1.1</v>
      </c>
      <c r="U12" s="17">
        <f t="shared" si="12"/>
        <v>0.53125</v>
      </c>
      <c r="V12" s="22"/>
      <c r="W12" s="22">
        <v>42748.0</v>
      </c>
      <c r="X12" s="18">
        <v>0.0</v>
      </c>
      <c r="Y12" s="26"/>
      <c r="AA12" s="27" t="s">
        <v>65</v>
      </c>
      <c r="AB12" s="29">
        <f t="shared" si="13"/>
        <v>206284</v>
      </c>
      <c r="AC12" s="30">
        <f t="shared" si="14"/>
        <v>4</v>
      </c>
      <c r="AD12" s="31">
        <f t="shared" si="15"/>
        <v>0.3185840708</v>
      </c>
      <c r="AE12" s="29">
        <f t="shared" si="16"/>
        <v>22920.44444</v>
      </c>
    </row>
    <row r="13">
      <c r="A13" s="32">
        <v>46118.0</v>
      </c>
      <c r="B13" s="21" t="str">
        <f t="shared" si="2"/>
        <v>月</v>
      </c>
      <c r="C13" s="18">
        <v>250000.0</v>
      </c>
      <c r="D13" s="23">
        <f t="shared" si="3"/>
        <v>1700000</v>
      </c>
      <c r="E13" s="18">
        <v>54780.0</v>
      </c>
      <c r="F13" s="18">
        <v>49380.0</v>
      </c>
      <c r="G13" s="23">
        <f t="shared" si="4"/>
        <v>104160</v>
      </c>
      <c r="H13" s="23">
        <f t="shared" si="5"/>
        <v>1081009</v>
      </c>
      <c r="I13" s="25">
        <f t="shared" ref="I13:J13" si="20">IF(G13="","",IFERROR(G13/C13,""))</f>
        <v>0.41664</v>
      </c>
      <c r="J13" s="25">
        <f t="shared" si="20"/>
        <v>0.6358876471</v>
      </c>
      <c r="K13" s="23">
        <f t="shared" si="7"/>
        <v>-618991</v>
      </c>
      <c r="L13" s="33" t="str">
        <f t="shared" si="8"/>
        <v>▲ 遅れ</v>
      </c>
      <c r="M13" s="22">
        <v>4.0</v>
      </c>
      <c r="N13" s="22">
        <v>5.0</v>
      </c>
      <c r="O13" s="22">
        <v>20.0</v>
      </c>
      <c r="P13" s="22">
        <v>8.0</v>
      </c>
      <c r="Q13" s="22"/>
      <c r="R13" s="25">
        <f t="shared" si="9"/>
        <v>0.2</v>
      </c>
      <c r="S13" s="23">
        <f t="shared" si="10"/>
        <v>26040</v>
      </c>
      <c r="T13" s="34">
        <f t="shared" si="11"/>
        <v>1.25</v>
      </c>
      <c r="U13" s="25">
        <f t="shared" si="12"/>
        <v>0.4</v>
      </c>
      <c r="V13" s="22"/>
      <c r="W13" s="22">
        <v>42765.0</v>
      </c>
      <c r="X13" s="18">
        <v>0.0</v>
      </c>
      <c r="Y13" s="26"/>
      <c r="AA13" s="27" t="s">
        <v>67</v>
      </c>
      <c r="AB13" s="29">
        <f t="shared" si="13"/>
        <v>259153.75</v>
      </c>
      <c r="AC13" s="30">
        <f t="shared" si="14"/>
        <v>4</v>
      </c>
      <c r="AD13" s="31">
        <f t="shared" si="15"/>
        <v>0.2911392405</v>
      </c>
      <c r="AE13" s="29">
        <f t="shared" si="16"/>
        <v>22535.1087</v>
      </c>
    </row>
    <row r="14">
      <c r="A14" s="16">
        <v>46119.0</v>
      </c>
      <c r="B14" s="13" t="str">
        <f t="shared" si="2"/>
        <v>火</v>
      </c>
      <c r="C14" s="18">
        <v>250000.0</v>
      </c>
      <c r="D14" s="15">
        <f t="shared" si="3"/>
        <v>1950000</v>
      </c>
      <c r="E14" s="18">
        <v>0.0</v>
      </c>
      <c r="F14" s="18">
        <v>158550.0</v>
      </c>
      <c r="G14" s="15">
        <f t="shared" si="4"/>
        <v>158550</v>
      </c>
      <c r="H14" s="15">
        <f t="shared" si="5"/>
        <v>1239559</v>
      </c>
      <c r="I14" s="17">
        <f t="shared" ref="I14:J14" si="21">IF(G14="","",IFERROR(G14/C14,""))</f>
        <v>0.6342</v>
      </c>
      <c r="J14" s="17">
        <f t="shared" si="21"/>
        <v>0.6356712821</v>
      </c>
      <c r="K14" s="15">
        <f t="shared" si="7"/>
        <v>-710441</v>
      </c>
      <c r="L14" s="20" t="str">
        <f t="shared" si="8"/>
        <v>▲ 遅れ</v>
      </c>
      <c r="M14" s="22">
        <v>6.0</v>
      </c>
      <c r="N14" s="22">
        <v>9.0</v>
      </c>
      <c r="O14" s="22">
        <v>25.0</v>
      </c>
      <c r="P14" s="22">
        <v>11.0</v>
      </c>
      <c r="Q14" s="22"/>
      <c r="R14" s="17">
        <f t="shared" si="9"/>
        <v>0.24</v>
      </c>
      <c r="S14" s="15">
        <f t="shared" si="10"/>
        <v>26425</v>
      </c>
      <c r="T14" s="24">
        <f t="shared" si="11"/>
        <v>1.5</v>
      </c>
      <c r="U14" s="17">
        <f t="shared" si="12"/>
        <v>0.44</v>
      </c>
      <c r="V14" s="22"/>
      <c r="W14" s="22">
        <v>42794.0</v>
      </c>
      <c r="X14" s="18">
        <v>0.0</v>
      </c>
      <c r="Y14" s="26"/>
      <c r="AA14" s="27" t="s">
        <v>69</v>
      </c>
      <c r="AB14" s="29">
        <f t="shared" si="13"/>
        <v>237792</v>
      </c>
      <c r="AC14" s="30">
        <f t="shared" si="14"/>
        <v>4</v>
      </c>
      <c r="AD14" s="31">
        <f t="shared" si="15"/>
        <v>0.28</v>
      </c>
      <c r="AE14" s="29">
        <f t="shared" si="16"/>
        <v>22646.85714</v>
      </c>
    </row>
    <row r="15">
      <c r="A15" s="32">
        <v>46120.0</v>
      </c>
      <c r="B15" s="21" t="str">
        <f t="shared" si="2"/>
        <v>水</v>
      </c>
      <c r="C15" s="18">
        <v>250000.0</v>
      </c>
      <c r="D15" s="23">
        <f t="shared" si="3"/>
        <v>2200000</v>
      </c>
      <c r="E15" s="18">
        <v>0.0</v>
      </c>
      <c r="F15" s="18">
        <v>71880.0</v>
      </c>
      <c r="G15" s="23">
        <f t="shared" si="4"/>
        <v>71880</v>
      </c>
      <c r="H15" s="23">
        <f t="shared" si="5"/>
        <v>1311439</v>
      </c>
      <c r="I15" s="25">
        <f t="shared" ref="I15:J15" si="22">IF(G15="","",IFERROR(G15/C15,""))</f>
        <v>0.28752</v>
      </c>
      <c r="J15" s="25">
        <f t="shared" si="22"/>
        <v>0.5961086364</v>
      </c>
      <c r="K15" s="23">
        <f t="shared" si="7"/>
        <v>-888561</v>
      </c>
      <c r="L15" s="33" t="str">
        <f t="shared" si="8"/>
        <v>▲ 遅れ</v>
      </c>
      <c r="M15" s="22">
        <v>3.0</v>
      </c>
      <c r="N15" s="22">
        <v>4.0</v>
      </c>
      <c r="O15" s="22">
        <v>22.0</v>
      </c>
      <c r="P15" s="22">
        <v>4.0</v>
      </c>
      <c r="Q15" s="22"/>
      <c r="R15" s="25">
        <f t="shared" si="9"/>
        <v>0.1363636364</v>
      </c>
      <c r="S15" s="23">
        <f t="shared" si="10"/>
        <v>23960</v>
      </c>
      <c r="T15" s="34">
        <f t="shared" si="11"/>
        <v>1.333333333</v>
      </c>
      <c r="U15" s="25">
        <f t="shared" si="12"/>
        <v>0.1818181818</v>
      </c>
      <c r="V15" s="22"/>
      <c r="W15" s="22">
        <v>42805.0</v>
      </c>
      <c r="X15" s="18">
        <v>0.0</v>
      </c>
      <c r="Y15" s="26"/>
    </row>
    <row r="16">
      <c r="A16" s="16">
        <v>46121.0</v>
      </c>
      <c r="B16" s="13" t="str">
        <f t="shared" si="2"/>
        <v>木</v>
      </c>
      <c r="C16" s="18">
        <v>250000.0</v>
      </c>
      <c r="D16" s="15">
        <f t="shared" si="3"/>
        <v>2450000</v>
      </c>
      <c r="E16" s="18">
        <v>31820.0</v>
      </c>
      <c r="F16" s="18">
        <v>102630.0</v>
      </c>
      <c r="G16" s="15">
        <f t="shared" si="4"/>
        <v>134450</v>
      </c>
      <c r="H16" s="15">
        <f t="shared" si="5"/>
        <v>1445889</v>
      </c>
      <c r="I16" s="17">
        <f t="shared" ref="I16:J16" si="23">IF(G16="","",IFERROR(G16/C16,""))</f>
        <v>0.5378</v>
      </c>
      <c r="J16" s="17">
        <f t="shared" si="23"/>
        <v>0.5901587755</v>
      </c>
      <c r="K16" s="15">
        <f t="shared" si="7"/>
        <v>-1004111</v>
      </c>
      <c r="L16" s="20" t="str">
        <f t="shared" si="8"/>
        <v>▲ 遅れ</v>
      </c>
      <c r="M16" s="22">
        <v>6.0</v>
      </c>
      <c r="N16" s="22">
        <v>6.0</v>
      </c>
      <c r="O16" s="22">
        <v>23.0</v>
      </c>
      <c r="P16" s="22">
        <v>11.0</v>
      </c>
      <c r="Q16" s="22"/>
      <c r="R16" s="17">
        <f t="shared" si="9"/>
        <v>0.2608695652</v>
      </c>
      <c r="S16" s="15">
        <f t="shared" si="10"/>
        <v>22408.33333</v>
      </c>
      <c r="T16" s="24">
        <f t="shared" si="11"/>
        <v>1</v>
      </c>
      <c r="U16" s="17">
        <f t="shared" si="12"/>
        <v>0.4782608696</v>
      </c>
      <c r="V16" s="22"/>
      <c r="W16" s="22">
        <v>42835.0</v>
      </c>
      <c r="X16" s="18">
        <v>0.0</v>
      </c>
      <c r="Y16" s="26"/>
      <c r="AA16" s="35" t="s">
        <v>71</v>
      </c>
    </row>
    <row r="17">
      <c r="A17" s="32">
        <v>46122.0</v>
      </c>
      <c r="B17" s="21" t="str">
        <f t="shared" si="2"/>
        <v>金</v>
      </c>
      <c r="C17" s="18">
        <v>250000.0</v>
      </c>
      <c r="D17" s="23">
        <f t="shared" si="3"/>
        <v>2700000</v>
      </c>
      <c r="E17" s="18">
        <v>46420.0</v>
      </c>
      <c r="F17" s="18">
        <v>231517.0</v>
      </c>
      <c r="G17" s="23">
        <f t="shared" si="4"/>
        <v>277937</v>
      </c>
      <c r="H17" s="23">
        <f t="shared" si="5"/>
        <v>1723826</v>
      </c>
      <c r="I17" s="25">
        <f t="shared" ref="I17:J17" si="24">IF(G17="","",IFERROR(G17/C17,""))</f>
        <v>1.111748</v>
      </c>
      <c r="J17" s="25">
        <f t="shared" si="24"/>
        <v>0.6384540741</v>
      </c>
      <c r="K17" s="23">
        <f t="shared" si="7"/>
        <v>-976174</v>
      </c>
      <c r="L17" s="33" t="str">
        <f t="shared" si="8"/>
        <v>▲ 遅れ</v>
      </c>
      <c r="M17" s="22">
        <v>14.0</v>
      </c>
      <c r="N17" s="22">
        <v>15.0</v>
      </c>
      <c r="O17" s="22">
        <v>26.0</v>
      </c>
      <c r="P17" s="22">
        <v>17.0</v>
      </c>
      <c r="Q17" s="22"/>
      <c r="R17" s="25">
        <f t="shared" si="9"/>
        <v>0.5384615385</v>
      </c>
      <c r="S17" s="23">
        <f t="shared" si="10"/>
        <v>19852.64286</v>
      </c>
      <c r="T17" s="34">
        <f t="shared" si="11"/>
        <v>1.071428571</v>
      </c>
      <c r="U17" s="25">
        <f t="shared" si="12"/>
        <v>0.6538461538</v>
      </c>
      <c r="V17" s="22"/>
      <c r="W17" s="22">
        <v>42875.0</v>
      </c>
      <c r="X17" s="18">
        <v>0.0</v>
      </c>
      <c r="Y17" s="26"/>
    </row>
    <row r="18">
      <c r="A18" s="16">
        <v>46123.0</v>
      </c>
      <c r="B18" s="13" t="str">
        <f t="shared" si="2"/>
        <v>土</v>
      </c>
      <c r="C18" s="18">
        <v>300000.0</v>
      </c>
      <c r="D18" s="15">
        <f t="shared" si="3"/>
        <v>3000000</v>
      </c>
      <c r="E18" s="18">
        <v>0.0</v>
      </c>
      <c r="F18" s="18">
        <v>127209.0</v>
      </c>
      <c r="G18" s="15">
        <f t="shared" si="4"/>
        <v>127209</v>
      </c>
      <c r="H18" s="15">
        <f t="shared" si="5"/>
        <v>1851035</v>
      </c>
      <c r="I18" s="17">
        <f t="shared" ref="I18:J18" si="25">IF(G18="","",IFERROR(G18/C18,""))</f>
        <v>0.42403</v>
      </c>
      <c r="J18" s="17">
        <f t="shared" si="25"/>
        <v>0.6170116667</v>
      </c>
      <c r="K18" s="15">
        <f t="shared" si="7"/>
        <v>-1148965</v>
      </c>
      <c r="L18" s="20" t="str">
        <f t="shared" si="8"/>
        <v>▲ 遅れ</v>
      </c>
      <c r="M18" s="22">
        <v>6.0</v>
      </c>
      <c r="N18" s="22">
        <v>6.0</v>
      </c>
      <c r="O18" s="22">
        <v>32.0</v>
      </c>
      <c r="P18" s="22">
        <v>12.0</v>
      </c>
      <c r="Q18" s="22"/>
      <c r="R18" s="17">
        <f t="shared" si="9"/>
        <v>0.1875</v>
      </c>
      <c r="S18" s="15">
        <f t="shared" si="10"/>
        <v>21201.5</v>
      </c>
      <c r="T18" s="24">
        <f t="shared" si="11"/>
        <v>1</v>
      </c>
      <c r="U18" s="17">
        <f t="shared" si="12"/>
        <v>0.375</v>
      </c>
      <c r="V18" s="22"/>
      <c r="W18" s="22">
        <v>42896.0</v>
      </c>
      <c r="X18" s="18">
        <v>0.0</v>
      </c>
      <c r="Y18" s="26"/>
      <c r="AA18" s="38" t="s">
        <v>73</v>
      </c>
      <c r="AH18" s="35" t="s">
        <v>75</v>
      </c>
      <c r="AI18" s="40">
        <f>$A$8+MOD(2-WEEKDAY($A$8,2)+7,7)</f>
        <v>46119</v>
      </c>
    </row>
    <row r="19">
      <c r="A19" s="32">
        <v>46124.0</v>
      </c>
      <c r="B19" s="21" t="str">
        <f t="shared" si="2"/>
        <v>日</v>
      </c>
      <c r="C19" s="18">
        <v>400000.0</v>
      </c>
      <c r="D19" s="23">
        <f t="shared" si="3"/>
        <v>3400000</v>
      </c>
      <c r="E19" s="18">
        <v>72820.0</v>
      </c>
      <c r="F19" s="18">
        <v>210460.0</v>
      </c>
      <c r="G19" s="23">
        <f t="shared" si="4"/>
        <v>283280</v>
      </c>
      <c r="H19" s="23">
        <f t="shared" si="5"/>
        <v>2134315</v>
      </c>
      <c r="I19" s="25">
        <f t="shared" ref="I19:J19" si="26">IF(G19="","",IFERROR(G19/C19,""))</f>
        <v>0.7082</v>
      </c>
      <c r="J19" s="25">
        <f t="shared" si="26"/>
        <v>0.6277397059</v>
      </c>
      <c r="K19" s="23">
        <f t="shared" si="7"/>
        <v>-1265685</v>
      </c>
      <c r="L19" s="33" t="str">
        <f t="shared" si="8"/>
        <v>▲ 遅れ</v>
      </c>
      <c r="M19" s="22">
        <v>13.0</v>
      </c>
      <c r="N19" s="22">
        <v>13.0</v>
      </c>
      <c r="O19" s="22">
        <v>52.0</v>
      </c>
      <c r="P19" s="22">
        <v>20.0</v>
      </c>
      <c r="Q19" s="22"/>
      <c r="R19" s="25">
        <f t="shared" si="9"/>
        <v>0.25</v>
      </c>
      <c r="S19" s="23">
        <f t="shared" si="10"/>
        <v>21790.76923</v>
      </c>
      <c r="T19" s="34">
        <f t="shared" si="11"/>
        <v>1</v>
      </c>
      <c r="U19" s="25">
        <f t="shared" si="12"/>
        <v>0.3846153846</v>
      </c>
      <c r="V19" s="22"/>
      <c r="W19" s="22">
        <v>42923.0</v>
      </c>
      <c r="X19" s="18">
        <v>0.0</v>
      </c>
      <c r="Y19" s="26"/>
      <c r="AA19" s="14" t="s">
        <v>76</v>
      </c>
      <c r="AB19" s="14" t="s">
        <v>77</v>
      </c>
      <c r="AC19" s="14" t="s">
        <v>78</v>
      </c>
      <c r="AD19" s="14" t="s">
        <v>18</v>
      </c>
      <c r="AE19" s="14" t="s">
        <v>19</v>
      </c>
      <c r="AF19" s="14" t="s">
        <v>20</v>
      </c>
      <c r="AG19" s="14" t="s">
        <v>21</v>
      </c>
    </row>
    <row r="20">
      <c r="A20" s="16">
        <v>46125.0</v>
      </c>
      <c r="B20" s="13" t="str">
        <f t="shared" si="2"/>
        <v>月</v>
      </c>
      <c r="C20" s="18">
        <v>250000.0</v>
      </c>
      <c r="D20" s="15">
        <f t="shared" si="3"/>
        <v>3650000</v>
      </c>
      <c r="E20" s="18">
        <v>24200.0</v>
      </c>
      <c r="F20" s="18">
        <v>106920.0</v>
      </c>
      <c r="G20" s="15">
        <f t="shared" si="4"/>
        <v>131120</v>
      </c>
      <c r="H20" s="15">
        <f t="shared" si="5"/>
        <v>2265435</v>
      </c>
      <c r="I20" s="17">
        <f t="shared" ref="I20:J20" si="27">IF(G20="","",IFERROR(G20/C20,""))</f>
        <v>0.52448</v>
      </c>
      <c r="J20" s="17">
        <f t="shared" si="27"/>
        <v>0.6206671233</v>
      </c>
      <c r="K20" s="15">
        <f t="shared" si="7"/>
        <v>-1384565</v>
      </c>
      <c r="L20" s="20" t="str">
        <f t="shared" si="8"/>
        <v>▲ 遅れ</v>
      </c>
      <c r="M20" s="22">
        <v>6.0</v>
      </c>
      <c r="N20" s="22">
        <v>7.0</v>
      </c>
      <c r="O20" s="22">
        <v>18.0</v>
      </c>
      <c r="P20" s="22">
        <v>9.0</v>
      </c>
      <c r="Q20" s="22"/>
      <c r="R20" s="17">
        <f t="shared" si="9"/>
        <v>0.3333333333</v>
      </c>
      <c r="S20" s="15">
        <f t="shared" si="10"/>
        <v>21853.33333</v>
      </c>
      <c r="T20" s="24">
        <f t="shared" si="11"/>
        <v>1.166666667</v>
      </c>
      <c r="U20" s="17">
        <f t="shared" si="12"/>
        <v>0.5</v>
      </c>
      <c r="V20" s="22"/>
      <c r="W20" s="22"/>
      <c r="X20" s="18">
        <v>0.0</v>
      </c>
      <c r="Y20" s="26"/>
      <c r="AA20" s="30">
        <v>1.0</v>
      </c>
      <c r="AB20" s="42" t="str">
        <f>IF($AI$18+7*(1-1)&gt;$A$37,"",TEXT($AI$18+7*(1-1),"m/d")&amp;"-"&amp;TEXT($AI$18+7*(1-1)+6,"m/d"))</f>
        <v>4/7-4/13</v>
      </c>
      <c r="AC20" s="29">
        <f>IF($AB20="","",(SUMIFS($G$8:$G$37,$A$8:$A$37,"&gt;="&amp;$AI$18+7*(1-1),$A$8:$A$37,"&lt;="&amp;$AI$18+7*(1-1)+6)+SUMIFS('2026年05月'!$G$8:$G$38,'2026年05月'!$A$8:$A$38,"&gt;="&amp;$AI$18+7*(1-1),'2026年05月'!$A$8:$A$38,"&lt;="&amp;$AI$18+7*(1-1)+6)))</f>
        <v>1184426</v>
      </c>
      <c r="AD20" s="31">
        <f>IF($AB20="","",IFERROR((SUMIFS($M$8:$M$37,$A$8:$A$37,"&gt;="&amp;$AI$18+7*(1-1),$A$8:$A$37,"&lt;="&amp;$AI$18+7*(1-1)+6)+SUMIFS('2026年05月'!$M$8:$M$38,'2026年05月'!$A$8:$A$38,"&gt;="&amp;$AI$18+7*(1-1),'2026年05月'!$A$8:$A$38,"&lt;="&amp;$AI$18+7*(1-1)+6))/(SUMIFS($O$8:$O$37,$A$8:$A$37,"&gt;="&amp;$AI$18+7*(1-1),$A$8:$A$37,"&lt;="&amp;$AI$18+7*(1-1)+6)+SUMIFS('2026年05月'!$O$8:$O$38,'2026年05月'!$A$8:$A$38,"&gt;="&amp;$AI$18+7*(1-1),'2026年05月'!$A$8:$A$38,"&lt;="&amp;$AI$18+7*(1-1)+6)),""))</f>
        <v>0.2727272727</v>
      </c>
      <c r="AE20" s="29">
        <f>IF($AB20="","",IFERROR((SUMIFS($G$8:$G$37,$A$8:$A$37,"&gt;="&amp;$AI$18+7*(1-1),$A$8:$A$37,"&lt;="&amp;$AI$18+7*(1-1)+6)+SUMIFS('2026年05月'!$G$8:$G$38,'2026年05月'!$A$8:$A$38,"&gt;="&amp;$AI$18+7*(1-1),'2026年05月'!$A$8:$A$38,"&lt;="&amp;$AI$18+7*(1-1)+6))/(SUMIFS($M$8:$M$37,$A$8:$A$37,"&gt;="&amp;$AI$18+7*(1-1),$A$8:$A$37,"&lt;="&amp;$AI$18+7*(1-1)+6)+SUMIFS('2026年05月'!$M$8:$M$38,'2026年05月'!$A$8:$A$38,"&gt;="&amp;$AI$18+7*(1-1),'2026年05月'!$A$8:$A$38,"&lt;="&amp;$AI$18+7*(1-1)+6)),""))</f>
        <v>21933.81481</v>
      </c>
      <c r="AF20" s="43">
        <f>IF($AB20="","",IFERROR((SUMIFS($N$8:$N$37,$A$8:$A$37,"&gt;="&amp;$AI$18+7*(1-1),$A$8:$A$37,"&lt;="&amp;$AI$18+7*(1-1)+6)+SUMIFS('2026年05月'!$N$8:$N$38,'2026年05月'!$A$8:$A$38,"&gt;="&amp;$AI$18+7*(1-1),'2026年05月'!$A$8:$A$38,"&lt;="&amp;$AI$18+7*(1-1)+6))/(SUMIFS($M$8:$M$37,$A$8:$A$37,"&gt;="&amp;$AI$18+7*(1-1),$A$8:$A$37,"&lt;="&amp;$AI$18+7*(1-1)+6)+SUMIFS('2026年05月'!$M$8:$M$38,'2026年05月'!$A$8:$A$38,"&gt;="&amp;$AI$18+7*(1-1),'2026年05月'!$A$8:$A$38,"&lt;="&amp;$AI$18+7*(1-1)+6)),""))</f>
        <v>1.111111111</v>
      </c>
      <c r="AG20" s="31">
        <f>IF($AB20="","",IFERROR((SUMIFS($P$8:$P$37,$A$8:$A$37,"&gt;="&amp;$AI$18+7*(1-1),$A$8:$A$37,"&lt;="&amp;$AI$18+7*(1-1)+6)+SUMIFS('2026年05月'!$P$8:$P$38,'2026年05月'!$A$8:$A$38,"&gt;="&amp;$AI$18+7*(1-1),'2026年05月'!$A$8:$A$38,"&lt;="&amp;$AI$18+7*(1-1)+6))/(SUMIFS($O$8:$O$37,$A$8:$A$37,"&gt;="&amp;$AI$18+7*(1-1),$A$8:$A$37,"&lt;="&amp;$AI$18+7*(1-1)+6)+SUMIFS('2026年05月'!$O$8:$O$38,'2026年05月'!$A$8:$A$38,"&gt;="&amp;$AI$18+7*(1-1),'2026年05月'!$A$8:$A$38,"&lt;="&amp;$AI$18+7*(1-1)+6)),""))</f>
        <v>0.4242424242</v>
      </c>
    </row>
    <row r="21" ht="15.75" customHeight="1">
      <c r="A21" s="32">
        <v>46126.0</v>
      </c>
      <c r="B21" s="21" t="str">
        <f t="shared" si="2"/>
        <v>火</v>
      </c>
      <c r="C21" s="18">
        <v>250000.0</v>
      </c>
      <c r="D21" s="23">
        <f t="shared" si="3"/>
        <v>3900000</v>
      </c>
      <c r="E21" s="18">
        <v>47620.0</v>
      </c>
      <c r="F21" s="18">
        <v>26010.0</v>
      </c>
      <c r="G21" s="23">
        <f t="shared" si="4"/>
        <v>73630</v>
      </c>
      <c r="H21" s="23">
        <f t="shared" si="5"/>
        <v>2339065</v>
      </c>
      <c r="I21" s="25">
        <f t="shared" ref="I21:J21" si="28">IF(G21="","",IFERROR(G21/C21,""))</f>
        <v>0.29452</v>
      </c>
      <c r="J21" s="25">
        <f t="shared" si="28"/>
        <v>0.5997602564</v>
      </c>
      <c r="K21" s="23">
        <f t="shared" si="7"/>
        <v>-1560935</v>
      </c>
      <c r="L21" s="33" t="str">
        <f t="shared" si="8"/>
        <v>▲ 遅れ</v>
      </c>
      <c r="M21" s="22">
        <v>3.0</v>
      </c>
      <c r="N21" s="22">
        <v>3.0</v>
      </c>
      <c r="O21" s="22">
        <v>20.0</v>
      </c>
      <c r="P21" s="22">
        <v>7.0</v>
      </c>
      <c r="Q21" s="22"/>
      <c r="R21" s="25">
        <f t="shared" si="9"/>
        <v>0.15</v>
      </c>
      <c r="S21" s="23">
        <f t="shared" si="10"/>
        <v>24543.33333</v>
      </c>
      <c r="T21" s="34">
        <f t="shared" si="11"/>
        <v>1</v>
      </c>
      <c r="U21" s="25">
        <f t="shared" si="12"/>
        <v>0.35</v>
      </c>
      <c r="V21" s="22"/>
      <c r="W21" s="22">
        <v>43042.0</v>
      </c>
      <c r="X21" s="18">
        <v>0.0</v>
      </c>
      <c r="Y21" s="26"/>
      <c r="AA21" s="30">
        <v>2.0</v>
      </c>
      <c r="AB21" s="42" t="str">
        <f>IF($AI$18+7*(2-1)&gt;$A$37,"",TEXT($AI$18+7*(2-1),"m/d")&amp;"-"&amp;TEXT($AI$18+7*(2-1)+6,"m/d"))</f>
        <v>4/14-4/20</v>
      </c>
      <c r="AC21" s="29">
        <f>IF($AB21="","",(SUMIFS($G$8:$G$37,$A$8:$A$37,"&gt;="&amp;$AI$18+7*(2-1),$A$8:$A$37,"&lt;="&amp;$AI$18+7*(2-1)+6)+SUMIFS('2026年05月'!$G$8:$G$38,'2026年05月'!$A$8:$A$38,"&gt;="&amp;$AI$18+7*(2-1),'2026年05月'!$A$8:$A$38,"&lt;="&amp;$AI$18+7*(2-1)+6)))</f>
        <v>1787816</v>
      </c>
      <c r="AD21" s="31">
        <f>IF($AB21="","",IFERROR((SUMIFS($M$8:$M$37,$A$8:$A$37,"&gt;="&amp;$AI$18+7*(2-1),$A$8:$A$37,"&lt;="&amp;$AI$18+7*(2-1)+6)+SUMIFS('2026年05月'!$M$8:$M$38,'2026年05月'!$A$8:$A$38,"&gt;="&amp;$AI$18+7*(2-1),'2026年05月'!$A$8:$A$38,"&lt;="&amp;$AI$18+7*(2-1)+6))/(SUMIFS($O$8:$O$37,$A$8:$A$37,"&gt;="&amp;$AI$18+7*(2-1),$A$8:$A$37,"&lt;="&amp;$AI$18+7*(2-1)+6)+SUMIFS('2026年05月'!$O$8:$O$38,'2026年05月'!$A$8:$A$38,"&gt;="&amp;$AI$18+7*(2-1),'2026年05月'!$A$8:$A$38,"&lt;="&amp;$AI$18+7*(2-1)+6)),""))</f>
        <v>0.305785124</v>
      </c>
      <c r="AE21" s="29">
        <f>IF($AB21="","",IFERROR((SUMIFS($G$8:$G$37,$A$8:$A$37,"&gt;="&amp;$AI$18+7*(2-1),$A$8:$A$37,"&lt;="&amp;$AI$18+7*(2-1)+6)+SUMIFS('2026年05月'!$G$8:$G$38,'2026年05月'!$A$8:$A$38,"&gt;="&amp;$AI$18+7*(2-1),'2026年05月'!$A$8:$A$38,"&lt;="&amp;$AI$18+7*(2-1)+6))/(SUMIFS($M$8:$M$37,$A$8:$A$37,"&gt;="&amp;$AI$18+7*(2-1),$A$8:$A$37,"&lt;="&amp;$AI$18+7*(2-1)+6)+SUMIFS('2026年05月'!$M$8:$M$38,'2026年05月'!$A$8:$A$38,"&gt;="&amp;$AI$18+7*(2-1),'2026年05月'!$A$8:$A$38,"&lt;="&amp;$AI$18+7*(2-1)+6)),""))</f>
        <v>24159.67568</v>
      </c>
      <c r="AF21" s="43">
        <f>IF($AB21="","",IFERROR((SUMIFS($N$8:$N$37,$A$8:$A$37,"&gt;="&amp;$AI$18+7*(2-1),$A$8:$A$37,"&lt;="&amp;$AI$18+7*(2-1)+6)+SUMIFS('2026年05月'!$N$8:$N$38,'2026年05月'!$A$8:$A$38,"&gt;="&amp;$AI$18+7*(2-1),'2026年05月'!$A$8:$A$38,"&lt;="&amp;$AI$18+7*(2-1)+6))/(SUMIFS($M$8:$M$37,$A$8:$A$37,"&gt;="&amp;$AI$18+7*(2-1),$A$8:$A$37,"&lt;="&amp;$AI$18+7*(2-1)+6)+SUMIFS('2026年05月'!$M$8:$M$38,'2026年05月'!$A$8:$A$38,"&gt;="&amp;$AI$18+7*(2-1),'2026年05月'!$A$8:$A$38,"&lt;="&amp;$AI$18+7*(2-1)+6)),""))</f>
        <v>1.054054054</v>
      </c>
      <c r="AG21" s="31">
        <f>IF($AB21="","",IFERROR((SUMIFS($P$8:$P$37,$A$8:$A$37,"&gt;="&amp;$AI$18+7*(2-1),$A$8:$A$37,"&lt;="&amp;$AI$18+7*(2-1)+6)+SUMIFS('2026年05月'!$P$8:$P$38,'2026年05月'!$A$8:$A$38,"&gt;="&amp;$AI$18+7*(2-1),'2026年05月'!$A$8:$A$38,"&lt;="&amp;$AI$18+7*(2-1)+6))/(SUMIFS($O$8:$O$37,$A$8:$A$37,"&gt;="&amp;$AI$18+7*(2-1),$A$8:$A$37,"&lt;="&amp;$AI$18+7*(2-1)+6)+SUMIFS('2026年05月'!$O$8:$O$38,'2026年05月'!$A$8:$A$38,"&gt;="&amp;$AI$18+7*(2-1),'2026年05月'!$A$8:$A$38,"&lt;="&amp;$AI$18+7*(2-1)+6)),""))</f>
        <v>0.4132231405</v>
      </c>
    </row>
    <row r="22" ht="15.75" customHeight="1">
      <c r="A22" s="16">
        <v>46127.0</v>
      </c>
      <c r="B22" s="13" t="str">
        <f t="shared" si="2"/>
        <v>水</v>
      </c>
      <c r="C22" s="18">
        <v>250000.0</v>
      </c>
      <c r="D22" s="15">
        <f t="shared" si="3"/>
        <v>4150000</v>
      </c>
      <c r="E22" s="18">
        <v>141950.0</v>
      </c>
      <c r="F22" s="18">
        <v>212680.0</v>
      </c>
      <c r="G22" s="15">
        <f t="shared" si="4"/>
        <v>354630</v>
      </c>
      <c r="H22" s="15">
        <f t="shared" si="5"/>
        <v>2693695</v>
      </c>
      <c r="I22" s="17">
        <f t="shared" ref="I22:J22" si="29">IF(G22="","",IFERROR(G22/C22,""))</f>
        <v>1.41852</v>
      </c>
      <c r="J22" s="17">
        <f t="shared" si="29"/>
        <v>0.6490831325</v>
      </c>
      <c r="K22" s="15">
        <f t="shared" si="7"/>
        <v>-1456305</v>
      </c>
      <c r="L22" s="20" t="str">
        <f t="shared" si="8"/>
        <v>▲ 遅れ</v>
      </c>
      <c r="M22" s="22">
        <v>12.0</v>
      </c>
      <c r="N22" s="22">
        <v>15.0</v>
      </c>
      <c r="O22" s="22">
        <v>37.0</v>
      </c>
      <c r="P22" s="22">
        <v>16.0</v>
      </c>
      <c r="Q22" s="22">
        <v>30.0</v>
      </c>
      <c r="R22" s="17">
        <f t="shared" si="9"/>
        <v>0.3243243243</v>
      </c>
      <c r="S22" s="15">
        <f t="shared" si="10"/>
        <v>29552.5</v>
      </c>
      <c r="T22" s="24">
        <f t="shared" si="11"/>
        <v>1.25</v>
      </c>
      <c r="U22" s="17">
        <f t="shared" si="12"/>
        <v>0.4324324324</v>
      </c>
      <c r="V22" s="22"/>
      <c r="W22" s="22">
        <v>43078.0</v>
      </c>
      <c r="X22" s="18">
        <v>0.0</v>
      </c>
      <c r="Y22" s="26"/>
      <c r="AA22" s="30">
        <v>3.0</v>
      </c>
      <c r="AB22" s="42" t="str">
        <f>IF($AI$18+7*(3-1)&gt;$A$37,"",TEXT($AI$18+7*(3-1),"m/d")&amp;"-"&amp;TEXT($AI$18+7*(3-1)+6,"m/d"))</f>
        <v>4/21-4/27</v>
      </c>
      <c r="AC22" s="29">
        <f>IF($AB22="","",(SUMIFS($G$8:$G$37,$A$8:$A$37,"&gt;="&amp;$AI$18+7*(3-1),$A$8:$A$37,"&lt;="&amp;$AI$18+7*(3-1)+6)+SUMIFS('2026年05月'!$G$8:$G$38,'2026年05月'!$A$8:$A$38,"&gt;="&amp;$AI$18+7*(3-1),'2026年05月'!$A$8:$A$38,"&lt;="&amp;$AI$18+7*(3-1)+6)))</f>
        <v>1057498</v>
      </c>
      <c r="AD22" s="31">
        <f>IF($AB22="","",IFERROR((SUMIFS($M$8:$M$37,$A$8:$A$37,"&gt;="&amp;$AI$18+7*(3-1),$A$8:$A$37,"&lt;="&amp;$AI$18+7*(3-1)+6)+SUMIFS('2026年05月'!$M$8:$M$38,'2026年05月'!$A$8:$A$38,"&gt;="&amp;$AI$18+7*(3-1),'2026年05月'!$A$8:$A$38,"&lt;="&amp;$AI$18+7*(3-1)+6))/(SUMIFS($O$8:$O$37,$A$8:$A$37,"&gt;="&amp;$AI$18+7*(3-1),$A$8:$A$37,"&lt;="&amp;$AI$18+7*(3-1)+6)+SUMIFS('2026年05月'!$O$8:$O$38,'2026年05月'!$A$8:$A$38,"&gt;="&amp;$AI$18+7*(3-1),'2026年05月'!$A$8:$A$38,"&lt;="&amp;$AI$18+7*(3-1)+6)),""))</f>
        <v>0.2576687117</v>
      </c>
      <c r="AE22" s="29">
        <f>IF($AB22="","",IFERROR((SUMIFS($G$8:$G$37,$A$8:$A$37,"&gt;="&amp;$AI$18+7*(3-1),$A$8:$A$37,"&lt;="&amp;$AI$18+7*(3-1)+6)+SUMIFS('2026年05月'!$G$8:$G$38,'2026年05月'!$A$8:$A$38,"&gt;="&amp;$AI$18+7*(3-1),'2026年05月'!$A$8:$A$38,"&lt;="&amp;$AI$18+7*(3-1)+6))/(SUMIFS($M$8:$M$37,$A$8:$A$37,"&gt;="&amp;$AI$18+7*(3-1),$A$8:$A$37,"&lt;="&amp;$AI$18+7*(3-1)+6)+SUMIFS('2026年05月'!$M$8:$M$38,'2026年05月'!$A$8:$A$38,"&gt;="&amp;$AI$18+7*(3-1),'2026年05月'!$A$8:$A$38,"&lt;="&amp;$AI$18+7*(3-1)+6)),""))</f>
        <v>25178.52381</v>
      </c>
      <c r="AF22" s="43">
        <f>IF($AB22="","",IFERROR((SUMIFS($N$8:$N$37,$A$8:$A$37,"&gt;="&amp;$AI$18+7*(3-1),$A$8:$A$37,"&lt;="&amp;$AI$18+7*(3-1)+6)+SUMIFS('2026年05月'!$N$8:$N$38,'2026年05月'!$A$8:$A$38,"&gt;="&amp;$AI$18+7*(3-1),'2026年05月'!$A$8:$A$38,"&lt;="&amp;$AI$18+7*(3-1)+6))/(SUMIFS($M$8:$M$37,$A$8:$A$37,"&gt;="&amp;$AI$18+7*(3-1),$A$8:$A$37,"&lt;="&amp;$AI$18+7*(3-1)+6)+SUMIFS('2026年05月'!$M$8:$M$38,'2026年05月'!$A$8:$A$38,"&gt;="&amp;$AI$18+7*(3-1),'2026年05月'!$A$8:$A$38,"&lt;="&amp;$AI$18+7*(3-1)+6)),""))</f>
        <v>1.095238095</v>
      </c>
      <c r="AG22" s="31">
        <f>IF($AB22="","",IFERROR((SUMIFS($P$8:$P$37,$A$8:$A$37,"&gt;="&amp;$AI$18+7*(3-1),$A$8:$A$37,"&lt;="&amp;$AI$18+7*(3-1)+6)+SUMIFS('2026年05月'!$P$8:$P$38,'2026年05月'!$A$8:$A$38,"&gt;="&amp;$AI$18+7*(3-1),'2026年05月'!$A$8:$A$38,"&lt;="&amp;$AI$18+7*(3-1)+6))/(SUMIFS($O$8:$O$37,$A$8:$A$37,"&gt;="&amp;$AI$18+7*(3-1),$A$8:$A$37,"&lt;="&amp;$AI$18+7*(3-1)+6)+SUMIFS('2026年05月'!$O$8:$O$38,'2026年05月'!$A$8:$A$38,"&gt;="&amp;$AI$18+7*(3-1),'2026年05月'!$A$8:$A$38,"&lt;="&amp;$AI$18+7*(3-1)+6)),""))</f>
        <v>0.4294478528</v>
      </c>
    </row>
    <row r="23" ht="15.75" customHeight="1">
      <c r="A23" s="32">
        <v>46128.0</v>
      </c>
      <c r="B23" s="21" t="str">
        <f t="shared" si="2"/>
        <v>木</v>
      </c>
      <c r="C23" s="18">
        <v>250000.0</v>
      </c>
      <c r="D23" s="23">
        <f t="shared" si="3"/>
        <v>4400000</v>
      </c>
      <c r="E23" s="18">
        <v>23810.0</v>
      </c>
      <c r="F23" s="18">
        <v>47620.0</v>
      </c>
      <c r="G23" s="23">
        <f t="shared" si="4"/>
        <v>71430</v>
      </c>
      <c r="H23" s="23">
        <f t="shared" si="5"/>
        <v>2765125</v>
      </c>
      <c r="I23" s="25">
        <f t="shared" ref="I23:J23" si="30">IF(G23="","",IFERROR(G23/C23,""))</f>
        <v>0.28572</v>
      </c>
      <c r="J23" s="25">
        <f t="shared" si="30"/>
        <v>0.6284375</v>
      </c>
      <c r="K23" s="23">
        <f t="shared" si="7"/>
        <v>-1634875</v>
      </c>
      <c r="L23" s="33" t="str">
        <f t="shared" si="8"/>
        <v>▲ 遅れ</v>
      </c>
      <c r="M23" s="22">
        <v>3.0</v>
      </c>
      <c r="N23" s="22">
        <v>3.0</v>
      </c>
      <c r="O23" s="22">
        <v>27.0</v>
      </c>
      <c r="P23" s="22">
        <v>9.0</v>
      </c>
      <c r="Q23" s="22">
        <v>17.0</v>
      </c>
      <c r="R23" s="25">
        <f t="shared" si="9"/>
        <v>0.1111111111</v>
      </c>
      <c r="S23" s="23">
        <f t="shared" si="10"/>
        <v>23810</v>
      </c>
      <c r="T23" s="34">
        <f t="shared" si="11"/>
        <v>1</v>
      </c>
      <c r="U23" s="25">
        <f t="shared" si="12"/>
        <v>0.3333333333</v>
      </c>
      <c r="V23" s="22"/>
      <c r="W23" s="22">
        <v>43168.0</v>
      </c>
      <c r="X23" s="18">
        <v>0.0</v>
      </c>
      <c r="Y23" s="26"/>
      <c r="AA23" s="30">
        <v>4.0</v>
      </c>
      <c r="AB23" s="42" t="str">
        <f>IF($AI$18+7*(4-1)&gt;$A$37,"",TEXT($AI$18+7*(4-1),"m/d")&amp;"-"&amp;TEXT($AI$18+7*(4-1)+6,"m/d"))</f>
        <v>4/28-5/4</v>
      </c>
      <c r="AC23" s="29">
        <f>IF($AB23="","",(SUMIFS($G$8:$G$37,$A$8:$A$37,"&gt;="&amp;$AI$18+7*(4-1),$A$8:$A$37,"&lt;="&amp;$AI$18+7*(4-1)+6)+SUMIFS('2026年05月'!$G$8:$G$38,'2026年05月'!$A$8:$A$38,"&gt;="&amp;$AI$18+7*(4-1),'2026年05月'!$A$8:$A$38,"&lt;="&amp;$AI$18+7*(4-1)+6)))</f>
        <v>1496768</v>
      </c>
      <c r="AD23" s="31">
        <f>IF($AB23="","",IFERROR((SUMIFS($M$8:$M$37,$A$8:$A$37,"&gt;="&amp;$AI$18+7*(4-1),$A$8:$A$37,"&lt;="&amp;$AI$18+7*(4-1)+6)+SUMIFS('2026年05月'!$M$8:$M$38,'2026年05月'!$A$8:$A$38,"&gt;="&amp;$AI$18+7*(4-1),'2026年05月'!$A$8:$A$38,"&lt;="&amp;$AI$18+7*(4-1)+6))/(SUMIFS($O$8:$O$37,$A$8:$A$37,"&gt;="&amp;$AI$18+7*(4-1),$A$8:$A$37,"&lt;="&amp;$AI$18+7*(4-1)+6)+SUMIFS('2026年05月'!$O$8:$O$38,'2026年05月'!$A$8:$A$38,"&gt;="&amp;$AI$18+7*(4-1),'2026年05月'!$A$8:$A$38,"&lt;="&amp;$AI$18+7*(4-1)+6)),""))</f>
        <v>0.288372093</v>
      </c>
      <c r="AE23" s="29">
        <f>IF($AB23="","",IFERROR((SUMIFS($G$8:$G$37,$A$8:$A$37,"&gt;="&amp;$AI$18+7*(4-1),$A$8:$A$37,"&lt;="&amp;$AI$18+7*(4-1)+6)+SUMIFS('2026年05月'!$G$8:$G$38,'2026年05月'!$A$8:$A$38,"&gt;="&amp;$AI$18+7*(4-1),'2026年05月'!$A$8:$A$38,"&lt;="&amp;$AI$18+7*(4-1)+6))/(SUMIFS($M$8:$M$37,$A$8:$A$37,"&gt;="&amp;$AI$18+7*(4-1),$A$8:$A$37,"&lt;="&amp;$AI$18+7*(4-1)+6)+SUMIFS('2026年05月'!$M$8:$M$38,'2026年05月'!$A$8:$A$38,"&gt;="&amp;$AI$18+7*(4-1),'2026年05月'!$A$8:$A$38,"&lt;="&amp;$AI$18+7*(4-1)+6)),""))</f>
        <v>24141.41935</v>
      </c>
      <c r="AF23" s="43">
        <f>IF($AB23="","",IFERROR((SUMIFS($N$8:$N$37,$A$8:$A$37,"&gt;="&amp;$AI$18+7*(4-1),$A$8:$A$37,"&lt;="&amp;$AI$18+7*(4-1)+6)+SUMIFS('2026年05月'!$N$8:$N$38,'2026年05月'!$A$8:$A$38,"&gt;="&amp;$AI$18+7*(4-1),'2026年05月'!$A$8:$A$38,"&lt;="&amp;$AI$18+7*(4-1)+6))/(SUMIFS($M$8:$M$37,$A$8:$A$37,"&gt;="&amp;$AI$18+7*(4-1),$A$8:$A$37,"&lt;="&amp;$AI$18+7*(4-1)+6)+SUMIFS('2026年05月'!$M$8:$M$38,'2026年05月'!$A$8:$A$38,"&gt;="&amp;$AI$18+7*(4-1),'2026年05月'!$A$8:$A$38,"&lt;="&amp;$AI$18+7*(4-1)+6)),""))</f>
        <v>1.096774194</v>
      </c>
      <c r="AG23" s="31">
        <f>IF($AB23="","",IFERROR((SUMIFS($P$8:$P$37,$A$8:$A$37,"&gt;="&amp;$AI$18+7*(4-1),$A$8:$A$37,"&lt;="&amp;$AI$18+7*(4-1)+6)+SUMIFS('2026年05月'!$P$8:$P$38,'2026年05月'!$A$8:$A$38,"&gt;="&amp;$AI$18+7*(4-1),'2026年05月'!$A$8:$A$38,"&lt;="&amp;$AI$18+7*(4-1)+6))/(SUMIFS($O$8:$O$37,$A$8:$A$37,"&gt;="&amp;$AI$18+7*(4-1),$A$8:$A$37,"&lt;="&amp;$AI$18+7*(4-1)+6)+SUMIFS('2026年05月'!$O$8:$O$38,'2026年05月'!$A$8:$A$38,"&gt;="&amp;$AI$18+7*(4-1),'2026年05月'!$A$8:$A$38,"&lt;="&amp;$AI$18+7*(4-1)+6)),""))</f>
        <v>0.423255814</v>
      </c>
    </row>
    <row r="24" ht="15.75" customHeight="1">
      <c r="A24" s="16">
        <v>46129.0</v>
      </c>
      <c r="B24" s="13" t="str">
        <f t="shared" si="2"/>
        <v>金</v>
      </c>
      <c r="C24" s="18">
        <v>250000.0</v>
      </c>
      <c r="D24" s="15">
        <f t="shared" si="3"/>
        <v>4650000</v>
      </c>
      <c r="E24" s="18">
        <v>46310.0</v>
      </c>
      <c r="F24" s="18">
        <v>171480.0</v>
      </c>
      <c r="G24" s="15">
        <f t="shared" si="4"/>
        <v>217790</v>
      </c>
      <c r="H24" s="15">
        <f t="shared" si="5"/>
        <v>2982915</v>
      </c>
      <c r="I24" s="17">
        <f t="shared" ref="I24:J24" si="31">IF(G24="","",IFERROR(G24/C24,""))</f>
        <v>0.87116</v>
      </c>
      <c r="J24" s="17">
        <f t="shared" si="31"/>
        <v>0.6414870968</v>
      </c>
      <c r="K24" s="15">
        <f t="shared" si="7"/>
        <v>-1667085</v>
      </c>
      <c r="L24" s="20" t="str">
        <f t="shared" si="8"/>
        <v>▲ 遅れ</v>
      </c>
      <c r="M24" s="22">
        <v>9.0</v>
      </c>
      <c r="N24" s="22">
        <v>10.0</v>
      </c>
      <c r="O24" s="22">
        <v>39.0</v>
      </c>
      <c r="P24" s="22">
        <v>9.0</v>
      </c>
      <c r="Q24" s="22">
        <v>16.0</v>
      </c>
      <c r="R24" s="17">
        <f t="shared" si="9"/>
        <v>0.2307692308</v>
      </c>
      <c r="S24" s="15">
        <f t="shared" si="10"/>
        <v>24198.88889</v>
      </c>
      <c r="T24" s="24">
        <f t="shared" si="11"/>
        <v>1.111111111</v>
      </c>
      <c r="U24" s="17">
        <f t="shared" si="12"/>
        <v>0.2307692308</v>
      </c>
      <c r="V24" s="22"/>
      <c r="W24" s="22"/>
      <c r="X24" s="18">
        <v>0.0</v>
      </c>
      <c r="Y24" s="26"/>
      <c r="AA24" s="30">
        <v>5.0</v>
      </c>
      <c r="AB24" s="42" t="str">
        <f>IF($AI$18+7*(5-1)&gt;$A$37,"",TEXT($AI$18+7*(5-1),"m/d")&amp;"-"&amp;TEXT($AI$18+7*(5-1)+6,"m/d"))</f>
        <v/>
      </c>
      <c r="AC24" s="29" t="str">
        <f>IF($AB24="","",(SUMIFS($G$8:$G$37,$A$8:$A$37,"&gt;="&amp;$AI$18+7*(5-1),$A$8:$A$37,"&lt;="&amp;$AI$18+7*(5-1)+6)+SUMIFS('2026年05月'!$G$8:$G$38,'2026年05月'!$A$8:$A$38,"&gt;="&amp;$AI$18+7*(5-1),'2026年05月'!$A$8:$A$38,"&lt;="&amp;$AI$18+7*(5-1)+6)))</f>
        <v/>
      </c>
      <c r="AD24" s="31" t="str">
        <f>IF($AB24="","",IFERROR((SUMIFS($M$8:$M$37,$A$8:$A$37,"&gt;="&amp;$AI$18+7*(5-1),$A$8:$A$37,"&lt;="&amp;$AI$18+7*(5-1)+6)+SUMIFS('2026年05月'!$M$8:$M$38,'2026年05月'!$A$8:$A$38,"&gt;="&amp;$AI$18+7*(5-1),'2026年05月'!$A$8:$A$38,"&lt;="&amp;$AI$18+7*(5-1)+6))/(SUMIFS($O$8:$O$37,$A$8:$A$37,"&gt;="&amp;$AI$18+7*(5-1),$A$8:$A$37,"&lt;="&amp;$AI$18+7*(5-1)+6)+SUMIFS('2026年05月'!$O$8:$O$38,'2026年05月'!$A$8:$A$38,"&gt;="&amp;$AI$18+7*(5-1),'2026年05月'!$A$8:$A$38,"&lt;="&amp;$AI$18+7*(5-1)+6)),""))</f>
        <v/>
      </c>
      <c r="AE24" s="29" t="str">
        <f>IF($AB24="","",IFERROR((SUMIFS($G$8:$G$37,$A$8:$A$37,"&gt;="&amp;$AI$18+7*(5-1),$A$8:$A$37,"&lt;="&amp;$AI$18+7*(5-1)+6)+SUMIFS('2026年05月'!$G$8:$G$38,'2026年05月'!$A$8:$A$38,"&gt;="&amp;$AI$18+7*(5-1),'2026年05月'!$A$8:$A$38,"&lt;="&amp;$AI$18+7*(5-1)+6))/(SUMIFS($M$8:$M$37,$A$8:$A$37,"&gt;="&amp;$AI$18+7*(5-1),$A$8:$A$37,"&lt;="&amp;$AI$18+7*(5-1)+6)+SUMIFS('2026年05月'!$M$8:$M$38,'2026年05月'!$A$8:$A$38,"&gt;="&amp;$AI$18+7*(5-1),'2026年05月'!$A$8:$A$38,"&lt;="&amp;$AI$18+7*(5-1)+6)),""))</f>
        <v/>
      </c>
      <c r="AF24" s="43" t="str">
        <f>IF($AB24="","",IFERROR((SUMIFS($N$8:$N$37,$A$8:$A$37,"&gt;="&amp;$AI$18+7*(5-1),$A$8:$A$37,"&lt;="&amp;$AI$18+7*(5-1)+6)+SUMIFS('2026年05月'!$N$8:$N$38,'2026年05月'!$A$8:$A$38,"&gt;="&amp;$AI$18+7*(5-1),'2026年05月'!$A$8:$A$38,"&lt;="&amp;$AI$18+7*(5-1)+6))/(SUMIFS($M$8:$M$37,$A$8:$A$37,"&gt;="&amp;$AI$18+7*(5-1),$A$8:$A$37,"&lt;="&amp;$AI$18+7*(5-1)+6)+SUMIFS('2026年05月'!$M$8:$M$38,'2026年05月'!$A$8:$A$38,"&gt;="&amp;$AI$18+7*(5-1),'2026年05月'!$A$8:$A$38,"&lt;="&amp;$AI$18+7*(5-1)+6)),""))</f>
        <v/>
      </c>
      <c r="AG24" s="31" t="str">
        <f>IF($AB24="","",IFERROR((SUMIFS($P$8:$P$37,$A$8:$A$37,"&gt;="&amp;$AI$18+7*(5-1),$A$8:$A$37,"&lt;="&amp;$AI$18+7*(5-1)+6)+SUMIFS('2026年05月'!$P$8:$P$38,'2026年05月'!$A$8:$A$38,"&gt;="&amp;$AI$18+7*(5-1),'2026年05月'!$A$8:$A$38,"&lt;="&amp;$AI$18+7*(5-1)+6))/(SUMIFS($O$8:$O$37,$A$8:$A$37,"&gt;="&amp;$AI$18+7*(5-1),$A$8:$A$37,"&lt;="&amp;$AI$18+7*(5-1)+6)+SUMIFS('2026年05月'!$O$8:$O$38,'2026年05月'!$A$8:$A$38,"&gt;="&amp;$AI$18+7*(5-1),'2026年05月'!$A$8:$A$38,"&lt;="&amp;$AI$18+7*(5-1)+6)),""))</f>
        <v/>
      </c>
    </row>
    <row r="25" ht="15.75" customHeight="1">
      <c r="A25" s="32">
        <v>46130.0</v>
      </c>
      <c r="B25" s="21" t="str">
        <f t="shared" si="2"/>
        <v>土</v>
      </c>
      <c r="C25" s="18">
        <v>300000.0</v>
      </c>
      <c r="D25" s="23">
        <f t="shared" si="3"/>
        <v>4950000</v>
      </c>
      <c r="E25" s="18">
        <v>160260.0</v>
      </c>
      <c r="F25" s="18">
        <v>333516.0</v>
      </c>
      <c r="G25" s="23">
        <f t="shared" si="4"/>
        <v>493776</v>
      </c>
      <c r="H25" s="23">
        <f t="shared" si="5"/>
        <v>3476691</v>
      </c>
      <c r="I25" s="25">
        <f t="shared" ref="I25:J25" si="32">IF(G25="","",IFERROR(G25/C25,""))</f>
        <v>1.64592</v>
      </c>
      <c r="J25" s="25">
        <f t="shared" si="32"/>
        <v>0.7023618182</v>
      </c>
      <c r="K25" s="23">
        <f t="shared" si="7"/>
        <v>-1473309</v>
      </c>
      <c r="L25" s="33" t="str">
        <f t="shared" si="8"/>
        <v>▲ 遅れ</v>
      </c>
      <c r="M25" s="22">
        <v>22.0</v>
      </c>
      <c r="N25" s="22">
        <v>22.0</v>
      </c>
      <c r="O25" s="22">
        <v>49.0</v>
      </c>
      <c r="P25" s="22">
        <v>26.0</v>
      </c>
      <c r="Q25" s="22">
        <v>50.0</v>
      </c>
      <c r="R25" s="25">
        <f t="shared" si="9"/>
        <v>0.4489795918</v>
      </c>
      <c r="S25" s="23">
        <f t="shared" si="10"/>
        <v>22444.36364</v>
      </c>
      <c r="T25" s="34">
        <f t="shared" si="11"/>
        <v>1</v>
      </c>
      <c r="U25" s="25">
        <f t="shared" si="12"/>
        <v>0.5306122449</v>
      </c>
      <c r="V25" s="22"/>
      <c r="W25" s="22">
        <v>43442.0</v>
      </c>
      <c r="X25" s="18">
        <v>0.0</v>
      </c>
      <c r="Y25" s="26"/>
      <c r="AA25" s="30">
        <v>6.0</v>
      </c>
      <c r="AB25" s="42" t="str">
        <f>IF($AI$18+7*(6-1)&gt;$A$37,"",TEXT($AI$18+7*(6-1),"m/d")&amp;"-"&amp;TEXT($AI$18+7*(6-1)+6,"m/d"))</f>
        <v/>
      </c>
      <c r="AC25" s="29" t="str">
        <f>IF($AB25="","",(SUMIFS($G$8:$G$37,$A$8:$A$37,"&gt;="&amp;$AI$18+7*(6-1),$A$8:$A$37,"&lt;="&amp;$AI$18+7*(6-1)+6)+SUMIFS('2026年05月'!$G$8:$G$38,'2026年05月'!$A$8:$A$38,"&gt;="&amp;$AI$18+7*(6-1),'2026年05月'!$A$8:$A$38,"&lt;="&amp;$AI$18+7*(6-1)+6)))</f>
        <v/>
      </c>
      <c r="AD25" s="31" t="str">
        <f>IF($AB25="","",IFERROR((SUMIFS($M$8:$M$37,$A$8:$A$37,"&gt;="&amp;$AI$18+7*(6-1),$A$8:$A$37,"&lt;="&amp;$AI$18+7*(6-1)+6)+SUMIFS('2026年05月'!$M$8:$M$38,'2026年05月'!$A$8:$A$38,"&gt;="&amp;$AI$18+7*(6-1),'2026年05月'!$A$8:$A$38,"&lt;="&amp;$AI$18+7*(6-1)+6))/(SUMIFS($O$8:$O$37,$A$8:$A$37,"&gt;="&amp;$AI$18+7*(6-1),$A$8:$A$37,"&lt;="&amp;$AI$18+7*(6-1)+6)+SUMIFS('2026年05月'!$O$8:$O$38,'2026年05月'!$A$8:$A$38,"&gt;="&amp;$AI$18+7*(6-1),'2026年05月'!$A$8:$A$38,"&lt;="&amp;$AI$18+7*(6-1)+6)),""))</f>
        <v/>
      </c>
      <c r="AE25" s="29" t="str">
        <f>IF($AB25="","",IFERROR((SUMIFS($G$8:$G$37,$A$8:$A$37,"&gt;="&amp;$AI$18+7*(6-1),$A$8:$A$37,"&lt;="&amp;$AI$18+7*(6-1)+6)+SUMIFS('2026年05月'!$G$8:$G$38,'2026年05月'!$A$8:$A$38,"&gt;="&amp;$AI$18+7*(6-1),'2026年05月'!$A$8:$A$38,"&lt;="&amp;$AI$18+7*(6-1)+6))/(SUMIFS($M$8:$M$37,$A$8:$A$37,"&gt;="&amp;$AI$18+7*(6-1),$A$8:$A$37,"&lt;="&amp;$AI$18+7*(6-1)+6)+SUMIFS('2026年05月'!$M$8:$M$38,'2026年05月'!$A$8:$A$38,"&gt;="&amp;$AI$18+7*(6-1),'2026年05月'!$A$8:$A$38,"&lt;="&amp;$AI$18+7*(6-1)+6)),""))</f>
        <v/>
      </c>
      <c r="AF25" s="43" t="str">
        <f>IF($AB25="","",IFERROR((SUMIFS($N$8:$N$37,$A$8:$A$37,"&gt;="&amp;$AI$18+7*(6-1),$A$8:$A$37,"&lt;="&amp;$AI$18+7*(6-1)+6)+SUMIFS('2026年05月'!$N$8:$N$38,'2026年05月'!$A$8:$A$38,"&gt;="&amp;$AI$18+7*(6-1),'2026年05月'!$A$8:$A$38,"&lt;="&amp;$AI$18+7*(6-1)+6))/(SUMIFS($M$8:$M$37,$A$8:$A$37,"&gt;="&amp;$AI$18+7*(6-1),$A$8:$A$37,"&lt;="&amp;$AI$18+7*(6-1)+6)+SUMIFS('2026年05月'!$M$8:$M$38,'2026年05月'!$A$8:$A$38,"&gt;="&amp;$AI$18+7*(6-1),'2026年05月'!$A$8:$A$38,"&lt;="&amp;$AI$18+7*(6-1)+6)),""))</f>
        <v/>
      </c>
      <c r="AG25" s="31" t="str">
        <f>IF($AB25="","",IFERROR((SUMIFS($P$8:$P$37,$A$8:$A$37,"&gt;="&amp;$AI$18+7*(6-1),$A$8:$A$37,"&lt;="&amp;$AI$18+7*(6-1)+6)+SUMIFS('2026年05月'!$P$8:$P$38,'2026年05月'!$A$8:$A$38,"&gt;="&amp;$AI$18+7*(6-1),'2026年05月'!$A$8:$A$38,"&lt;="&amp;$AI$18+7*(6-1)+6))/(SUMIFS($O$8:$O$37,$A$8:$A$37,"&gt;="&amp;$AI$18+7*(6-1),$A$8:$A$37,"&lt;="&amp;$AI$18+7*(6-1)+6)+SUMIFS('2026年05月'!$O$8:$O$38,'2026年05月'!$A$8:$A$38,"&gt;="&amp;$AI$18+7*(6-1),'2026年05月'!$A$8:$A$38,"&lt;="&amp;$AI$18+7*(6-1)+6)),""))</f>
        <v/>
      </c>
    </row>
    <row r="26" ht="15.75" customHeight="1">
      <c r="A26" s="16">
        <v>46131.0</v>
      </c>
      <c r="B26" s="13" t="str">
        <f t="shared" si="2"/>
        <v>日</v>
      </c>
      <c r="C26" s="18">
        <v>400000.0</v>
      </c>
      <c r="D26" s="15">
        <f t="shared" si="3"/>
        <v>5350000</v>
      </c>
      <c r="E26" s="18">
        <v>69730.0</v>
      </c>
      <c r="F26" s="18">
        <v>276830.0</v>
      </c>
      <c r="G26" s="15">
        <f t="shared" si="4"/>
        <v>346560</v>
      </c>
      <c r="H26" s="15">
        <f t="shared" si="5"/>
        <v>3823251</v>
      </c>
      <c r="I26" s="17">
        <f t="shared" ref="I26:J26" si="33">IF(G26="","",IFERROR(G26/C26,""))</f>
        <v>0.8664</v>
      </c>
      <c r="J26" s="17">
        <f t="shared" si="33"/>
        <v>0.7146263551</v>
      </c>
      <c r="K26" s="15">
        <f t="shared" si="7"/>
        <v>-1526749</v>
      </c>
      <c r="L26" s="20" t="str">
        <f t="shared" si="8"/>
        <v>▲ 遅れ</v>
      </c>
      <c r="M26" s="22">
        <v>15.0</v>
      </c>
      <c r="N26" s="22">
        <v>15.0</v>
      </c>
      <c r="O26" s="22">
        <v>42.0</v>
      </c>
      <c r="P26" s="22">
        <v>18.0</v>
      </c>
      <c r="Q26" s="22">
        <v>30.0</v>
      </c>
      <c r="R26" s="17">
        <f t="shared" si="9"/>
        <v>0.3571428571</v>
      </c>
      <c r="S26" s="15">
        <f t="shared" si="10"/>
        <v>23104</v>
      </c>
      <c r="T26" s="24">
        <f t="shared" si="11"/>
        <v>1</v>
      </c>
      <c r="U26" s="17">
        <f t="shared" si="12"/>
        <v>0.4285714286</v>
      </c>
      <c r="V26" s="22"/>
      <c r="W26" s="22">
        <v>43528.0</v>
      </c>
      <c r="X26" s="18">
        <v>0.0</v>
      </c>
      <c r="Y26" s="26"/>
      <c r="AA26" s="35" t="s">
        <v>94</v>
      </c>
    </row>
    <row r="27" ht="15.75" customHeight="1">
      <c r="A27" s="32">
        <v>46132.0</v>
      </c>
      <c r="B27" s="21" t="str">
        <f t="shared" si="2"/>
        <v>月</v>
      </c>
      <c r="C27" s="18">
        <v>250000.0</v>
      </c>
      <c r="D27" s="23">
        <f t="shared" si="3"/>
        <v>5600000</v>
      </c>
      <c r="E27" s="18">
        <v>24310.0</v>
      </c>
      <c r="F27" s="18">
        <v>205690.0</v>
      </c>
      <c r="G27" s="23">
        <f t="shared" si="4"/>
        <v>230000</v>
      </c>
      <c r="H27" s="23">
        <f t="shared" si="5"/>
        <v>4053251</v>
      </c>
      <c r="I27" s="25">
        <f t="shared" ref="I27:J27" si="34">IF(G27="","",IFERROR(G27/C27,""))</f>
        <v>0.92</v>
      </c>
      <c r="J27" s="25">
        <f t="shared" si="34"/>
        <v>0.7237948214</v>
      </c>
      <c r="K27" s="23">
        <f t="shared" si="7"/>
        <v>-1546749</v>
      </c>
      <c r="L27" s="33" t="str">
        <f t="shared" si="8"/>
        <v>▲ 遅れ</v>
      </c>
      <c r="M27" s="22">
        <v>10.0</v>
      </c>
      <c r="N27" s="22">
        <v>10.0</v>
      </c>
      <c r="O27" s="22">
        <v>28.0</v>
      </c>
      <c r="P27" s="22">
        <v>15.0</v>
      </c>
      <c r="Q27" s="22">
        <v>29.0</v>
      </c>
      <c r="R27" s="25">
        <f t="shared" si="9"/>
        <v>0.3571428571</v>
      </c>
      <c r="S27" s="23">
        <f t="shared" si="10"/>
        <v>23000</v>
      </c>
      <c r="T27" s="34">
        <f t="shared" si="11"/>
        <v>1</v>
      </c>
      <c r="U27" s="25">
        <f t="shared" si="12"/>
        <v>0.5357142857</v>
      </c>
      <c r="V27" s="22"/>
      <c r="W27" s="22">
        <v>43603.0</v>
      </c>
      <c r="X27" s="18">
        <v>0.0</v>
      </c>
      <c r="Y27" s="26"/>
      <c r="AA27" s="35" t="s">
        <v>95</v>
      </c>
    </row>
    <row r="28" ht="15.75" customHeight="1">
      <c r="A28" s="16">
        <v>46133.0</v>
      </c>
      <c r="B28" s="13" t="str">
        <f t="shared" si="2"/>
        <v>火</v>
      </c>
      <c r="C28" s="18">
        <v>250000.0</v>
      </c>
      <c r="D28" s="15">
        <f t="shared" si="3"/>
        <v>5850000</v>
      </c>
      <c r="E28" s="18">
        <v>0.0</v>
      </c>
      <c r="F28" s="18">
        <v>114830.0</v>
      </c>
      <c r="G28" s="15">
        <f t="shared" si="4"/>
        <v>114830</v>
      </c>
      <c r="H28" s="15">
        <f t="shared" si="5"/>
        <v>4168081</v>
      </c>
      <c r="I28" s="17">
        <f t="shared" ref="I28:J28" si="35">IF(G28="","",IFERROR(G28/C28,""))</f>
        <v>0.45932</v>
      </c>
      <c r="J28" s="17">
        <f t="shared" si="35"/>
        <v>0.7124924786</v>
      </c>
      <c r="K28" s="15">
        <f t="shared" si="7"/>
        <v>-1681919</v>
      </c>
      <c r="L28" s="20" t="str">
        <f t="shared" si="8"/>
        <v>▲ 遅れ</v>
      </c>
      <c r="M28" s="22">
        <v>4.0</v>
      </c>
      <c r="N28" s="22">
        <v>6.0</v>
      </c>
      <c r="O28" s="22">
        <v>18.0</v>
      </c>
      <c r="P28" s="22">
        <v>6.0</v>
      </c>
      <c r="Q28" s="22">
        <v>12.0</v>
      </c>
      <c r="R28" s="17">
        <f t="shared" si="9"/>
        <v>0.2222222222</v>
      </c>
      <c r="S28" s="15">
        <f t="shared" si="10"/>
        <v>28707.5</v>
      </c>
      <c r="T28" s="24">
        <f t="shared" si="11"/>
        <v>1.5</v>
      </c>
      <c r="U28" s="17">
        <f t="shared" si="12"/>
        <v>0.3333333333</v>
      </c>
      <c r="V28" s="22"/>
      <c r="W28" s="22">
        <v>43693.0</v>
      </c>
      <c r="X28" s="18">
        <v>0.0</v>
      </c>
      <c r="Y28" s="26"/>
      <c r="AA28" s="35" t="s">
        <v>96</v>
      </c>
    </row>
    <row r="29" ht="15.75" customHeight="1">
      <c r="A29" s="32">
        <v>46134.0</v>
      </c>
      <c r="B29" s="21" t="str">
        <f t="shared" si="2"/>
        <v>水</v>
      </c>
      <c r="C29" s="18">
        <v>250000.0</v>
      </c>
      <c r="D29" s="23">
        <f t="shared" si="3"/>
        <v>6100000</v>
      </c>
      <c r="E29" s="18">
        <v>48620.0</v>
      </c>
      <c r="F29" s="18">
        <v>272510.0</v>
      </c>
      <c r="G29" s="23">
        <f t="shared" si="4"/>
        <v>321130</v>
      </c>
      <c r="H29" s="23">
        <f t="shared" si="5"/>
        <v>4489211</v>
      </c>
      <c r="I29" s="25">
        <f t="shared" ref="I29:J29" si="36">IF(G29="","",IFERROR(G29/C29,""))</f>
        <v>1.28452</v>
      </c>
      <c r="J29" s="25">
        <f t="shared" si="36"/>
        <v>0.7359362295</v>
      </c>
      <c r="K29" s="23">
        <f t="shared" si="7"/>
        <v>-1610789</v>
      </c>
      <c r="L29" s="33" t="str">
        <f t="shared" si="8"/>
        <v>▲ 遅れ</v>
      </c>
      <c r="M29" s="22">
        <v>13.0</v>
      </c>
      <c r="N29" s="22">
        <v>13.0</v>
      </c>
      <c r="O29" s="22">
        <v>31.0</v>
      </c>
      <c r="P29" s="22">
        <v>17.0</v>
      </c>
      <c r="Q29" s="22">
        <v>28.0</v>
      </c>
      <c r="R29" s="25">
        <f t="shared" si="9"/>
        <v>0.4193548387</v>
      </c>
      <c r="S29" s="23">
        <f t="shared" si="10"/>
        <v>24702.30769</v>
      </c>
      <c r="T29" s="34">
        <f t="shared" si="11"/>
        <v>1</v>
      </c>
      <c r="U29" s="25">
        <f t="shared" si="12"/>
        <v>0.5483870968</v>
      </c>
      <c r="V29" s="22"/>
      <c r="W29" s="22">
        <v>43773.0</v>
      </c>
      <c r="X29" s="18">
        <v>0.0</v>
      </c>
      <c r="Y29" s="26"/>
    </row>
    <row r="30" ht="15.75" customHeight="1">
      <c r="A30" s="16">
        <v>46135.0</v>
      </c>
      <c r="B30" s="13" t="str">
        <f t="shared" si="2"/>
        <v>木</v>
      </c>
      <c r="C30" s="18">
        <v>250000.0</v>
      </c>
      <c r="D30" s="15">
        <f t="shared" si="3"/>
        <v>6350000</v>
      </c>
      <c r="E30" s="18">
        <v>0.0</v>
      </c>
      <c r="F30" s="18">
        <v>66430.0</v>
      </c>
      <c r="G30" s="15">
        <f t="shared" si="4"/>
        <v>66430</v>
      </c>
      <c r="H30" s="15">
        <f t="shared" si="5"/>
        <v>4555641</v>
      </c>
      <c r="I30" s="17">
        <f t="shared" ref="I30:J30" si="37">IF(G30="","",IFERROR(G30/C30,""))</f>
        <v>0.26572</v>
      </c>
      <c r="J30" s="17">
        <f t="shared" si="37"/>
        <v>0.7174237795</v>
      </c>
      <c r="K30" s="15">
        <f t="shared" si="7"/>
        <v>-1794359</v>
      </c>
      <c r="L30" s="20" t="str">
        <f t="shared" si="8"/>
        <v>▲ 遅れ</v>
      </c>
      <c r="M30" s="22">
        <v>3.0</v>
      </c>
      <c r="N30" s="22">
        <v>3.0</v>
      </c>
      <c r="O30" s="22">
        <v>12.0</v>
      </c>
      <c r="P30" s="22">
        <v>4.0</v>
      </c>
      <c r="Q30" s="22">
        <v>6.0</v>
      </c>
      <c r="R30" s="17">
        <f t="shared" si="9"/>
        <v>0.25</v>
      </c>
      <c r="S30" s="15">
        <f t="shared" si="10"/>
        <v>22143.33333</v>
      </c>
      <c r="T30" s="24">
        <f t="shared" si="11"/>
        <v>1</v>
      </c>
      <c r="U30" s="17">
        <f t="shared" si="12"/>
        <v>0.3333333333</v>
      </c>
      <c r="V30" s="22"/>
      <c r="W30" s="22">
        <v>43869.0</v>
      </c>
      <c r="X30" s="18">
        <v>0.0</v>
      </c>
      <c r="Y30" s="26"/>
    </row>
    <row r="31" ht="15.75" customHeight="1">
      <c r="A31" s="32">
        <v>46136.0</v>
      </c>
      <c r="B31" s="21" t="str">
        <f t="shared" si="2"/>
        <v>金</v>
      </c>
      <c r="C31" s="18">
        <v>250000.0</v>
      </c>
      <c r="D31" s="23">
        <f t="shared" si="3"/>
        <v>6600000</v>
      </c>
      <c r="E31" s="18">
        <v>0.0</v>
      </c>
      <c r="F31" s="18">
        <v>156580.0</v>
      </c>
      <c r="G31" s="23">
        <f t="shared" si="4"/>
        <v>156580</v>
      </c>
      <c r="H31" s="23">
        <f t="shared" si="5"/>
        <v>4712221</v>
      </c>
      <c r="I31" s="25">
        <f t="shared" ref="I31:J31" si="38">IF(G31="","",IFERROR(G31/C31,""))</f>
        <v>0.62632</v>
      </c>
      <c r="J31" s="25">
        <f t="shared" si="38"/>
        <v>0.7139728788</v>
      </c>
      <c r="K31" s="23">
        <f t="shared" si="7"/>
        <v>-1887779</v>
      </c>
      <c r="L31" s="33" t="str">
        <f t="shared" si="8"/>
        <v>▲ 遅れ</v>
      </c>
      <c r="M31" s="22">
        <v>5.0</v>
      </c>
      <c r="N31" s="22">
        <v>7.0</v>
      </c>
      <c r="O31" s="22">
        <v>21.0</v>
      </c>
      <c r="P31" s="22">
        <v>9.0</v>
      </c>
      <c r="Q31" s="22">
        <v>17.0</v>
      </c>
      <c r="R31" s="25">
        <f t="shared" si="9"/>
        <v>0.2380952381</v>
      </c>
      <c r="S31" s="23">
        <f t="shared" si="10"/>
        <v>31316</v>
      </c>
      <c r="T31" s="34">
        <f t="shared" si="11"/>
        <v>1.4</v>
      </c>
      <c r="U31" s="25">
        <f t="shared" si="12"/>
        <v>0.4285714286</v>
      </c>
      <c r="V31" s="22"/>
      <c r="W31" s="22">
        <v>43952.0</v>
      </c>
      <c r="X31" s="18">
        <v>0.0</v>
      </c>
      <c r="Y31" s="26"/>
    </row>
    <row r="32" ht="15.75" customHeight="1">
      <c r="A32" s="16">
        <v>46137.0</v>
      </c>
      <c r="B32" s="13" t="str">
        <f t="shared" si="2"/>
        <v>土</v>
      </c>
      <c r="C32" s="18">
        <v>300000.0</v>
      </c>
      <c r="D32" s="15">
        <f t="shared" si="3"/>
        <v>6900000</v>
      </c>
      <c r="E32" s="18">
        <v>47620.0</v>
      </c>
      <c r="F32" s="18">
        <v>210340.0</v>
      </c>
      <c r="G32" s="15">
        <f t="shared" si="4"/>
        <v>257960</v>
      </c>
      <c r="H32" s="15">
        <f t="shared" si="5"/>
        <v>4970181</v>
      </c>
      <c r="I32" s="17">
        <f t="shared" ref="I32:J32" si="39">IF(G32="","",IFERROR(G32/C32,""))</f>
        <v>0.8598666667</v>
      </c>
      <c r="J32" s="17">
        <f t="shared" si="39"/>
        <v>0.720316087</v>
      </c>
      <c r="K32" s="15">
        <f t="shared" si="7"/>
        <v>-1929819</v>
      </c>
      <c r="L32" s="20" t="str">
        <f t="shared" si="8"/>
        <v>▲ 遅れ</v>
      </c>
      <c r="M32" s="22">
        <v>11.0</v>
      </c>
      <c r="N32" s="22">
        <v>11.0</v>
      </c>
      <c r="O32" s="22">
        <v>39.0</v>
      </c>
      <c r="P32" s="22">
        <v>20.0</v>
      </c>
      <c r="Q32" s="22">
        <v>34.0</v>
      </c>
      <c r="R32" s="17">
        <f t="shared" si="9"/>
        <v>0.2820512821</v>
      </c>
      <c r="S32" s="15">
        <f t="shared" si="10"/>
        <v>23450.90909</v>
      </c>
      <c r="T32" s="24">
        <f t="shared" si="11"/>
        <v>1</v>
      </c>
      <c r="U32" s="17">
        <f t="shared" si="12"/>
        <v>0.5128205128</v>
      </c>
      <c r="V32" s="22"/>
      <c r="W32" s="22">
        <v>44003.0</v>
      </c>
      <c r="X32" s="18">
        <v>0.0</v>
      </c>
      <c r="Y32" s="26"/>
    </row>
    <row r="33" ht="15.75" customHeight="1">
      <c r="A33" s="32">
        <v>46138.0</v>
      </c>
      <c r="B33" s="21" t="str">
        <f t="shared" si="2"/>
        <v>日</v>
      </c>
      <c r="C33" s="18">
        <v>400000.0</v>
      </c>
      <c r="D33" s="23">
        <f t="shared" si="3"/>
        <v>7300000</v>
      </c>
      <c r="E33" s="18">
        <v>0.0</v>
      </c>
      <c r="F33" s="18">
        <v>100648.0</v>
      </c>
      <c r="G33" s="23">
        <f t="shared" si="4"/>
        <v>100648</v>
      </c>
      <c r="H33" s="23">
        <f t="shared" si="5"/>
        <v>5070829</v>
      </c>
      <c r="I33" s="25">
        <f t="shared" ref="I33:J33" si="40">IF(G33="","",IFERROR(G33/C33,""))</f>
        <v>0.25162</v>
      </c>
      <c r="J33" s="25">
        <f t="shared" si="40"/>
        <v>0.6946341096</v>
      </c>
      <c r="K33" s="23">
        <f t="shared" si="7"/>
        <v>-2229171</v>
      </c>
      <c r="L33" s="33" t="str">
        <f t="shared" si="8"/>
        <v>▲ 遅れ</v>
      </c>
      <c r="M33" s="22">
        <v>4.0</v>
      </c>
      <c r="N33" s="22">
        <v>4.0</v>
      </c>
      <c r="O33" s="22">
        <v>24.0</v>
      </c>
      <c r="P33" s="22">
        <v>9.0</v>
      </c>
      <c r="Q33" s="22">
        <v>13.0</v>
      </c>
      <c r="R33" s="25">
        <f t="shared" si="9"/>
        <v>0.1666666667</v>
      </c>
      <c r="S33" s="23">
        <f t="shared" si="10"/>
        <v>25162</v>
      </c>
      <c r="T33" s="34">
        <f t="shared" si="11"/>
        <v>1</v>
      </c>
      <c r="U33" s="25">
        <f t="shared" si="12"/>
        <v>0.375</v>
      </c>
      <c r="V33" s="22"/>
      <c r="W33" s="22">
        <v>44048.0</v>
      </c>
      <c r="X33" s="18">
        <v>0.0</v>
      </c>
      <c r="Y33" s="44" t="s">
        <v>97</v>
      </c>
    </row>
    <row r="34" ht="15.75" customHeight="1">
      <c r="A34" s="16">
        <v>46139.0</v>
      </c>
      <c r="B34" s="13" t="str">
        <f t="shared" si="2"/>
        <v>月</v>
      </c>
      <c r="C34" s="18">
        <v>250000.0</v>
      </c>
      <c r="D34" s="15">
        <f t="shared" si="3"/>
        <v>7550000</v>
      </c>
      <c r="E34" s="18">
        <v>16110.0</v>
      </c>
      <c r="F34" s="18">
        <v>23810.0</v>
      </c>
      <c r="G34" s="15">
        <f t="shared" si="4"/>
        <v>39920</v>
      </c>
      <c r="H34" s="15">
        <f t="shared" si="5"/>
        <v>5110749</v>
      </c>
      <c r="I34" s="17">
        <f t="shared" ref="I34:J34" si="41">IF(G34="","",IFERROR(G34/C34,""))</f>
        <v>0.15968</v>
      </c>
      <c r="J34" s="17">
        <f t="shared" si="41"/>
        <v>0.6769203974</v>
      </c>
      <c r="K34" s="15">
        <f t="shared" si="7"/>
        <v>-2439251</v>
      </c>
      <c r="L34" s="20" t="str">
        <f t="shared" si="8"/>
        <v>▲ 遅れ</v>
      </c>
      <c r="M34" s="22">
        <v>2.0</v>
      </c>
      <c r="N34" s="22">
        <v>2.0</v>
      </c>
      <c r="O34" s="22">
        <v>18.0</v>
      </c>
      <c r="P34" s="22">
        <v>5.0</v>
      </c>
      <c r="Q34" s="22">
        <v>6.0</v>
      </c>
      <c r="R34" s="17">
        <f t="shared" si="9"/>
        <v>0.1111111111</v>
      </c>
      <c r="S34" s="15">
        <f t="shared" si="10"/>
        <v>19960</v>
      </c>
      <c r="T34" s="24">
        <f t="shared" si="11"/>
        <v>1</v>
      </c>
      <c r="U34" s="17">
        <f t="shared" si="12"/>
        <v>0.2777777778</v>
      </c>
      <c r="V34" s="22"/>
      <c r="W34" s="22">
        <v>44085.0</v>
      </c>
      <c r="X34" s="18">
        <v>0.0</v>
      </c>
      <c r="Y34" s="26"/>
    </row>
    <row r="35" ht="15.75" customHeight="1">
      <c r="A35" s="32">
        <v>46140.0</v>
      </c>
      <c r="B35" s="21" t="str">
        <f t="shared" si="2"/>
        <v>火</v>
      </c>
      <c r="C35" s="18">
        <v>250000.0</v>
      </c>
      <c r="D35" s="23">
        <f t="shared" si="3"/>
        <v>7800000</v>
      </c>
      <c r="E35" s="18">
        <v>40420.0</v>
      </c>
      <c r="F35" s="18">
        <v>16610.0</v>
      </c>
      <c r="G35" s="23">
        <f t="shared" si="4"/>
        <v>57030</v>
      </c>
      <c r="H35" s="23">
        <f t="shared" si="5"/>
        <v>5167779</v>
      </c>
      <c r="I35" s="25">
        <f t="shared" ref="I35:J35" si="42">IF(G35="","",IFERROR(G35/C35,""))</f>
        <v>0.22812</v>
      </c>
      <c r="J35" s="25">
        <f t="shared" si="42"/>
        <v>0.6625357692</v>
      </c>
      <c r="K35" s="23">
        <f t="shared" si="7"/>
        <v>-2632221</v>
      </c>
      <c r="L35" s="33" t="str">
        <f t="shared" si="8"/>
        <v>▲ 遅れ</v>
      </c>
      <c r="M35" s="22">
        <v>3.0</v>
      </c>
      <c r="N35" s="22">
        <v>3.0</v>
      </c>
      <c r="O35" s="22">
        <v>16.0</v>
      </c>
      <c r="P35" s="22">
        <v>4.0</v>
      </c>
      <c r="Q35" s="22">
        <v>7.0</v>
      </c>
      <c r="R35" s="25">
        <f t="shared" si="9"/>
        <v>0.1875</v>
      </c>
      <c r="S35" s="23">
        <f t="shared" si="10"/>
        <v>19010</v>
      </c>
      <c r="T35" s="34">
        <f t="shared" si="11"/>
        <v>1</v>
      </c>
      <c r="U35" s="25">
        <f t="shared" si="12"/>
        <v>0.25</v>
      </c>
      <c r="V35" s="22"/>
      <c r="W35" s="22">
        <v>44086.0</v>
      </c>
      <c r="X35" s="18">
        <v>0.0</v>
      </c>
      <c r="Y35" s="26"/>
    </row>
    <row r="36" ht="15.75" customHeight="1">
      <c r="A36" s="16">
        <v>46141.0</v>
      </c>
      <c r="B36" s="13" t="str">
        <f t="shared" si="2"/>
        <v>水</v>
      </c>
      <c r="C36" s="18">
        <v>300000.0</v>
      </c>
      <c r="D36" s="15">
        <f t="shared" si="3"/>
        <v>8100000</v>
      </c>
      <c r="E36" s="18">
        <v>0.0</v>
      </c>
      <c r="F36" s="18">
        <v>157770.0</v>
      </c>
      <c r="G36" s="15">
        <f t="shared" si="4"/>
        <v>157770</v>
      </c>
      <c r="H36" s="15">
        <f t="shared" si="5"/>
        <v>5325549</v>
      </c>
      <c r="I36" s="17">
        <f t="shared" ref="I36:J36" si="43">IF(G36="","",IFERROR(G36/C36,""))</f>
        <v>0.5259</v>
      </c>
      <c r="J36" s="17">
        <f t="shared" si="43"/>
        <v>0.6574751852</v>
      </c>
      <c r="K36" s="15">
        <f t="shared" si="7"/>
        <v>-2774451</v>
      </c>
      <c r="L36" s="20" t="str">
        <f t="shared" si="8"/>
        <v>▲ 遅れ</v>
      </c>
      <c r="M36" s="22">
        <v>6.0</v>
      </c>
      <c r="N36" s="22">
        <v>6.0</v>
      </c>
      <c r="O36" s="22">
        <v>28.0</v>
      </c>
      <c r="P36" s="22">
        <v>12.0</v>
      </c>
      <c r="Q36" s="22">
        <v>26.0</v>
      </c>
      <c r="R36" s="17">
        <f t="shared" si="9"/>
        <v>0.2142857143</v>
      </c>
      <c r="S36" s="15">
        <f t="shared" si="10"/>
        <v>26295</v>
      </c>
      <c r="T36" s="24">
        <f t="shared" si="11"/>
        <v>1</v>
      </c>
      <c r="U36" s="17">
        <f t="shared" si="12"/>
        <v>0.4285714286</v>
      </c>
      <c r="V36" s="22"/>
      <c r="W36" s="22">
        <v>44073.0</v>
      </c>
      <c r="X36" s="18">
        <v>0.0</v>
      </c>
      <c r="Y36" s="26"/>
    </row>
    <row r="37" ht="15.75" customHeight="1">
      <c r="A37" s="32">
        <v>46142.0</v>
      </c>
      <c r="B37" s="21" t="str">
        <f t="shared" si="2"/>
        <v>木</v>
      </c>
      <c r="C37" s="18">
        <v>250000.0</v>
      </c>
      <c r="D37" s="23">
        <f t="shared" si="3"/>
        <v>8350000</v>
      </c>
      <c r="E37" s="18">
        <v>17600.0</v>
      </c>
      <c r="F37" s="18">
        <v>70010.0</v>
      </c>
      <c r="G37" s="23">
        <f t="shared" si="4"/>
        <v>87610</v>
      </c>
      <c r="H37" s="23">
        <f t="shared" si="5"/>
        <v>5413159</v>
      </c>
      <c r="I37" s="25">
        <f t="shared" ref="I37:J37" si="44">IF(G37="","",IFERROR(G37/C37,""))</f>
        <v>0.35044</v>
      </c>
      <c r="J37" s="25">
        <f t="shared" si="44"/>
        <v>0.648282515</v>
      </c>
      <c r="K37" s="23">
        <f t="shared" si="7"/>
        <v>-2936841</v>
      </c>
      <c r="L37" s="33" t="str">
        <f t="shared" si="8"/>
        <v>▲ 遅れ</v>
      </c>
      <c r="M37" s="22">
        <v>4.0</v>
      </c>
      <c r="N37" s="22">
        <v>4.0</v>
      </c>
      <c r="O37" s="22">
        <v>18.0</v>
      </c>
      <c r="P37" s="22">
        <v>6.0</v>
      </c>
      <c r="Q37" s="22">
        <v>10.0</v>
      </c>
      <c r="R37" s="25">
        <f t="shared" si="9"/>
        <v>0.2222222222</v>
      </c>
      <c r="S37" s="23">
        <f t="shared" si="10"/>
        <v>21902.5</v>
      </c>
      <c r="T37" s="34">
        <f t="shared" si="11"/>
        <v>1</v>
      </c>
      <c r="U37" s="25">
        <f t="shared" si="12"/>
        <v>0.3333333333</v>
      </c>
      <c r="V37" s="22"/>
      <c r="W37" s="22">
        <v>44068.0</v>
      </c>
      <c r="X37" s="18">
        <v>0.0</v>
      </c>
      <c r="Y37" s="44" t="s">
        <v>99</v>
      </c>
    </row>
    <row r="38" ht="15.75" customHeight="1">
      <c r="A38" s="45" t="s">
        <v>92</v>
      </c>
      <c r="B38" s="36"/>
      <c r="C38" s="37">
        <f>SUM(C8:C37)</f>
        <v>8350000</v>
      </c>
      <c r="D38" s="37">
        <f>C38</f>
        <v>8350000</v>
      </c>
      <c r="E38" s="37">
        <f t="shared" ref="E38:G38" si="45">SUM(E8:E37)</f>
        <v>999140</v>
      </c>
      <c r="F38" s="37">
        <f t="shared" si="45"/>
        <v>4414019</v>
      </c>
      <c r="G38" s="37">
        <f t="shared" si="45"/>
        <v>5413159</v>
      </c>
      <c r="H38" s="37">
        <f>G38</f>
        <v>5413159</v>
      </c>
      <c r="I38" s="39">
        <f>IFERROR(G38/C38,"")</f>
        <v>0.648282515</v>
      </c>
      <c r="J38" s="39">
        <f>IFERROR(G38/C38,"")</f>
        <v>0.648282515</v>
      </c>
      <c r="K38" s="37">
        <f>G38-C38</f>
        <v>-2936841</v>
      </c>
      <c r="L38" s="46"/>
      <c r="M38" s="41">
        <f t="shared" ref="M38:Q38" si="46">SUM(M8:M37)</f>
        <v>230</v>
      </c>
      <c r="N38" s="41">
        <f t="shared" si="46"/>
        <v>246</v>
      </c>
      <c r="O38" s="41">
        <f t="shared" si="46"/>
        <v>830</v>
      </c>
      <c r="P38" s="41">
        <f t="shared" si="46"/>
        <v>352</v>
      </c>
      <c r="Q38" s="41">
        <f t="shared" si="46"/>
        <v>331</v>
      </c>
      <c r="R38" s="39">
        <f t="shared" si="9"/>
        <v>0.2771084337</v>
      </c>
      <c r="S38" s="37">
        <f t="shared" si="10"/>
        <v>23535.47391</v>
      </c>
      <c r="T38" s="47">
        <f t="shared" si="11"/>
        <v>1.069565217</v>
      </c>
      <c r="U38" s="39">
        <f t="shared" si="12"/>
        <v>0.4240963855</v>
      </c>
      <c r="V38" s="41">
        <f>SUM(V8:V37)</f>
        <v>0</v>
      </c>
      <c r="W38" s="41">
        <f>IFERROR(LOOKUP(9.99E+307,W8:W37),"")</f>
        <v>44068</v>
      </c>
      <c r="X38" s="37">
        <f>SUM(X8:X37)</f>
        <v>0</v>
      </c>
      <c r="Y38" s="48" t="s">
        <v>93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7">
    <cfRule type="expression" dxfId="0" priority="1">
      <formula>AND($G8&lt;&gt;"",$K8&gt;=0)</formula>
    </cfRule>
  </conditionalFormatting>
  <conditionalFormatting sqref="K8:K37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6</v>
      </c>
      <c r="H3" s="6"/>
      <c r="I3" s="5" t="s">
        <v>7</v>
      </c>
      <c r="J3" s="6"/>
      <c r="K3" s="5" t="s">
        <v>8</v>
      </c>
      <c r="L3" s="6"/>
    </row>
    <row r="4">
      <c r="A4" s="7">
        <f>IF('設定'!$B$9="",SUM(C8:C38),'設定'!$B$9)</f>
        <v>6734913</v>
      </c>
      <c r="B4" s="6"/>
      <c r="C4" s="8">
        <f>SUM(G8:G38)</f>
        <v>6754710</v>
      </c>
      <c r="D4" s="6"/>
      <c r="E4" s="9">
        <f>IFERROR(C4/A4,0)</f>
        <v>1.002939459</v>
      </c>
      <c r="F4" s="6"/>
      <c r="G4" s="10">
        <f>COUNTIF(G8:G38,"&gt;0")</f>
        <v>31</v>
      </c>
      <c r="H4" s="6"/>
      <c r="I4" s="8">
        <f>A4-C4</f>
        <v>-19797</v>
      </c>
      <c r="J4" s="6"/>
      <c r="K4" s="8">
        <f>IF((31-G4)&gt;0,(A4-C4)/(31-G4),0)</f>
        <v>0</v>
      </c>
      <c r="L4" s="6"/>
    </row>
    <row r="5">
      <c r="A5" s="5" t="s">
        <v>16</v>
      </c>
      <c r="B5" s="6"/>
      <c r="C5" s="5" t="s">
        <v>17</v>
      </c>
      <c r="D5" s="6"/>
      <c r="E5" s="5" t="s">
        <v>18</v>
      </c>
      <c r="F5" s="6"/>
      <c r="G5" s="5" t="s">
        <v>19</v>
      </c>
      <c r="H5" s="6"/>
      <c r="I5" s="5" t="s">
        <v>20</v>
      </c>
      <c r="J5" s="6"/>
      <c r="K5" s="5" t="s">
        <v>21</v>
      </c>
      <c r="L5" s="6"/>
    </row>
    <row r="6">
      <c r="A6" s="8">
        <f>SUM(C8:C38)</f>
        <v>9100000</v>
      </c>
      <c r="B6" s="6"/>
      <c r="C6" s="8">
        <f>IFERROR(C4/G4*31,0)</f>
        <v>6754710</v>
      </c>
      <c r="D6" s="6"/>
      <c r="E6" s="9">
        <f>IFERROR(M39/O39,0)</f>
        <v>0.2968580715</v>
      </c>
      <c r="F6" s="6"/>
      <c r="G6" s="8">
        <f>IFERROR(G39/M39,0)</f>
        <v>24652.22628</v>
      </c>
      <c r="H6" s="6"/>
      <c r="I6" s="12">
        <f>IFERROR(N39/M39,0)</f>
        <v>1.120437956</v>
      </c>
      <c r="J6" s="6"/>
      <c r="K6" s="9">
        <f>IFERROR(P39/O39,0)</f>
        <v>0.4344528711</v>
      </c>
      <c r="L6" s="6"/>
    </row>
    <row r="7" ht="30.0" customHeight="1">
      <c r="A7" s="11" t="s">
        <v>32</v>
      </c>
      <c r="B7" s="11" t="s">
        <v>33</v>
      </c>
      <c r="C7" s="11" t="s">
        <v>34</v>
      </c>
      <c r="D7" s="11" t="s">
        <v>28</v>
      </c>
      <c r="E7" s="11" t="s">
        <v>35</v>
      </c>
      <c r="F7" s="11" t="s">
        <v>36</v>
      </c>
      <c r="G7" s="11" t="s">
        <v>37</v>
      </c>
      <c r="H7" s="11" t="s">
        <v>29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26</v>
      </c>
      <c r="N7" s="11" t="s">
        <v>42</v>
      </c>
      <c r="O7" s="11" t="s">
        <v>27</v>
      </c>
      <c r="P7" s="11" t="s">
        <v>43</v>
      </c>
      <c r="Q7" s="11" t="s">
        <v>44</v>
      </c>
      <c r="R7" s="11" t="s">
        <v>18</v>
      </c>
      <c r="S7" s="11" t="s">
        <v>19</v>
      </c>
      <c r="T7" s="11" t="s">
        <v>20</v>
      </c>
      <c r="U7" s="11" t="s">
        <v>21</v>
      </c>
      <c r="V7" s="11" t="s">
        <v>45</v>
      </c>
      <c r="W7" s="11" t="s">
        <v>46</v>
      </c>
      <c r="X7" s="11" t="s">
        <v>47</v>
      </c>
      <c r="Y7" s="11" t="s">
        <v>48</v>
      </c>
      <c r="AA7" s="14" t="s">
        <v>49</v>
      </c>
      <c r="AB7" s="14" t="s">
        <v>50</v>
      </c>
      <c r="AC7" s="14" t="s">
        <v>51</v>
      </c>
      <c r="AD7" s="14" t="s">
        <v>18</v>
      </c>
      <c r="AE7" s="14" t="s">
        <v>19</v>
      </c>
    </row>
    <row r="8">
      <c r="A8" s="16">
        <v>46143.0</v>
      </c>
      <c r="B8" s="13" t="str">
        <f t="shared" ref="B8:B38" si="2">MID("日月火水木金土",WEEKDAY(A8),1)</f>
        <v>金</v>
      </c>
      <c r="C8" s="18">
        <v>250000.0</v>
      </c>
      <c r="D8" s="15">
        <f t="shared" ref="D8:D38" si="3">SUM($C$8:C8)</f>
        <v>250000</v>
      </c>
      <c r="E8" s="18">
        <v>23810.0</v>
      </c>
      <c r="F8" s="18">
        <v>107240.0</v>
      </c>
      <c r="G8" s="15">
        <f t="shared" ref="G8:G38" si="4">IF(COUNT(E8:F8)=0,"",SUM(E8:F8))</f>
        <v>131050</v>
      </c>
      <c r="H8" s="15">
        <f t="shared" ref="H8:H38" si="5">IF(G8="","",SUM($G$8:G8))</f>
        <v>131050</v>
      </c>
      <c r="I8" s="17">
        <f t="shared" ref="I8:J8" si="1">IF(G8="","",IFERROR(G8/C8,""))</f>
        <v>0.5242</v>
      </c>
      <c r="J8" s="17">
        <f t="shared" si="1"/>
        <v>0.5242</v>
      </c>
      <c r="K8" s="15">
        <f t="shared" ref="K8:K38" si="7">IF(H8="","",IF(D8=0,"",H8-D8))</f>
        <v>-118950</v>
      </c>
      <c r="L8" s="20" t="str">
        <f t="shared" ref="L8:L38" si="8">IF(G8="","—",IF(D8=0,"予算未入力",IF(H8&gt;=D8,"◎ ペース内","▲ 遅れ")))</f>
        <v>▲ 遅れ</v>
      </c>
      <c r="M8" s="22">
        <v>6.0</v>
      </c>
      <c r="N8" s="22">
        <v>6.0</v>
      </c>
      <c r="O8" s="22">
        <v>26.0</v>
      </c>
      <c r="P8" s="22">
        <v>11.0</v>
      </c>
      <c r="Q8" s="22">
        <v>24.0</v>
      </c>
      <c r="R8" s="17">
        <f t="shared" ref="R8:R39" si="9">IFERROR(M8/O8,"")</f>
        <v>0.2307692308</v>
      </c>
      <c r="S8" s="15">
        <f t="shared" ref="S8:S39" si="10">IFERROR(G8/M8,"")</f>
        <v>21841.66667</v>
      </c>
      <c r="T8" s="24">
        <f t="shared" ref="T8:T39" si="11">IFERROR(N8/M8,"")</f>
        <v>1</v>
      </c>
      <c r="U8" s="17">
        <f t="shared" ref="U8:U39" si="12">IFERROR(P8/O8,"")</f>
        <v>0.4230769231</v>
      </c>
      <c r="V8" s="22"/>
      <c r="W8" s="22">
        <v>44050.0</v>
      </c>
      <c r="X8" s="18">
        <v>0.0</v>
      </c>
      <c r="Y8" s="26"/>
      <c r="AA8" s="27" t="s">
        <v>22</v>
      </c>
      <c r="AB8" s="29">
        <f t="shared" ref="AB8:AB14" si="13">IFERROR(AVERAGEIFS($G$8:$G$38,$B$8:$B$38,AA8,$G$8:$G$38,"&gt;0"),0)</f>
        <v>216004.75</v>
      </c>
      <c r="AC8" s="30">
        <f t="shared" ref="AC8:AC14" si="14">COUNTIFS($B$8:$B$38,AA8,$G$8:$G$38,"&gt;0")</f>
        <v>4</v>
      </c>
      <c r="AD8" s="31">
        <f t="shared" ref="AD8:AD14" si="15">IFERROR(SUMIF($B$8:$B$38,AA8,$M$8:$M$38)/SUMIF($B$8:$B$38,AA8,$O$8:$O$38),0)</f>
        <v>0.2834645669</v>
      </c>
      <c r="AE8" s="29">
        <f t="shared" ref="AE8:AE14" si="16">IFERROR(SUMIF($B$8:$B$38,AA8,$G$8:$G$38)/SUMIF($B$8:$B$38,AA8,$M$8:$M$38),0)</f>
        <v>24000.52778</v>
      </c>
    </row>
    <row r="9">
      <c r="A9" s="32">
        <v>46144.0</v>
      </c>
      <c r="B9" s="21" t="str">
        <f t="shared" si="2"/>
        <v>土</v>
      </c>
      <c r="C9" s="18">
        <v>400000.0</v>
      </c>
      <c r="D9" s="23">
        <f t="shared" si="3"/>
        <v>650000</v>
      </c>
      <c r="E9" s="18">
        <v>64120.0</v>
      </c>
      <c r="F9" s="18">
        <v>238438.0</v>
      </c>
      <c r="G9" s="23">
        <f t="shared" si="4"/>
        <v>302558</v>
      </c>
      <c r="H9" s="23">
        <f t="shared" si="5"/>
        <v>433608</v>
      </c>
      <c r="I9" s="25">
        <f t="shared" ref="I9:J9" si="6">IF(G9="","",IFERROR(G9/C9,""))</f>
        <v>0.756395</v>
      </c>
      <c r="J9" s="25">
        <f t="shared" si="6"/>
        <v>0.6670892308</v>
      </c>
      <c r="K9" s="23">
        <f t="shared" si="7"/>
        <v>-216392</v>
      </c>
      <c r="L9" s="33" t="str">
        <f t="shared" si="8"/>
        <v>▲ 遅れ</v>
      </c>
      <c r="M9" s="22">
        <v>15.0</v>
      </c>
      <c r="N9" s="22">
        <v>15.0</v>
      </c>
      <c r="O9" s="22">
        <v>43.0</v>
      </c>
      <c r="P9" s="22">
        <v>18.0</v>
      </c>
      <c r="Q9" s="22">
        <v>29.0</v>
      </c>
      <c r="R9" s="25">
        <f t="shared" si="9"/>
        <v>0.3488372093</v>
      </c>
      <c r="S9" s="23">
        <f t="shared" si="10"/>
        <v>20170.53333</v>
      </c>
      <c r="T9" s="34">
        <f t="shared" si="11"/>
        <v>1</v>
      </c>
      <c r="U9" s="25">
        <f t="shared" si="12"/>
        <v>0.4186046512</v>
      </c>
      <c r="V9" s="22"/>
      <c r="W9" s="22">
        <v>44044.0</v>
      </c>
      <c r="X9" s="18">
        <v>0.0</v>
      </c>
      <c r="Y9" s="26"/>
      <c r="AA9" s="27" t="s">
        <v>59</v>
      </c>
      <c r="AB9" s="29">
        <f t="shared" si="13"/>
        <v>141594.75</v>
      </c>
      <c r="AC9" s="30">
        <f t="shared" si="14"/>
        <v>4</v>
      </c>
      <c r="AD9" s="31">
        <f t="shared" si="15"/>
        <v>0.2264150943</v>
      </c>
      <c r="AE9" s="29">
        <f t="shared" si="16"/>
        <v>23599.125</v>
      </c>
    </row>
    <row r="10">
      <c r="A10" s="16">
        <v>46145.0</v>
      </c>
      <c r="B10" s="13" t="str">
        <f t="shared" si="2"/>
        <v>日</v>
      </c>
      <c r="C10" s="18">
        <v>400000.0</v>
      </c>
      <c r="D10" s="15">
        <f t="shared" si="3"/>
        <v>1050000</v>
      </c>
      <c r="E10" s="18">
        <v>76830.0</v>
      </c>
      <c r="F10" s="18">
        <v>349890.0</v>
      </c>
      <c r="G10" s="15">
        <f t="shared" si="4"/>
        <v>426720</v>
      </c>
      <c r="H10" s="15">
        <f t="shared" si="5"/>
        <v>860328</v>
      </c>
      <c r="I10" s="17">
        <f t="shared" ref="I10:J10" si="17">IF(G10="","",IFERROR(G10/C10,""))</f>
        <v>1.0668</v>
      </c>
      <c r="J10" s="17">
        <f t="shared" si="17"/>
        <v>0.81936</v>
      </c>
      <c r="K10" s="15">
        <f t="shared" si="7"/>
        <v>-189672</v>
      </c>
      <c r="L10" s="20" t="str">
        <f t="shared" si="8"/>
        <v>▲ 遅れ</v>
      </c>
      <c r="M10" s="22">
        <v>15.0</v>
      </c>
      <c r="N10" s="22">
        <v>20.0</v>
      </c>
      <c r="O10" s="22">
        <v>36.0</v>
      </c>
      <c r="P10" s="22">
        <v>18.0</v>
      </c>
      <c r="Q10" s="22">
        <v>34.0</v>
      </c>
      <c r="R10" s="17">
        <f t="shared" si="9"/>
        <v>0.4166666667</v>
      </c>
      <c r="S10" s="15">
        <f t="shared" si="10"/>
        <v>28448</v>
      </c>
      <c r="T10" s="24">
        <f t="shared" si="11"/>
        <v>1.333333333</v>
      </c>
      <c r="U10" s="17">
        <f t="shared" si="12"/>
        <v>0.5</v>
      </c>
      <c r="V10" s="22"/>
      <c r="W10" s="22">
        <v>44038.0</v>
      </c>
      <c r="X10" s="18">
        <v>0.0</v>
      </c>
      <c r="Y10" s="26"/>
      <c r="AA10" s="27" t="s">
        <v>61</v>
      </c>
      <c r="AB10" s="29">
        <f t="shared" si="13"/>
        <v>141499.75</v>
      </c>
      <c r="AC10" s="30">
        <f t="shared" si="14"/>
        <v>4</v>
      </c>
      <c r="AD10" s="31">
        <f t="shared" si="15"/>
        <v>0.2095238095</v>
      </c>
      <c r="AE10" s="29">
        <f t="shared" si="16"/>
        <v>25727.22727</v>
      </c>
    </row>
    <row r="11">
      <c r="A11" s="32">
        <v>46146.0</v>
      </c>
      <c r="B11" s="21" t="str">
        <f t="shared" si="2"/>
        <v>月</v>
      </c>
      <c r="C11" s="18">
        <v>400000.0</v>
      </c>
      <c r="D11" s="23">
        <f t="shared" si="3"/>
        <v>1450000</v>
      </c>
      <c r="E11" s="18">
        <v>144750.0</v>
      </c>
      <c r="F11" s="18">
        <v>189280.0</v>
      </c>
      <c r="G11" s="23">
        <f t="shared" si="4"/>
        <v>334030</v>
      </c>
      <c r="H11" s="23">
        <f t="shared" si="5"/>
        <v>1194358</v>
      </c>
      <c r="I11" s="25">
        <f t="shared" ref="I11:J11" si="18">IF(G11="","",IFERROR(G11/C11,""))</f>
        <v>0.835075</v>
      </c>
      <c r="J11" s="25">
        <f t="shared" si="18"/>
        <v>0.8236951724</v>
      </c>
      <c r="K11" s="23">
        <f t="shared" si="7"/>
        <v>-255642</v>
      </c>
      <c r="L11" s="33" t="str">
        <f t="shared" si="8"/>
        <v>▲ 遅れ</v>
      </c>
      <c r="M11" s="22">
        <v>13.0</v>
      </c>
      <c r="N11" s="22">
        <v>14.0</v>
      </c>
      <c r="O11" s="22">
        <v>48.0</v>
      </c>
      <c r="P11" s="22">
        <v>22.0</v>
      </c>
      <c r="Q11" s="22">
        <v>38.0</v>
      </c>
      <c r="R11" s="25">
        <f t="shared" si="9"/>
        <v>0.2708333333</v>
      </c>
      <c r="S11" s="23">
        <f t="shared" si="10"/>
        <v>25694.61538</v>
      </c>
      <c r="T11" s="34">
        <f t="shared" si="11"/>
        <v>1.076923077</v>
      </c>
      <c r="U11" s="25">
        <f t="shared" si="12"/>
        <v>0.4583333333</v>
      </c>
      <c r="V11" s="22"/>
      <c r="W11" s="22">
        <v>44029.0</v>
      </c>
      <c r="X11" s="18">
        <v>0.0</v>
      </c>
      <c r="Y11" s="26"/>
      <c r="AA11" s="27" t="s">
        <v>63</v>
      </c>
      <c r="AB11" s="29">
        <f t="shared" si="13"/>
        <v>169764.5</v>
      </c>
      <c r="AC11" s="30">
        <f t="shared" si="14"/>
        <v>4</v>
      </c>
      <c r="AD11" s="31">
        <f t="shared" si="15"/>
        <v>0.3146067416</v>
      </c>
      <c r="AE11" s="29">
        <f t="shared" si="16"/>
        <v>24252.07143</v>
      </c>
    </row>
    <row r="12">
      <c r="A12" s="16">
        <v>46147.0</v>
      </c>
      <c r="B12" s="13" t="str">
        <f t="shared" si="2"/>
        <v>火</v>
      </c>
      <c r="C12" s="18">
        <v>400000.0</v>
      </c>
      <c r="D12" s="15">
        <f t="shared" si="3"/>
        <v>1850000</v>
      </c>
      <c r="E12" s="18">
        <v>0.0</v>
      </c>
      <c r="F12" s="18">
        <v>204289.0</v>
      </c>
      <c r="G12" s="15">
        <f t="shared" si="4"/>
        <v>204289</v>
      </c>
      <c r="H12" s="15">
        <f t="shared" si="5"/>
        <v>1398647</v>
      </c>
      <c r="I12" s="17">
        <f t="shared" ref="I12:J12" si="19">IF(G12="","",IFERROR(G12/C12,""))</f>
        <v>0.5107225</v>
      </c>
      <c r="J12" s="17">
        <f t="shared" si="19"/>
        <v>0.7560254054</v>
      </c>
      <c r="K12" s="15">
        <f t="shared" si="7"/>
        <v>-451353</v>
      </c>
      <c r="L12" s="20" t="str">
        <f t="shared" si="8"/>
        <v>▲ 遅れ</v>
      </c>
      <c r="M12" s="22">
        <v>8.0</v>
      </c>
      <c r="N12" s="22">
        <v>9.0</v>
      </c>
      <c r="O12" s="22">
        <v>38.0</v>
      </c>
      <c r="P12" s="22">
        <v>14.0</v>
      </c>
      <c r="Q12" s="22">
        <v>29.0</v>
      </c>
      <c r="R12" s="17">
        <f t="shared" si="9"/>
        <v>0.2105263158</v>
      </c>
      <c r="S12" s="15">
        <f t="shared" si="10"/>
        <v>25536.125</v>
      </c>
      <c r="T12" s="24">
        <f t="shared" si="11"/>
        <v>1.125</v>
      </c>
      <c r="U12" s="17">
        <f t="shared" si="12"/>
        <v>0.3684210526</v>
      </c>
      <c r="V12" s="22"/>
      <c r="W12" s="22">
        <v>44009.0</v>
      </c>
      <c r="X12" s="18">
        <v>0.0</v>
      </c>
      <c r="Y12" s="26"/>
      <c r="AA12" s="27" t="s">
        <v>65</v>
      </c>
      <c r="AB12" s="29">
        <f t="shared" si="13"/>
        <v>221180</v>
      </c>
      <c r="AC12" s="30">
        <f t="shared" si="14"/>
        <v>5</v>
      </c>
      <c r="AD12" s="31">
        <f t="shared" si="15"/>
        <v>0.3571428571</v>
      </c>
      <c r="AE12" s="29">
        <f t="shared" si="16"/>
        <v>24575.55556</v>
      </c>
    </row>
    <row r="13">
      <c r="A13" s="32">
        <v>46148.0</v>
      </c>
      <c r="B13" s="21" t="str">
        <f t="shared" si="2"/>
        <v>水</v>
      </c>
      <c r="C13" s="18">
        <v>400000.0</v>
      </c>
      <c r="D13" s="23">
        <f t="shared" si="3"/>
        <v>2250000</v>
      </c>
      <c r="E13" s="18">
        <v>65209.0</v>
      </c>
      <c r="F13" s="18">
        <v>109550.0</v>
      </c>
      <c r="G13" s="23">
        <f t="shared" si="4"/>
        <v>174759</v>
      </c>
      <c r="H13" s="23">
        <f t="shared" si="5"/>
        <v>1573406</v>
      </c>
      <c r="I13" s="25">
        <f t="shared" ref="I13:J13" si="20">IF(G13="","",IFERROR(G13/C13,""))</f>
        <v>0.4368975</v>
      </c>
      <c r="J13" s="25">
        <f t="shared" si="20"/>
        <v>0.6992915556</v>
      </c>
      <c r="K13" s="23">
        <f t="shared" si="7"/>
        <v>-676594</v>
      </c>
      <c r="L13" s="33" t="str">
        <f t="shared" si="8"/>
        <v>▲ 遅れ</v>
      </c>
      <c r="M13" s="22">
        <v>8.0</v>
      </c>
      <c r="N13" s="22">
        <v>8.0</v>
      </c>
      <c r="O13" s="22">
        <v>32.0</v>
      </c>
      <c r="P13" s="22">
        <v>13.0</v>
      </c>
      <c r="Q13" s="22">
        <v>20.0</v>
      </c>
      <c r="R13" s="25">
        <f t="shared" si="9"/>
        <v>0.25</v>
      </c>
      <c r="S13" s="23">
        <f t="shared" si="10"/>
        <v>21844.875</v>
      </c>
      <c r="T13" s="34">
        <f t="shared" si="11"/>
        <v>1</v>
      </c>
      <c r="U13" s="25">
        <f t="shared" si="12"/>
        <v>0.40625</v>
      </c>
      <c r="V13" s="22"/>
      <c r="W13" s="22">
        <v>43989.0</v>
      </c>
      <c r="X13" s="18">
        <v>0.0</v>
      </c>
      <c r="Y13" s="26"/>
      <c r="AA13" s="27" t="s">
        <v>67</v>
      </c>
      <c r="AB13" s="29">
        <f t="shared" si="13"/>
        <v>331679</v>
      </c>
      <c r="AC13" s="30">
        <f t="shared" si="14"/>
        <v>5</v>
      </c>
      <c r="AD13" s="31">
        <f t="shared" si="15"/>
        <v>0.3399014778</v>
      </c>
      <c r="AE13" s="29">
        <f t="shared" si="16"/>
        <v>24034.71014</v>
      </c>
    </row>
    <row r="14">
      <c r="A14" s="16">
        <v>46149.0</v>
      </c>
      <c r="B14" s="13" t="str">
        <f t="shared" si="2"/>
        <v>木</v>
      </c>
      <c r="C14" s="18">
        <v>250000.0</v>
      </c>
      <c r="D14" s="15">
        <f t="shared" si="3"/>
        <v>2500000</v>
      </c>
      <c r="E14" s="18">
        <v>26400.0</v>
      </c>
      <c r="F14" s="18">
        <v>138140.0</v>
      </c>
      <c r="G14" s="15">
        <f t="shared" si="4"/>
        <v>164540</v>
      </c>
      <c r="H14" s="15">
        <f t="shared" si="5"/>
        <v>1737946</v>
      </c>
      <c r="I14" s="17">
        <f t="shared" ref="I14:J14" si="21">IF(G14="","",IFERROR(G14/C14,""))</f>
        <v>0.65816</v>
      </c>
      <c r="J14" s="17">
        <f t="shared" si="21"/>
        <v>0.6951784</v>
      </c>
      <c r="K14" s="15">
        <f t="shared" si="7"/>
        <v>-762054</v>
      </c>
      <c r="L14" s="20" t="str">
        <f t="shared" si="8"/>
        <v>▲ 遅れ</v>
      </c>
      <c r="M14" s="22">
        <v>6.0</v>
      </c>
      <c r="N14" s="22">
        <v>8.0</v>
      </c>
      <c r="O14" s="22">
        <v>27.0</v>
      </c>
      <c r="P14" s="22">
        <v>7.0</v>
      </c>
      <c r="Q14" s="22">
        <v>16.0</v>
      </c>
      <c r="R14" s="17">
        <f t="shared" si="9"/>
        <v>0.2222222222</v>
      </c>
      <c r="S14" s="15">
        <f t="shared" si="10"/>
        <v>27423.33333</v>
      </c>
      <c r="T14" s="24">
        <f t="shared" si="11"/>
        <v>1.333333333</v>
      </c>
      <c r="U14" s="17">
        <f t="shared" si="12"/>
        <v>0.2592592593</v>
      </c>
      <c r="V14" s="22"/>
      <c r="W14" s="22">
        <v>43970.0</v>
      </c>
      <c r="X14" s="18">
        <v>0.0</v>
      </c>
      <c r="Y14" s="26"/>
      <c r="AA14" s="27" t="s">
        <v>69</v>
      </c>
      <c r="AB14" s="29">
        <f t="shared" si="13"/>
        <v>262992</v>
      </c>
      <c r="AC14" s="30">
        <f t="shared" si="14"/>
        <v>5</v>
      </c>
      <c r="AD14" s="31">
        <f t="shared" si="15"/>
        <v>0.2994011976</v>
      </c>
      <c r="AE14" s="29">
        <f t="shared" si="16"/>
        <v>26299.2</v>
      </c>
    </row>
    <row r="15">
      <c r="A15" s="32">
        <v>46150.0</v>
      </c>
      <c r="B15" s="21" t="str">
        <f t="shared" si="2"/>
        <v>金</v>
      </c>
      <c r="C15" s="18">
        <v>250000.0</v>
      </c>
      <c r="D15" s="23">
        <f t="shared" si="3"/>
        <v>2750000</v>
      </c>
      <c r="E15" s="18">
        <v>24310.0</v>
      </c>
      <c r="F15" s="18">
        <v>140020.0</v>
      </c>
      <c r="G15" s="23">
        <f t="shared" si="4"/>
        <v>164330</v>
      </c>
      <c r="H15" s="23">
        <f t="shared" si="5"/>
        <v>1902276</v>
      </c>
      <c r="I15" s="25">
        <f t="shared" ref="I15:J15" si="22">IF(G15="","",IFERROR(G15/C15,""))</f>
        <v>0.65732</v>
      </c>
      <c r="J15" s="25">
        <f t="shared" si="22"/>
        <v>0.6917367273</v>
      </c>
      <c r="K15" s="23">
        <f t="shared" si="7"/>
        <v>-847724</v>
      </c>
      <c r="L15" s="33" t="str">
        <f t="shared" si="8"/>
        <v>▲ 遅れ</v>
      </c>
      <c r="M15" s="22">
        <v>7.0</v>
      </c>
      <c r="N15" s="22">
        <v>7.0</v>
      </c>
      <c r="O15" s="22">
        <v>21.0</v>
      </c>
      <c r="P15" s="22">
        <v>11.0</v>
      </c>
      <c r="Q15" s="22">
        <v>18.0</v>
      </c>
      <c r="R15" s="25">
        <f t="shared" si="9"/>
        <v>0.3333333333</v>
      </c>
      <c r="S15" s="23">
        <f t="shared" si="10"/>
        <v>23475.71429</v>
      </c>
      <c r="T15" s="34">
        <f t="shared" si="11"/>
        <v>1</v>
      </c>
      <c r="U15" s="25">
        <f t="shared" si="12"/>
        <v>0.5238095238</v>
      </c>
      <c r="V15" s="22"/>
      <c r="W15" s="22">
        <v>43956.0</v>
      </c>
      <c r="X15" s="18">
        <v>0.0</v>
      </c>
      <c r="Y15" s="26"/>
    </row>
    <row r="16">
      <c r="A16" s="16">
        <v>46151.0</v>
      </c>
      <c r="B16" s="13" t="str">
        <f t="shared" si="2"/>
        <v>土</v>
      </c>
      <c r="C16" s="18">
        <v>400000.0</v>
      </c>
      <c r="D16" s="15">
        <f t="shared" si="3"/>
        <v>3150000</v>
      </c>
      <c r="E16" s="18">
        <v>23810.0</v>
      </c>
      <c r="F16" s="18">
        <v>201450.0</v>
      </c>
      <c r="G16" s="15">
        <f t="shared" si="4"/>
        <v>225260</v>
      </c>
      <c r="H16" s="15">
        <f t="shared" si="5"/>
        <v>2127536</v>
      </c>
      <c r="I16" s="17">
        <f t="shared" ref="I16:J16" si="23">IF(G16="","",IFERROR(G16/C16,""))</f>
        <v>0.56315</v>
      </c>
      <c r="J16" s="17">
        <f t="shared" si="23"/>
        <v>0.675408254</v>
      </c>
      <c r="K16" s="15">
        <f t="shared" si="7"/>
        <v>-1022464</v>
      </c>
      <c r="L16" s="20" t="str">
        <f t="shared" si="8"/>
        <v>▲ 遅れ</v>
      </c>
      <c r="M16" s="22">
        <v>7.0</v>
      </c>
      <c r="N16" s="22">
        <v>9.0</v>
      </c>
      <c r="O16" s="22">
        <v>46.0</v>
      </c>
      <c r="P16" s="22">
        <v>20.0</v>
      </c>
      <c r="Q16" s="22">
        <v>14.0</v>
      </c>
      <c r="R16" s="17">
        <f t="shared" si="9"/>
        <v>0.152173913</v>
      </c>
      <c r="S16" s="15">
        <f t="shared" si="10"/>
        <v>32180</v>
      </c>
      <c r="T16" s="24">
        <f t="shared" si="11"/>
        <v>1.285714286</v>
      </c>
      <c r="U16" s="17">
        <f t="shared" si="12"/>
        <v>0.4347826087</v>
      </c>
      <c r="V16" s="22"/>
      <c r="W16" s="22">
        <v>43954.0</v>
      </c>
      <c r="X16" s="18">
        <v>0.0</v>
      </c>
      <c r="Y16" s="26"/>
      <c r="AA16" s="35" t="s">
        <v>71</v>
      </c>
    </row>
    <row r="17">
      <c r="A17" s="32">
        <v>46152.0</v>
      </c>
      <c r="B17" s="21" t="str">
        <f t="shared" si="2"/>
        <v>日</v>
      </c>
      <c r="C17" s="18">
        <v>400000.0</v>
      </c>
      <c r="D17" s="23">
        <f t="shared" si="3"/>
        <v>3550000</v>
      </c>
      <c r="E17" s="18">
        <v>0.0</v>
      </c>
      <c r="F17" s="18">
        <v>244400.0</v>
      </c>
      <c r="G17" s="23">
        <f t="shared" si="4"/>
        <v>244400</v>
      </c>
      <c r="H17" s="23">
        <f t="shared" si="5"/>
        <v>2371936</v>
      </c>
      <c r="I17" s="25">
        <f t="shared" ref="I17:J17" si="24">IF(G17="","",IFERROR(G17/C17,""))</f>
        <v>0.611</v>
      </c>
      <c r="J17" s="25">
        <f t="shared" si="24"/>
        <v>0.6681509859</v>
      </c>
      <c r="K17" s="23">
        <f t="shared" si="7"/>
        <v>-1178064</v>
      </c>
      <c r="L17" s="33" t="str">
        <f t="shared" si="8"/>
        <v>▲ 遅れ</v>
      </c>
      <c r="M17" s="22">
        <v>10.0</v>
      </c>
      <c r="N17" s="22">
        <v>11.0</v>
      </c>
      <c r="O17" s="22">
        <v>37.0</v>
      </c>
      <c r="P17" s="22">
        <v>13.0</v>
      </c>
      <c r="Q17" s="22">
        <v>24.0</v>
      </c>
      <c r="R17" s="25">
        <f t="shared" si="9"/>
        <v>0.2702702703</v>
      </c>
      <c r="S17" s="23">
        <f t="shared" si="10"/>
        <v>24440</v>
      </c>
      <c r="T17" s="34">
        <f t="shared" si="11"/>
        <v>1.1</v>
      </c>
      <c r="U17" s="25">
        <f t="shared" si="12"/>
        <v>0.3513513514</v>
      </c>
      <c r="V17" s="22"/>
      <c r="W17" s="22">
        <v>43943.0</v>
      </c>
      <c r="X17" s="18">
        <v>0.0</v>
      </c>
      <c r="Y17" s="26"/>
    </row>
    <row r="18">
      <c r="A18" s="16">
        <v>46153.0</v>
      </c>
      <c r="B18" s="13" t="str">
        <f t="shared" si="2"/>
        <v>月</v>
      </c>
      <c r="C18" s="18">
        <v>250000.0</v>
      </c>
      <c r="D18" s="15">
        <f t="shared" si="3"/>
        <v>3800000</v>
      </c>
      <c r="E18" s="18">
        <v>55820.0</v>
      </c>
      <c r="F18" s="18">
        <v>98109.0</v>
      </c>
      <c r="G18" s="15">
        <f t="shared" si="4"/>
        <v>153929</v>
      </c>
      <c r="H18" s="15">
        <f t="shared" si="5"/>
        <v>2525865</v>
      </c>
      <c r="I18" s="17">
        <f t="shared" ref="I18:J18" si="25">IF(G18="","",IFERROR(G18/C18,""))</f>
        <v>0.615716</v>
      </c>
      <c r="J18" s="17">
        <f t="shared" si="25"/>
        <v>0.6647013158</v>
      </c>
      <c r="K18" s="15">
        <f t="shared" si="7"/>
        <v>-1274135</v>
      </c>
      <c r="L18" s="20" t="str">
        <f t="shared" si="8"/>
        <v>▲ 遅れ</v>
      </c>
      <c r="M18" s="22">
        <v>7.0</v>
      </c>
      <c r="N18" s="22">
        <v>7.0</v>
      </c>
      <c r="O18" s="22">
        <v>25.0</v>
      </c>
      <c r="P18" s="22">
        <v>10.0</v>
      </c>
      <c r="Q18" s="22">
        <v>13.0</v>
      </c>
      <c r="R18" s="17">
        <f t="shared" si="9"/>
        <v>0.28</v>
      </c>
      <c r="S18" s="15">
        <f t="shared" si="10"/>
        <v>21989.85714</v>
      </c>
      <c r="T18" s="24">
        <f t="shared" si="11"/>
        <v>1</v>
      </c>
      <c r="U18" s="17">
        <f t="shared" si="12"/>
        <v>0.4</v>
      </c>
      <c r="V18" s="22"/>
      <c r="W18" s="22">
        <v>43952.0</v>
      </c>
      <c r="X18" s="18">
        <v>0.0</v>
      </c>
      <c r="Y18" s="26"/>
      <c r="AA18" s="38" t="s">
        <v>73</v>
      </c>
      <c r="AH18" s="35" t="s">
        <v>74</v>
      </c>
      <c r="AI18" s="40">
        <f>$A$8+MOD(2-WEEKDAY($A$8,2)+7,7)</f>
        <v>46147</v>
      </c>
    </row>
    <row r="19">
      <c r="A19" s="32">
        <v>46154.0</v>
      </c>
      <c r="B19" s="21" t="str">
        <f t="shared" si="2"/>
        <v>火</v>
      </c>
      <c r="C19" s="18">
        <v>250000.0</v>
      </c>
      <c r="D19" s="23">
        <f t="shared" si="3"/>
        <v>4050000</v>
      </c>
      <c r="E19" s="18">
        <v>0.0</v>
      </c>
      <c r="F19" s="18">
        <v>88710.0</v>
      </c>
      <c r="G19" s="23">
        <f t="shared" si="4"/>
        <v>88710</v>
      </c>
      <c r="H19" s="23">
        <f t="shared" si="5"/>
        <v>2614575</v>
      </c>
      <c r="I19" s="25">
        <f t="shared" ref="I19:J19" si="26">IF(G19="","",IFERROR(G19/C19,""))</f>
        <v>0.35484</v>
      </c>
      <c r="J19" s="25">
        <f t="shared" si="26"/>
        <v>0.6455740741</v>
      </c>
      <c r="K19" s="23">
        <f t="shared" si="7"/>
        <v>-1435425</v>
      </c>
      <c r="L19" s="33" t="str">
        <f t="shared" si="8"/>
        <v>▲ 遅れ</v>
      </c>
      <c r="M19" s="22">
        <v>4.0</v>
      </c>
      <c r="N19" s="22">
        <v>4.0</v>
      </c>
      <c r="O19" s="22">
        <v>18.0</v>
      </c>
      <c r="P19" s="22">
        <v>7.0</v>
      </c>
      <c r="Q19" s="22">
        <v>13.0</v>
      </c>
      <c r="R19" s="25">
        <f t="shared" si="9"/>
        <v>0.2222222222</v>
      </c>
      <c r="S19" s="23">
        <f t="shared" si="10"/>
        <v>22177.5</v>
      </c>
      <c r="T19" s="34">
        <f t="shared" si="11"/>
        <v>1</v>
      </c>
      <c r="U19" s="25">
        <f t="shared" si="12"/>
        <v>0.3888888889</v>
      </c>
      <c r="V19" s="22"/>
      <c r="W19" s="22">
        <v>43943.0</v>
      </c>
      <c r="X19" s="18">
        <v>0.0</v>
      </c>
      <c r="Y19" s="26"/>
      <c r="AA19" s="14" t="s">
        <v>76</v>
      </c>
      <c r="AB19" s="14" t="s">
        <v>77</v>
      </c>
      <c r="AC19" s="14" t="s">
        <v>78</v>
      </c>
      <c r="AD19" s="14" t="s">
        <v>18</v>
      </c>
      <c r="AE19" s="14" t="s">
        <v>19</v>
      </c>
      <c r="AF19" s="14" t="s">
        <v>20</v>
      </c>
      <c r="AG19" s="14" t="s">
        <v>21</v>
      </c>
    </row>
    <row r="20">
      <c r="A20" s="16">
        <v>46155.0</v>
      </c>
      <c r="B20" s="13" t="str">
        <f t="shared" si="2"/>
        <v>水</v>
      </c>
      <c r="C20" s="18">
        <v>250000.0</v>
      </c>
      <c r="D20" s="15">
        <f t="shared" si="3"/>
        <v>4300000</v>
      </c>
      <c r="E20" s="18">
        <v>0.0</v>
      </c>
      <c r="F20" s="18">
        <v>222620.0</v>
      </c>
      <c r="G20" s="15">
        <f t="shared" si="4"/>
        <v>222620</v>
      </c>
      <c r="H20" s="15">
        <f t="shared" si="5"/>
        <v>2837195</v>
      </c>
      <c r="I20" s="17">
        <f t="shared" ref="I20:J20" si="27">IF(G20="","",IFERROR(G20/C20,""))</f>
        <v>0.89048</v>
      </c>
      <c r="J20" s="17">
        <f t="shared" si="27"/>
        <v>0.6598127907</v>
      </c>
      <c r="K20" s="15">
        <f t="shared" si="7"/>
        <v>-1462805</v>
      </c>
      <c r="L20" s="20" t="str">
        <f t="shared" si="8"/>
        <v>▲ 遅れ</v>
      </c>
      <c r="M20" s="22">
        <v>8.0</v>
      </c>
      <c r="N20" s="22">
        <v>10.0</v>
      </c>
      <c r="O20" s="22">
        <v>21.0</v>
      </c>
      <c r="P20" s="22">
        <v>11.0</v>
      </c>
      <c r="Q20" s="22">
        <v>20.0</v>
      </c>
      <c r="R20" s="17">
        <f t="shared" si="9"/>
        <v>0.380952381</v>
      </c>
      <c r="S20" s="15">
        <f t="shared" si="10"/>
        <v>27827.5</v>
      </c>
      <c r="T20" s="24">
        <f t="shared" si="11"/>
        <v>1.25</v>
      </c>
      <c r="U20" s="17">
        <f t="shared" si="12"/>
        <v>0.5238095238</v>
      </c>
      <c r="V20" s="22"/>
      <c r="W20" s="22">
        <v>43928.0</v>
      </c>
      <c r="X20" s="18">
        <v>0.0</v>
      </c>
      <c r="Y20" s="26"/>
      <c r="AA20" s="30">
        <v>1.0</v>
      </c>
      <c r="AB20" s="42" t="str">
        <f>IF($AI$18+7*(1-1)&gt;$A$38,"",TEXT($AI$18+7*(1-1),"m/d")&amp;"-"&amp;TEXT($AI$18+7*(1-1)+6,"m/d"))</f>
        <v>5/5-5/11</v>
      </c>
      <c r="AC20" s="29">
        <f>IF($AB20="","",(SUMIFS($G$8:$G$38,$A$8:$A$38,"&gt;="&amp;$AI$18+7*(1-1),$A$8:$A$38,"&lt;="&amp;$AI$18+7*(1-1)+6)+SUMIFS('2026年06月'!$G$8:$G$37,'2026年06月'!$A$8:$A$37,"&gt;="&amp;$AI$18+7*(1-1),'2026年06月'!$A$8:$A$37,"&lt;="&amp;$AI$18+7*(1-1)+6)))</f>
        <v>1331507</v>
      </c>
      <c r="AD20" s="31">
        <f>IF($AB20="","",IFERROR((SUMIFS($M$8:$M$38,$A$8:$A$38,"&gt;="&amp;$AI$18+7*(1-1),$A$8:$A$38,"&lt;="&amp;$AI$18+7*(1-1)+6)+SUMIFS('2026年06月'!$M$8:$M$37,'2026年06月'!$A$8:$A$37,"&gt;="&amp;$AI$18+7*(1-1),'2026年06月'!$A$8:$A$37,"&lt;="&amp;$AI$18+7*(1-1)+6))/(SUMIFS($O$8:$O$38,$A$8:$A$38,"&gt;="&amp;$AI$18+7*(1-1),$A$8:$A$38,"&lt;="&amp;$AI$18+7*(1-1)+6)+SUMIFS('2026年06月'!$O$8:$O$37,'2026年06月'!$A$8:$A$37,"&gt;="&amp;$AI$18+7*(1-1),'2026年06月'!$A$8:$A$37,"&lt;="&amp;$AI$18+7*(1-1)+6)),""))</f>
        <v>0.2345132743</v>
      </c>
      <c r="AE20" s="29">
        <f>IF($AB20="","",IFERROR((SUMIFS($G$8:$G$38,$A$8:$A$38,"&gt;="&amp;$AI$18+7*(1-1),$A$8:$A$38,"&lt;="&amp;$AI$18+7*(1-1)+6)+SUMIFS('2026年06月'!$G$8:$G$37,'2026年06月'!$A$8:$A$37,"&gt;="&amp;$AI$18+7*(1-1),'2026年06月'!$A$8:$A$37,"&lt;="&amp;$AI$18+7*(1-1)+6))/(SUMIFS($M$8:$M$38,$A$8:$A$38,"&gt;="&amp;$AI$18+7*(1-1),$A$8:$A$38,"&lt;="&amp;$AI$18+7*(1-1)+6)+SUMIFS('2026年06月'!$M$8:$M$37,'2026年06月'!$A$8:$A$37,"&gt;="&amp;$AI$18+7*(1-1),'2026年06月'!$A$8:$A$37,"&lt;="&amp;$AI$18+7*(1-1)+6)),""))</f>
        <v>25122.77358</v>
      </c>
      <c r="AF20" s="43">
        <f>IF($AB20="","",IFERROR((SUMIFS($N$8:$N$38,$A$8:$A$38,"&gt;="&amp;$AI$18+7*(1-1),$A$8:$A$38,"&lt;="&amp;$AI$18+7*(1-1)+6)+SUMIFS('2026年06月'!$N$8:$N$37,'2026年06月'!$A$8:$A$37,"&gt;="&amp;$AI$18+7*(1-1),'2026年06月'!$A$8:$A$37,"&lt;="&amp;$AI$18+7*(1-1)+6))/(SUMIFS($M$8:$M$38,$A$8:$A$38,"&gt;="&amp;$AI$18+7*(1-1),$A$8:$A$38,"&lt;="&amp;$AI$18+7*(1-1)+6)+SUMIFS('2026年06月'!$M$8:$M$37,'2026年06月'!$A$8:$A$37,"&gt;="&amp;$AI$18+7*(1-1),'2026年06月'!$A$8:$A$37,"&lt;="&amp;$AI$18+7*(1-1)+6)),""))</f>
        <v>1.113207547</v>
      </c>
      <c r="AG20" s="31">
        <f>IF($AB20="","",IFERROR((SUMIFS($P$8:$P$38,$A$8:$A$38,"&gt;="&amp;$AI$18+7*(1-1),$A$8:$A$38,"&lt;="&amp;$AI$18+7*(1-1)+6)+SUMIFS('2026年06月'!$P$8:$P$37,'2026年06月'!$A$8:$A$37,"&gt;="&amp;$AI$18+7*(1-1),'2026年06月'!$A$8:$A$37,"&lt;="&amp;$AI$18+7*(1-1)+6))/(SUMIFS($O$8:$O$38,$A$8:$A$38,"&gt;="&amp;$AI$18+7*(1-1),$A$8:$A$38,"&lt;="&amp;$AI$18+7*(1-1)+6)+SUMIFS('2026年06月'!$O$8:$O$37,'2026年06月'!$A$8:$A$37,"&gt;="&amp;$AI$18+7*(1-1),'2026年06月'!$A$8:$A$37,"&lt;="&amp;$AI$18+7*(1-1)+6)),""))</f>
        <v>0.389380531</v>
      </c>
    </row>
    <row r="21" ht="15.75" customHeight="1">
      <c r="A21" s="32">
        <v>46156.0</v>
      </c>
      <c r="B21" s="21" t="str">
        <f t="shared" si="2"/>
        <v>木</v>
      </c>
      <c r="C21" s="18">
        <v>250000.0</v>
      </c>
      <c r="D21" s="23">
        <f t="shared" si="3"/>
        <v>4550000</v>
      </c>
      <c r="E21" s="18">
        <v>22110.0</v>
      </c>
      <c r="F21" s="18">
        <v>215260.0</v>
      </c>
      <c r="G21" s="23">
        <f t="shared" si="4"/>
        <v>237370</v>
      </c>
      <c r="H21" s="23">
        <f t="shared" si="5"/>
        <v>3074565</v>
      </c>
      <c r="I21" s="25">
        <f t="shared" ref="I21:J21" si="28">IF(G21="","",IFERROR(G21/C21,""))</f>
        <v>0.94948</v>
      </c>
      <c r="J21" s="25">
        <f t="shared" si="28"/>
        <v>0.6757285714</v>
      </c>
      <c r="K21" s="23">
        <f t="shared" si="7"/>
        <v>-1475435</v>
      </c>
      <c r="L21" s="33" t="str">
        <f t="shared" si="8"/>
        <v>▲ 遅れ</v>
      </c>
      <c r="M21" s="22">
        <v>10.0</v>
      </c>
      <c r="N21" s="22">
        <v>11.0</v>
      </c>
      <c r="O21" s="22">
        <v>24.0</v>
      </c>
      <c r="P21" s="22">
        <v>12.0</v>
      </c>
      <c r="Q21" s="22">
        <v>20.0</v>
      </c>
      <c r="R21" s="25">
        <f t="shared" si="9"/>
        <v>0.4166666667</v>
      </c>
      <c r="S21" s="23">
        <f t="shared" si="10"/>
        <v>23737</v>
      </c>
      <c r="T21" s="34">
        <f t="shared" si="11"/>
        <v>1.1</v>
      </c>
      <c r="U21" s="25">
        <f t="shared" si="12"/>
        <v>0.5</v>
      </c>
      <c r="V21" s="22"/>
      <c r="W21" s="22">
        <v>43929.0</v>
      </c>
      <c r="X21" s="18">
        <v>0.0</v>
      </c>
      <c r="Y21" s="26"/>
      <c r="AA21" s="30">
        <v>2.0</v>
      </c>
      <c r="AB21" s="42" t="str">
        <f>IF($AI$18+7*(2-1)&gt;$A$38,"",TEXT($AI$18+7*(2-1),"m/d")&amp;"-"&amp;TEXT($AI$18+7*(2-1)+6,"m/d"))</f>
        <v>5/12-5/18</v>
      </c>
      <c r="AC21" s="29">
        <f>IF($AB21="","",(SUMIFS($G$8:$G$38,$A$8:$A$38,"&gt;="&amp;$AI$18+7*(2-1),$A$8:$A$38,"&lt;="&amp;$AI$18+7*(2-1)+6)+SUMIFS('2026年06月'!$G$8:$G$37,'2026年06月'!$A$8:$A$37,"&gt;="&amp;$AI$18+7*(2-1),'2026年06月'!$A$8:$A$37,"&lt;="&amp;$AI$18+7*(2-1)+6)))</f>
        <v>1626790</v>
      </c>
      <c r="AD21" s="31">
        <f>IF($AB21="","",IFERROR((SUMIFS($M$8:$M$38,$A$8:$A$38,"&gt;="&amp;$AI$18+7*(2-1),$A$8:$A$38,"&lt;="&amp;$AI$18+7*(2-1)+6)+SUMIFS('2026年06月'!$M$8:$M$37,'2026年06月'!$A$8:$A$37,"&gt;="&amp;$AI$18+7*(2-1),'2026年06月'!$A$8:$A$37,"&lt;="&amp;$AI$18+7*(2-1)+6))/(SUMIFS($O$8:$O$38,$A$8:$A$38,"&gt;="&amp;$AI$18+7*(2-1),$A$8:$A$38,"&lt;="&amp;$AI$18+7*(2-1)+6)+SUMIFS('2026年06月'!$O$8:$O$37,'2026年06月'!$A$8:$A$37,"&gt;="&amp;$AI$18+7*(2-1),'2026年06月'!$A$8:$A$37,"&lt;="&amp;$AI$18+7*(2-1)+6)),""))</f>
        <v>0.3475935829</v>
      </c>
      <c r="AE21" s="29">
        <f>IF($AB21="","",IFERROR((SUMIFS($G$8:$G$38,$A$8:$A$38,"&gt;="&amp;$AI$18+7*(2-1),$A$8:$A$38,"&lt;="&amp;$AI$18+7*(2-1)+6)+SUMIFS('2026年06月'!$G$8:$G$37,'2026年06月'!$A$8:$A$37,"&gt;="&amp;$AI$18+7*(2-1),'2026年06月'!$A$8:$A$37,"&lt;="&amp;$AI$18+7*(2-1)+6))/(SUMIFS($M$8:$M$38,$A$8:$A$38,"&gt;="&amp;$AI$18+7*(2-1),$A$8:$A$38,"&lt;="&amp;$AI$18+7*(2-1)+6)+SUMIFS('2026年06月'!$M$8:$M$37,'2026年06月'!$A$8:$A$37,"&gt;="&amp;$AI$18+7*(2-1),'2026年06月'!$A$8:$A$37,"&lt;="&amp;$AI$18+7*(2-1)+6)),""))</f>
        <v>25027.53846</v>
      </c>
      <c r="AF21" s="43">
        <f>IF($AB21="","",IFERROR((SUMIFS($N$8:$N$38,$A$8:$A$38,"&gt;="&amp;$AI$18+7*(2-1),$A$8:$A$38,"&lt;="&amp;$AI$18+7*(2-1)+6)+SUMIFS('2026年06月'!$N$8:$N$37,'2026年06月'!$A$8:$A$37,"&gt;="&amp;$AI$18+7*(2-1),'2026年06月'!$A$8:$A$37,"&lt;="&amp;$AI$18+7*(2-1)+6))/(SUMIFS($M$8:$M$38,$A$8:$A$38,"&gt;="&amp;$AI$18+7*(2-1),$A$8:$A$38,"&lt;="&amp;$AI$18+7*(2-1)+6)+SUMIFS('2026年06月'!$M$8:$M$37,'2026年06月'!$A$8:$A$37,"&gt;="&amp;$AI$18+7*(2-1),'2026年06月'!$A$8:$A$37,"&lt;="&amp;$AI$18+7*(2-1)+6)),""))</f>
        <v>1.153846154</v>
      </c>
      <c r="AG21" s="31">
        <f>IF($AB21="","",IFERROR((SUMIFS($P$8:$P$38,$A$8:$A$38,"&gt;="&amp;$AI$18+7*(2-1),$A$8:$A$38,"&lt;="&amp;$AI$18+7*(2-1)+6)+SUMIFS('2026年06月'!$P$8:$P$37,'2026年06月'!$A$8:$A$37,"&gt;="&amp;$AI$18+7*(2-1),'2026年06月'!$A$8:$A$37,"&lt;="&amp;$AI$18+7*(2-1)+6))/(SUMIFS($O$8:$O$38,$A$8:$A$38,"&gt;="&amp;$AI$18+7*(2-1),$A$8:$A$38,"&lt;="&amp;$AI$18+7*(2-1)+6)+SUMIFS('2026年06月'!$O$8:$O$37,'2026年06月'!$A$8:$A$37,"&gt;="&amp;$AI$18+7*(2-1),'2026年06月'!$A$8:$A$37,"&lt;="&amp;$AI$18+7*(2-1)+6)),""))</f>
        <v>0.4973262032</v>
      </c>
    </row>
    <row r="22" ht="15.75" customHeight="1">
      <c r="A22" s="16">
        <v>46157.0</v>
      </c>
      <c r="B22" s="13" t="str">
        <f t="shared" si="2"/>
        <v>金</v>
      </c>
      <c r="C22" s="18">
        <v>250000.0</v>
      </c>
      <c r="D22" s="15">
        <f t="shared" si="3"/>
        <v>4800000</v>
      </c>
      <c r="E22" s="18">
        <v>88820.0</v>
      </c>
      <c r="F22" s="18">
        <v>262620.0</v>
      </c>
      <c r="G22" s="15">
        <f t="shared" si="4"/>
        <v>351440</v>
      </c>
      <c r="H22" s="15">
        <f t="shared" si="5"/>
        <v>3426005</v>
      </c>
      <c r="I22" s="17">
        <f t="shared" ref="I22:J22" si="29">IF(G22="","",IFERROR(G22/C22,""))</f>
        <v>1.40576</v>
      </c>
      <c r="J22" s="17">
        <f t="shared" si="29"/>
        <v>0.7137510417</v>
      </c>
      <c r="K22" s="15">
        <f t="shared" si="7"/>
        <v>-1373995</v>
      </c>
      <c r="L22" s="20" t="str">
        <f t="shared" si="8"/>
        <v>▲ 遅れ</v>
      </c>
      <c r="M22" s="22">
        <v>15.0</v>
      </c>
      <c r="N22" s="22">
        <v>18.0</v>
      </c>
      <c r="O22" s="22">
        <v>38.0</v>
      </c>
      <c r="P22" s="22">
        <v>21.0</v>
      </c>
      <c r="Q22" s="22">
        <v>33.0</v>
      </c>
      <c r="R22" s="17">
        <f t="shared" si="9"/>
        <v>0.3947368421</v>
      </c>
      <c r="S22" s="15">
        <f t="shared" si="10"/>
        <v>23429.33333</v>
      </c>
      <c r="T22" s="24">
        <f t="shared" si="11"/>
        <v>1.2</v>
      </c>
      <c r="U22" s="17">
        <f t="shared" si="12"/>
        <v>0.5526315789</v>
      </c>
      <c r="V22" s="22"/>
      <c r="W22" s="22">
        <v>43958.0</v>
      </c>
      <c r="X22" s="18">
        <v>0.0</v>
      </c>
      <c r="Y22" s="26"/>
      <c r="AA22" s="30">
        <v>3.0</v>
      </c>
      <c r="AB22" s="42" t="str">
        <f>IF($AI$18+7*(3-1)&gt;$A$38,"",TEXT($AI$18+7*(3-1),"m/d")&amp;"-"&amp;TEXT($AI$18+7*(3-1)+6,"m/d"))</f>
        <v>5/19-5/25</v>
      </c>
      <c r="AC22" s="29">
        <f>IF($AB22="","",(SUMIFS($G$8:$G$38,$A$8:$A$38,"&gt;="&amp;$AI$18+7*(3-1),$A$8:$A$38,"&lt;="&amp;$AI$18+7*(3-1)+6)+SUMIFS('2026年06月'!$G$8:$G$37,'2026年06月'!$A$8:$A$37,"&gt;="&amp;$AI$18+7*(3-1),'2026年06月'!$A$8:$A$37,"&lt;="&amp;$AI$18+7*(3-1)+6)))</f>
        <v>1369840</v>
      </c>
      <c r="AD22" s="31">
        <f>IF($AB22="","",IFERROR((SUMIFS($M$8:$M$38,$A$8:$A$38,"&gt;="&amp;$AI$18+7*(3-1),$A$8:$A$38,"&lt;="&amp;$AI$18+7*(3-1)+6)+SUMIFS('2026年06月'!$M$8:$M$37,'2026年06月'!$A$8:$A$37,"&gt;="&amp;$AI$18+7*(3-1),'2026年06月'!$A$8:$A$37,"&lt;="&amp;$AI$18+7*(3-1)+6))/(SUMIFS($O$8:$O$38,$A$8:$A$38,"&gt;="&amp;$AI$18+7*(3-1),$A$8:$A$38,"&lt;="&amp;$AI$18+7*(3-1)+6)+SUMIFS('2026年06月'!$O$8:$O$37,'2026年06月'!$A$8:$A$37,"&gt;="&amp;$AI$18+7*(3-1),'2026年06月'!$A$8:$A$37,"&lt;="&amp;$AI$18+7*(3-1)+6)),""))</f>
        <v>0.2871794872</v>
      </c>
      <c r="AE22" s="29">
        <f>IF($AB22="","",IFERROR((SUMIFS($G$8:$G$38,$A$8:$A$38,"&gt;="&amp;$AI$18+7*(3-1),$A$8:$A$38,"&lt;="&amp;$AI$18+7*(3-1)+6)+SUMIFS('2026年06月'!$G$8:$G$37,'2026年06月'!$A$8:$A$37,"&gt;="&amp;$AI$18+7*(3-1),'2026年06月'!$A$8:$A$37,"&lt;="&amp;$AI$18+7*(3-1)+6))/(SUMIFS($M$8:$M$38,$A$8:$A$38,"&gt;="&amp;$AI$18+7*(3-1),$A$8:$A$38,"&lt;="&amp;$AI$18+7*(3-1)+6)+SUMIFS('2026年06月'!$M$8:$M$37,'2026年06月'!$A$8:$A$37,"&gt;="&amp;$AI$18+7*(3-1),'2026年06月'!$A$8:$A$37,"&lt;="&amp;$AI$18+7*(3-1)+6)),""))</f>
        <v>24461.42857</v>
      </c>
      <c r="AF22" s="43">
        <f>IF($AB22="","",IFERROR((SUMIFS($N$8:$N$38,$A$8:$A$38,"&gt;="&amp;$AI$18+7*(3-1),$A$8:$A$38,"&lt;="&amp;$AI$18+7*(3-1)+6)+SUMIFS('2026年06月'!$N$8:$N$37,'2026年06月'!$A$8:$A$37,"&gt;="&amp;$AI$18+7*(3-1),'2026年06月'!$A$8:$A$37,"&lt;="&amp;$AI$18+7*(3-1)+6))/(SUMIFS($M$8:$M$38,$A$8:$A$38,"&gt;="&amp;$AI$18+7*(3-1),$A$8:$A$38,"&lt;="&amp;$AI$18+7*(3-1)+6)+SUMIFS('2026年06月'!$M$8:$M$37,'2026年06月'!$A$8:$A$37,"&gt;="&amp;$AI$18+7*(3-1),'2026年06月'!$A$8:$A$37,"&lt;="&amp;$AI$18+7*(3-1)+6)),""))</f>
        <v>1.125</v>
      </c>
      <c r="AG22" s="31">
        <f>IF($AB22="","",IFERROR((SUMIFS($P$8:$P$38,$A$8:$A$38,"&gt;="&amp;$AI$18+7*(3-1),$A$8:$A$38,"&lt;="&amp;$AI$18+7*(3-1)+6)+SUMIFS('2026年06月'!$P$8:$P$37,'2026年06月'!$A$8:$A$37,"&gt;="&amp;$AI$18+7*(3-1),'2026年06月'!$A$8:$A$37,"&lt;="&amp;$AI$18+7*(3-1)+6))/(SUMIFS($O$8:$O$38,$A$8:$A$38,"&gt;="&amp;$AI$18+7*(3-1),$A$8:$A$38,"&lt;="&amp;$AI$18+7*(3-1)+6)+SUMIFS('2026年06月'!$O$8:$O$37,'2026年06月'!$A$8:$A$37,"&gt;="&amp;$AI$18+7*(3-1),'2026年06月'!$A$8:$A$37,"&lt;="&amp;$AI$18+7*(3-1)+6)),""))</f>
        <v>0.4307692308</v>
      </c>
    </row>
    <row r="23" ht="15.75" customHeight="1">
      <c r="A23" s="32">
        <v>46158.0</v>
      </c>
      <c r="B23" s="21" t="str">
        <f t="shared" si="2"/>
        <v>土</v>
      </c>
      <c r="C23" s="18">
        <v>300000.0</v>
      </c>
      <c r="D23" s="23">
        <f t="shared" si="3"/>
        <v>5100000</v>
      </c>
      <c r="E23" s="18">
        <v>24310.0</v>
      </c>
      <c r="F23" s="18">
        <v>164040.0</v>
      </c>
      <c r="G23" s="23">
        <f t="shared" si="4"/>
        <v>188350</v>
      </c>
      <c r="H23" s="23">
        <f t="shared" si="5"/>
        <v>3614355</v>
      </c>
      <c r="I23" s="25">
        <f t="shared" ref="I23:J23" si="30">IF(G23="","",IFERROR(G23/C23,""))</f>
        <v>0.6278333333</v>
      </c>
      <c r="J23" s="25">
        <f t="shared" si="30"/>
        <v>0.7086970588</v>
      </c>
      <c r="K23" s="23">
        <f t="shared" si="7"/>
        <v>-1485645</v>
      </c>
      <c r="L23" s="33" t="str">
        <f t="shared" si="8"/>
        <v>▲ 遅れ</v>
      </c>
      <c r="M23" s="22">
        <v>8.0</v>
      </c>
      <c r="N23" s="22">
        <v>8.0</v>
      </c>
      <c r="O23" s="22">
        <v>28.0</v>
      </c>
      <c r="P23" s="22">
        <v>11.0</v>
      </c>
      <c r="Q23" s="22">
        <v>20.0</v>
      </c>
      <c r="R23" s="25">
        <f t="shared" si="9"/>
        <v>0.2857142857</v>
      </c>
      <c r="S23" s="23">
        <f t="shared" si="10"/>
        <v>23543.75</v>
      </c>
      <c r="T23" s="34">
        <f t="shared" si="11"/>
        <v>1</v>
      </c>
      <c r="U23" s="25">
        <f t="shared" si="12"/>
        <v>0.3928571429</v>
      </c>
      <c r="V23" s="22"/>
      <c r="W23" s="22">
        <v>43977.0</v>
      </c>
      <c r="X23" s="18">
        <v>0.0</v>
      </c>
      <c r="Y23" s="26"/>
      <c r="AA23" s="30">
        <v>4.0</v>
      </c>
      <c r="AB23" s="42" t="str">
        <f>IF($AI$18+7*(4-1)&gt;$A$38,"",TEXT($AI$18+7*(4-1),"m/d")&amp;"-"&amp;TEXT($AI$18+7*(4-1)+6,"m/d"))</f>
        <v>5/26-6/1</v>
      </c>
      <c r="AC23" s="29">
        <f>IF($AB23="","",(SUMIFS($G$8:$G$38,$A$8:$A$38,"&gt;="&amp;$AI$18+7*(4-1),$A$8:$A$38,"&lt;="&amp;$AI$18+7*(4-1)+6)+SUMIFS('2026年06月'!$G$8:$G$37,'2026年06月'!$A$8:$A$37,"&gt;="&amp;$AI$18+7*(4-1),'2026年06月'!$A$8:$A$37,"&lt;="&amp;$AI$18+7*(4-1)+6)))</f>
        <v>1378289</v>
      </c>
      <c r="AD23" s="31">
        <f>IF($AB23="","",IFERROR((SUMIFS($M$8:$M$38,$A$8:$A$38,"&gt;="&amp;$AI$18+7*(4-1),$A$8:$A$38,"&lt;="&amp;$AI$18+7*(4-1)+6)+SUMIFS('2026年06月'!$M$8:$M$37,'2026年06月'!$A$8:$A$37,"&gt;="&amp;$AI$18+7*(4-1),'2026年06月'!$A$8:$A$37,"&lt;="&amp;$AI$18+7*(4-1)+6))/(SUMIFS($O$8:$O$38,$A$8:$A$38,"&gt;="&amp;$AI$18+7*(4-1),$A$8:$A$38,"&lt;="&amp;$AI$18+7*(4-1)+6)+SUMIFS('2026年06月'!$O$8:$O$37,'2026年06月'!$A$8:$A$37,"&gt;="&amp;$AI$18+7*(4-1),'2026年06月'!$A$8:$A$37,"&lt;="&amp;$AI$18+7*(4-1)+6)),""))</f>
        <v>0.3184357542</v>
      </c>
      <c r="AE23" s="29">
        <f>IF($AB23="","",IFERROR((SUMIFS($G$8:$G$38,$A$8:$A$38,"&gt;="&amp;$AI$18+7*(4-1),$A$8:$A$38,"&lt;="&amp;$AI$18+7*(4-1)+6)+SUMIFS('2026年06月'!$G$8:$G$37,'2026年06月'!$A$8:$A$37,"&gt;="&amp;$AI$18+7*(4-1),'2026年06月'!$A$8:$A$37,"&lt;="&amp;$AI$18+7*(4-1)+6))/(SUMIFS($M$8:$M$38,$A$8:$A$38,"&gt;="&amp;$AI$18+7*(4-1),$A$8:$A$38,"&lt;="&amp;$AI$18+7*(4-1)+6)+SUMIFS('2026年06月'!$M$8:$M$37,'2026年06月'!$A$8:$A$37,"&gt;="&amp;$AI$18+7*(4-1),'2026年06月'!$A$8:$A$37,"&lt;="&amp;$AI$18+7*(4-1)+6)),""))</f>
        <v>24180.50877</v>
      </c>
      <c r="AF23" s="43">
        <f>IF($AB23="","",IFERROR((SUMIFS($N$8:$N$38,$A$8:$A$38,"&gt;="&amp;$AI$18+7*(4-1),$A$8:$A$38,"&lt;="&amp;$AI$18+7*(4-1)+6)+SUMIFS('2026年06月'!$N$8:$N$37,'2026年06月'!$A$8:$A$37,"&gt;="&amp;$AI$18+7*(4-1),'2026年06月'!$A$8:$A$37,"&lt;="&amp;$AI$18+7*(4-1)+6))/(SUMIFS($M$8:$M$38,$A$8:$A$38,"&gt;="&amp;$AI$18+7*(4-1),$A$8:$A$38,"&lt;="&amp;$AI$18+7*(4-1)+6)+SUMIFS('2026年06月'!$M$8:$M$37,'2026年06月'!$A$8:$A$37,"&gt;="&amp;$AI$18+7*(4-1),'2026年06月'!$A$8:$A$37,"&lt;="&amp;$AI$18+7*(4-1)+6)),""))</f>
        <v>1.070175439</v>
      </c>
      <c r="AG23" s="31">
        <f>IF($AB23="","",IFERROR((SUMIFS($P$8:$P$38,$A$8:$A$38,"&gt;="&amp;$AI$18+7*(4-1),$A$8:$A$38,"&lt;="&amp;$AI$18+7*(4-1)+6)+SUMIFS('2026年06月'!$P$8:$P$37,'2026年06月'!$A$8:$A$37,"&gt;="&amp;$AI$18+7*(4-1),'2026年06月'!$A$8:$A$37,"&lt;="&amp;$AI$18+7*(4-1)+6))/(SUMIFS($O$8:$O$38,$A$8:$A$38,"&gt;="&amp;$AI$18+7*(4-1),$A$8:$A$38,"&lt;="&amp;$AI$18+7*(4-1)+6)+SUMIFS('2026年06月'!$O$8:$O$37,'2026年06月'!$A$8:$A$37,"&gt;="&amp;$AI$18+7*(4-1),'2026年06月'!$A$8:$A$37,"&lt;="&amp;$AI$18+7*(4-1)+6)),""))</f>
        <v>0.4245810056</v>
      </c>
    </row>
    <row r="24" ht="15.75" customHeight="1">
      <c r="A24" s="16">
        <v>46159.0</v>
      </c>
      <c r="B24" s="13" t="str">
        <f t="shared" si="2"/>
        <v>日</v>
      </c>
      <c r="C24" s="18">
        <v>300000.0</v>
      </c>
      <c r="D24" s="15">
        <f t="shared" si="3"/>
        <v>5400000</v>
      </c>
      <c r="E24" s="18">
        <v>49210.0</v>
      </c>
      <c r="F24" s="18">
        <v>233030.0</v>
      </c>
      <c r="G24" s="15">
        <f t="shared" si="4"/>
        <v>282240</v>
      </c>
      <c r="H24" s="15">
        <f t="shared" si="5"/>
        <v>3896595</v>
      </c>
      <c r="I24" s="17">
        <f t="shared" ref="I24:J24" si="31">IF(G24="","",IFERROR(G24/C24,""))</f>
        <v>0.9408</v>
      </c>
      <c r="J24" s="17">
        <f t="shared" si="31"/>
        <v>0.7215916667</v>
      </c>
      <c r="K24" s="15">
        <f t="shared" si="7"/>
        <v>-1503405</v>
      </c>
      <c r="L24" s="20" t="str">
        <f t="shared" si="8"/>
        <v>▲ 遅れ</v>
      </c>
      <c r="M24" s="22">
        <v>9.0</v>
      </c>
      <c r="N24" s="22">
        <v>12.0</v>
      </c>
      <c r="O24" s="22">
        <v>29.0</v>
      </c>
      <c r="P24" s="22">
        <v>14.0</v>
      </c>
      <c r="Q24" s="22">
        <v>19.0</v>
      </c>
      <c r="R24" s="17">
        <f t="shared" si="9"/>
        <v>0.3103448276</v>
      </c>
      <c r="S24" s="15">
        <f t="shared" si="10"/>
        <v>31360</v>
      </c>
      <c r="T24" s="24">
        <f t="shared" si="11"/>
        <v>1.333333333</v>
      </c>
      <c r="U24" s="17">
        <f t="shared" si="12"/>
        <v>0.4827586207</v>
      </c>
      <c r="V24" s="22"/>
      <c r="W24" s="22">
        <v>43985.0</v>
      </c>
      <c r="X24" s="18">
        <v>0.0</v>
      </c>
      <c r="Y24" s="26"/>
      <c r="AA24" s="30">
        <v>5.0</v>
      </c>
      <c r="AB24" s="42" t="str">
        <f>IF($AI$18+7*(5-1)&gt;$A$38,"",TEXT($AI$18+7*(5-1),"m/d")&amp;"-"&amp;TEXT($AI$18+7*(5-1)+6,"m/d"))</f>
        <v/>
      </c>
      <c r="AC24" s="29" t="str">
        <f>IF($AB24="","",(SUMIFS($G$8:$G$38,$A$8:$A$38,"&gt;="&amp;$AI$18+7*(5-1),$A$8:$A$38,"&lt;="&amp;$AI$18+7*(5-1)+6)+SUMIFS('2026年06月'!$G$8:$G$37,'2026年06月'!$A$8:$A$37,"&gt;="&amp;$AI$18+7*(5-1),'2026年06月'!$A$8:$A$37,"&lt;="&amp;$AI$18+7*(5-1)+6)))</f>
        <v/>
      </c>
      <c r="AD24" s="31" t="str">
        <f>IF($AB24="","",IFERROR((SUMIFS($M$8:$M$38,$A$8:$A$38,"&gt;="&amp;$AI$18+7*(5-1),$A$8:$A$38,"&lt;="&amp;$AI$18+7*(5-1)+6)+SUMIFS('2026年06月'!$M$8:$M$37,'2026年06月'!$A$8:$A$37,"&gt;="&amp;$AI$18+7*(5-1),'2026年06月'!$A$8:$A$37,"&lt;="&amp;$AI$18+7*(5-1)+6))/(SUMIFS($O$8:$O$38,$A$8:$A$38,"&gt;="&amp;$AI$18+7*(5-1),$A$8:$A$38,"&lt;="&amp;$AI$18+7*(5-1)+6)+SUMIFS('2026年06月'!$O$8:$O$37,'2026年06月'!$A$8:$A$37,"&gt;="&amp;$AI$18+7*(5-1),'2026年06月'!$A$8:$A$37,"&lt;="&amp;$AI$18+7*(5-1)+6)),""))</f>
        <v/>
      </c>
      <c r="AE24" s="29" t="str">
        <f>IF($AB24="","",IFERROR((SUMIFS($G$8:$G$38,$A$8:$A$38,"&gt;="&amp;$AI$18+7*(5-1),$A$8:$A$38,"&lt;="&amp;$AI$18+7*(5-1)+6)+SUMIFS('2026年06月'!$G$8:$G$37,'2026年06月'!$A$8:$A$37,"&gt;="&amp;$AI$18+7*(5-1),'2026年06月'!$A$8:$A$37,"&lt;="&amp;$AI$18+7*(5-1)+6))/(SUMIFS($M$8:$M$38,$A$8:$A$38,"&gt;="&amp;$AI$18+7*(5-1),$A$8:$A$38,"&lt;="&amp;$AI$18+7*(5-1)+6)+SUMIFS('2026年06月'!$M$8:$M$37,'2026年06月'!$A$8:$A$37,"&gt;="&amp;$AI$18+7*(5-1),'2026年06月'!$A$8:$A$37,"&lt;="&amp;$AI$18+7*(5-1)+6)),""))</f>
        <v/>
      </c>
      <c r="AF24" s="43" t="str">
        <f>IF($AB24="","",IFERROR((SUMIFS($N$8:$N$38,$A$8:$A$38,"&gt;="&amp;$AI$18+7*(5-1),$A$8:$A$38,"&lt;="&amp;$AI$18+7*(5-1)+6)+SUMIFS('2026年06月'!$N$8:$N$37,'2026年06月'!$A$8:$A$37,"&gt;="&amp;$AI$18+7*(5-1),'2026年06月'!$A$8:$A$37,"&lt;="&amp;$AI$18+7*(5-1)+6))/(SUMIFS($M$8:$M$38,$A$8:$A$38,"&gt;="&amp;$AI$18+7*(5-1),$A$8:$A$38,"&lt;="&amp;$AI$18+7*(5-1)+6)+SUMIFS('2026年06月'!$M$8:$M$37,'2026年06月'!$A$8:$A$37,"&gt;="&amp;$AI$18+7*(5-1),'2026年06月'!$A$8:$A$37,"&lt;="&amp;$AI$18+7*(5-1)+6)),""))</f>
        <v/>
      </c>
      <c r="AG24" s="31" t="str">
        <f>IF($AB24="","",IFERROR((SUMIFS($P$8:$P$38,$A$8:$A$38,"&gt;="&amp;$AI$18+7*(5-1),$A$8:$A$38,"&lt;="&amp;$AI$18+7*(5-1)+6)+SUMIFS('2026年06月'!$P$8:$P$37,'2026年06月'!$A$8:$A$37,"&gt;="&amp;$AI$18+7*(5-1),'2026年06月'!$A$8:$A$37,"&lt;="&amp;$AI$18+7*(5-1)+6))/(SUMIFS($O$8:$O$38,$A$8:$A$38,"&gt;="&amp;$AI$18+7*(5-1),$A$8:$A$38,"&lt;="&amp;$AI$18+7*(5-1)+6)+SUMIFS('2026年06月'!$O$8:$O$37,'2026年06月'!$A$8:$A$37,"&gt;="&amp;$AI$18+7*(5-1),'2026年06月'!$A$8:$A$37,"&lt;="&amp;$AI$18+7*(5-1)+6)),""))</f>
        <v/>
      </c>
    </row>
    <row r="25" ht="15.75" customHeight="1">
      <c r="A25" s="32">
        <v>46160.0</v>
      </c>
      <c r="B25" s="21" t="str">
        <f t="shared" si="2"/>
        <v>月</v>
      </c>
      <c r="C25" s="18">
        <v>250000.0</v>
      </c>
      <c r="D25" s="23">
        <f t="shared" si="3"/>
        <v>5650000</v>
      </c>
      <c r="E25" s="18">
        <v>111530.0</v>
      </c>
      <c r="F25" s="18">
        <v>144530.0</v>
      </c>
      <c r="G25" s="23">
        <f t="shared" si="4"/>
        <v>256060</v>
      </c>
      <c r="H25" s="23">
        <f t="shared" si="5"/>
        <v>4152655</v>
      </c>
      <c r="I25" s="25">
        <f t="shared" ref="I25:J25" si="32">IF(G25="","",IFERROR(G25/C25,""))</f>
        <v>1.02424</v>
      </c>
      <c r="J25" s="25">
        <f t="shared" si="32"/>
        <v>0.7349831858</v>
      </c>
      <c r="K25" s="23">
        <f t="shared" si="7"/>
        <v>-1497345</v>
      </c>
      <c r="L25" s="33" t="str">
        <f t="shared" si="8"/>
        <v>▲ 遅れ</v>
      </c>
      <c r="M25" s="22">
        <v>11.0</v>
      </c>
      <c r="N25" s="22">
        <v>12.0</v>
      </c>
      <c r="O25" s="22">
        <v>29.0</v>
      </c>
      <c r="P25" s="22">
        <v>17.0</v>
      </c>
      <c r="Q25" s="22">
        <v>34.0</v>
      </c>
      <c r="R25" s="25">
        <f t="shared" si="9"/>
        <v>0.3793103448</v>
      </c>
      <c r="S25" s="23">
        <f t="shared" si="10"/>
        <v>23278.18182</v>
      </c>
      <c r="T25" s="34">
        <f t="shared" si="11"/>
        <v>1.090909091</v>
      </c>
      <c r="U25" s="25">
        <f t="shared" si="12"/>
        <v>0.5862068966</v>
      </c>
      <c r="V25" s="22"/>
      <c r="W25" s="22">
        <v>43996.0</v>
      </c>
      <c r="X25" s="18">
        <v>0.0</v>
      </c>
      <c r="Y25" s="26"/>
      <c r="AA25" s="30">
        <v>6.0</v>
      </c>
      <c r="AB25" s="42" t="str">
        <f>IF($AI$18+7*(6-1)&gt;$A$38,"",TEXT($AI$18+7*(6-1),"m/d")&amp;"-"&amp;TEXT($AI$18+7*(6-1)+6,"m/d"))</f>
        <v/>
      </c>
      <c r="AC25" s="29" t="str">
        <f>IF($AB25="","",(SUMIFS($G$8:$G$38,$A$8:$A$38,"&gt;="&amp;$AI$18+7*(6-1),$A$8:$A$38,"&lt;="&amp;$AI$18+7*(6-1)+6)+SUMIFS('2026年06月'!$G$8:$G$37,'2026年06月'!$A$8:$A$37,"&gt;="&amp;$AI$18+7*(6-1),'2026年06月'!$A$8:$A$37,"&lt;="&amp;$AI$18+7*(6-1)+6)))</f>
        <v/>
      </c>
      <c r="AD25" s="31" t="str">
        <f>IF($AB25="","",IFERROR((SUMIFS($M$8:$M$38,$A$8:$A$38,"&gt;="&amp;$AI$18+7*(6-1),$A$8:$A$38,"&lt;="&amp;$AI$18+7*(6-1)+6)+SUMIFS('2026年06月'!$M$8:$M$37,'2026年06月'!$A$8:$A$37,"&gt;="&amp;$AI$18+7*(6-1),'2026年06月'!$A$8:$A$37,"&lt;="&amp;$AI$18+7*(6-1)+6))/(SUMIFS($O$8:$O$38,$A$8:$A$38,"&gt;="&amp;$AI$18+7*(6-1),$A$8:$A$38,"&lt;="&amp;$AI$18+7*(6-1)+6)+SUMIFS('2026年06月'!$O$8:$O$37,'2026年06月'!$A$8:$A$37,"&gt;="&amp;$AI$18+7*(6-1),'2026年06月'!$A$8:$A$37,"&lt;="&amp;$AI$18+7*(6-1)+6)),""))</f>
        <v/>
      </c>
      <c r="AE25" s="29" t="str">
        <f>IF($AB25="","",IFERROR((SUMIFS($G$8:$G$38,$A$8:$A$38,"&gt;="&amp;$AI$18+7*(6-1),$A$8:$A$38,"&lt;="&amp;$AI$18+7*(6-1)+6)+SUMIFS('2026年06月'!$G$8:$G$37,'2026年06月'!$A$8:$A$37,"&gt;="&amp;$AI$18+7*(6-1),'2026年06月'!$A$8:$A$37,"&lt;="&amp;$AI$18+7*(6-1)+6))/(SUMIFS($M$8:$M$38,$A$8:$A$38,"&gt;="&amp;$AI$18+7*(6-1),$A$8:$A$38,"&lt;="&amp;$AI$18+7*(6-1)+6)+SUMIFS('2026年06月'!$M$8:$M$37,'2026年06月'!$A$8:$A$37,"&gt;="&amp;$AI$18+7*(6-1),'2026年06月'!$A$8:$A$37,"&lt;="&amp;$AI$18+7*(6-1)+6)),""))</f>
        <v/>
      </c>
      <c r="AF25" s="43" t="str">
        <f>IF($AB25="","",IFERROR((SUMIFS($N$8:$N$38,$A$8:$A$38,"&gt;="&amp;$AI$18+7*(6-1),$A$8:$A$38,"&lt;="&amp;$AI$18+7*(6-1)+6)+SUMIFS('2026年06月'!$N$8:$N$37,'2026年06月'!$A$8:$A$37,"&gt;="&amp;$AI$18+7*(6-1),'2026年06月'!$A$8:$A$37,"&lt;="&amp;$AI$18+7*(6-1)+6))/(SUMIFS($M$8:$M$38,$A$8:$A$38,"&gt;="&amp;$AI$18+7*(6-1),$A$8:$A$38,"&lt;="&amp;$AI$18+7*(6-1)+6)+SUMIFS('2026年06月'!$M$8:$M$37,'2026年06月'!$A$8:$A$37,"&gt;="&amp;$AI$18+7*(6-1),'2026年06月'!$A$8:$A$37,"&lt;="&amp;$AI$18+7*(6-1)+6)),""))</f>
        <v/>
      </c>
      <c r="AG25" s="31" t="str">
        <f>IF($AB25="","",IFERROR((SUMIFS($P$8:$P$38,$A$8:$A$38,"&gt;="&amp;$AI$18+7*(6-1),$A$8:$A$38,"&lt;="&amp;$AI$18+7*(6-1)+6)+SUMIFS('2026年06月'!$P$8:$P$37,'2026年06月'!$A$8:$A$37,"&gt;="&amp;$AI$18+7*(6-1),'2026年06月'!$A$8:$A$37,"&lt;="&amp;$AI$18+7*(6-1)+6))/(SUMIFS($O$8:$O$38,$A$8:$A$38,"&gt;="&amp;$AI$18+7*(6-1),$A$8:$A$38,"&lt;="&amp;$AI$18+7*(6-1)+6)+SUMIFS('2026年06月'!$O$8:$O$37,'2026年06月'!$A$8:$A$37,"&gt;="&amp;$AI$18+7*(6-1),'2026年06月'!$A$8:$A$37,"&lt;="&amp;$AI$18+7*(6-1)+6)),""))</f>
        <v/>
      </c>
    </row>
    <row r="26" ht="15.75" customHeight="1">
      <c r="A26" s="16">
        <v>46161.0</v>
      </c>
      <c r="B26" s="13" t="str">
        <f t="shared" si="2"/>
        <v>火</v>
      </c>
      <c r="C26" s="18">
        <v>250000.0</v>
      </c>
      <c r="D26" s="15">
        <f t="shared" si="3"/>
        <v>5900000</v>
      </c>
      <c r="E26" s="18">
        <v>48010.0</v>
      </c>
      <c r="F26" s="18">
        <v>107630.0</v>
      </c>
      <c r="G26" s="15">
        <f t="shared" si="4"/>
        <v>155640</v>
      </c>
      <c r="H26" s="15">
        <f t="shared" si="5"/>
        <v>4308295</v>
      </c>
      <c r="I26" s="17">
        <f t="shared" ref="I26:J26" si="33">IF(G26="","",IFERROR(G26/C26,""))</f>
        <v>0.62256</v>
      </c>
      <c r="J26" s="17">
        <f t="shared" si="33"/>
        <v>0.7302194915</v>
      </c>
      <c r="K26" s="15">
        <f t="shared" si="7"/>
        <v>-1591705</v>
      </c>
      <c r="L26" s="20" t="str">
        <f t="shared" si="8"/>
        <v>▲ 遅れ</v>
      </c>
      <c r="M26" s="22">
        <v>7.0</v>
      </c>
      <c r="N26" s="22">
        <v>7.0</v>
      </c>
      <c r="O26" s="22">
        <v>23.0</v>
      </c>
      <c r="P26" s="22">
        <v>11.0</v>
      </c>
      <c r="Q26" s="22">
        <v>21.0</v>
      </c>
      <c r="R26" s="17">
        <f t="shared" si="9"/>
        <v>0.3043478261</v>
      </c>
      <c r="S26" s="15">
        <f t="shared" si="10"/>
        <v>22234.28571</v>
      </c>
      <c r="T26" s="24">
        <f t="shared" si="11"/>
        <v>1</v>
      </c>
      <c r="U26" s="17">
        <f t="shared" si="12"/>
        <v>0.4782608696</v>
      </c>
      <c r="V26" s="22"/>
      <c r="W26" s="22">
        <v>44012.0</v>
      </c>
      <c r="X26" s="18">
        <v>0.0</v>
      </c>
      <c r="Y26" s="44" t="s">
        <v>83</v>
      </c>
      <c r="AA26" s="35" t="s">
        <v>85</v>
      </c>
    </row>
    <row r="27" ht="15.75" customHeight="1">
      <c r="A27" s="32">
        <v>46162.0</v>
      </c>
      <c r="B27" s="21" t="str">
        <f t="shared" si="2"/>
        <v>水</v>
      </c>
      <c r="C27" s="18">
        <v>250000.0</v>
      </c>
      <c r="D27" s="23">
        <f t="shared" si="3"/>
        <v>6150000</v>
      </c>
      <c r="E27" s="18">
        <v>0.0</v>
      </c>
      <c r="F27" s="18">
        <v>129020.0</v>
      </c>
      <c r="G27" s="23">
        <f t="shared" si="4"/>
        <v>129020</v>
      </c>
      <c r="H27" s="23">
        <f t="shared" si="5"/>
        <v>4437315</v>
      </c>
      <c r="I27" s="25">
        <f t="shared" ref="I27:J27" si="34">IF(G27="","",IFERROR(G27/C27,""))</f>
        <v>0.51608</v>
      </c>
      <c r="J27" s="25">
        <f t="shared" si="34"/>
        <v>0.7215146341</v>
      </c>
      <c r="K27" s="23">
        <f t="shared" si="7"/>
        <v>-1712685</v>
      </c>
      <c r="L27" s="33" t="str">
        <f t="shared" si="8"/>
        <v>▲ 遅れ</v>
      </c>
      <c r="M27" s="22">
        <v>4.0</v>
      </c>
      <c r="N27" s="22">
        <v>4.0</v>
      </c>
      <c r="O27" s="22">
        <v>32.0</v>
      </c>
      <c r="P27" s="22">
        <v>14.0</v>
      </c>
      <c r="Q27" s="22">
        <v>27.0</v>
      </c>
      <c r="R27" s="25">
        <f t="shared" si="9"/>
        <v>0.125</v>
      </c>
      <c r="S27" s="23">
        <f t="shared" si="10"/>
        <v>32255</v>
      </c>
      <c r="T27" s="34">
        <f t="shared" si="11"/>
        <v>1</v>
      </c>
      <c r="U27" s="25">
        <f t="shared" si="12"/>
        <v>0.4375</v>
      </c>
      <c r="V27" s="22"/>
      <c r="W27" s="22">
        <v>44039.0</v>
      </c>
      <c r="X27" s="18">
        <v>0.0</v>
      </c>
      <c r="Y27" s="26"/>
      <c r="AA27" s="35" t="s">
        <v>88</v>
      </c>
    </row>
    <row r="28" ht="15.75" customHeight="1">
      <c r="A28" s="16">
        <v>46163.0</v>
      </c>
      <c r="B28" s="13" t="str">
        <f t="shared" si="2"/>
        <v>木</v>
      </c>
      <c r="C28" s="18">
        <v>250000.0</v>
      </c>
      <c r="D28" s="15">
        <f t="shared" si="3"/>
        <v>6400000</v>
      </c>
      <c r="E28" s="18">
        <v>47620.0</v>
      </c>
      <c r="F28" s="18">
        <v>23810.0</v>
      </c>
      <c r="G28" s="15">
        <f t="shared" si="4"/>
        <v>71430</v>
      </c>
      <c r="H28" s="15">
        <f t="shared" si="5"/>
        <v>4508745</v>
      </c>
      <c r="I28" s="17">
        <f t="shared" ref="I28:J28" si="35">IF(G28="","",IFERROR(G28/C28,""))</f>
        <v>0.28572</v>
      </c>
      <c r="J28" s="17">
        <f t="shared" si="35"/>
        <v>0.7044914063</v>
      </c>
      <c r="K28" s="15">
        <f t="shared" si="7"/>
        <v>-1891255</v>
      </c>
      <c r="L28" s="20" t="str">
        <f t="shared" si="8"/>
        <v>▲ 遅れ</v>
      </c>
      <c r="M28" s="22">
        <v>3.0</v>
      </c>
      <c r="N28" s="22">
        <v>3.0</v>
      </c>
      <c r="O28" s="22">
        <v>16.0</v>
      </c>
      <c r="P28" s="22">
        <v>5.0</v>
      </c>
      <c r="Q28" s="22">
        <v>9.0</v>
      </c>
      <c r="R28" s="17">
        <f t="shared" si="9"/>
        <v>0.1875</v>
      </c>
      <c r="S28" s="15">
        <f t="shared" si="10"/>
        <v>23810</v>
      </c>
      <c r="T28" s="24">
        <f t="shared" si="11"/>
        <v>1</v>
      </c>
      <c r="U28" s="17">
        <f t="shared" si="12"/>
        <v>0.3125</v>
      </c>
      <c r="V28" s="22"/>
      <c r="W28" s="22">
        <v>44058.0</v>
      </c>
      <c r="X28" s="18">
        <v>0.0</v>
      </c>
      <c r="Y28" s="26"/>
      <c r="AA28" s="35" t="s">
        <v>90</v>
      </c>
    </row>
    <row r="29" ht="15.75" customHeight="1">
      <c r="A29" s="32">
        <v>46164.0</v>
      </c>
      <c r="B29" s="21" t="str">
        <f t="shared" si="2"/>
        <v>金</v>
      </c>
      <c r="C29" s="18">
        <v>250000.0</v>
      </c>
      <c r="D29" s="23">
        <f t="shared" si="3"/>
        <v>6650000</v>
      </c>
      <c r="E29" s="18">
        <v>118630.0</v>
      </c>
      <c r="F29" s="18">
        <v>116820.0</v>
      </c>
      <c r="G29" s="23">
        <f t="shared" si="4"/>
        <v>235450</v>
      </c>
      <c r="H29" s="23">
        <f t="shared" si="5"/>
        <v>4744195</v>
      </c>
      <c r="I29" s="25">
        <f t="shared" ref="I29:J29" si="36">IF(G29="","",IFERROR(G29/C29,""))</f>
        <v>0.9418</v>
      </c>
      <c r="J29" s="25">
        <f t="shared" si="36"/>
        <v>0.713412782</v>
      </c>
      <c r="K29" s="23">
        <f t="shared" si="7"/>
        <v>-1905805</v>
      </c>
      <c r="L29" s="33" t="str">
        <f t="shared" si="8"/>
        <v>▲ 遅れ</v>
      </c>
      <c r="M29" s="22">
        <v>9.0</v>
      </c>
      <c r="N29" s="22">
        <v>12.0</v>
      </c>
      <c r="O29" s="22">
        <v>22.0</v>
      </c>
      <c r="P29" s="22">
        <v>7.0</v>
      </c>
      <c r="Q29" s="22">
        <v>11.0</v>
      </c>
      <c r="R29" s="25">
        <f t="shared" si="9"/>
        <v>0.4090909091</v>
      </c>
      <c r="S29" s="23">
        <f t="shared" si="10"/>
        <v>26161.11111</v>
      </c>
      <c r="T29" s="34">
        <f t="shared" si="11"/>
        <v>1.333333333</v>
      </c>
      <c r="U29" s="25">
        <f t="shared" si="12"/>
        <v>0.3181818182</v>
      </c>
      <c r="V29" s="22"/>
      <c r="W29" s="22">
        <v>44063.0</v>
      </c>
      <c r="X29" s="18">
        <v>0.0</v>
      </c>
      <c r="Y29" s="26"/>
    </row>
    <row r="30" ht="15.75" customHeight="1">
      <c r="A30" s="16">
        <v>46165.0</v>
      </c>
      <c r="B30" s="13" t="str">
        <f t="shared" si="2"/>
        <v>土</v>
      </c>
      <c r="C30" s="18">
        <v>300000.0</v>
      </c>
      <c r="D30" s="15">
        <f t="shared" si="3"/>
        <v>6950000</v>
      </c>
      <c r="E30" s="18">
        <v>87940.0</v>
      </c>
      <c r="F30" s="18">
        <v>433420.0</v>
      </c>
      <c r="G30" s="15">
        <f t="shared" si="4"/>
        <v>521360</v>
      </c>
      <c r="H30" s="15">
        <f t="shared" si="5"/>
        <v>5265555</v>
      </c>
      <c r="I30" s="17">
        <f t="shared" ref="I30:J30" si="37">IF(G30="","",IFERROR(G30/C30,""))</f>
        <v>1.737866667</v>
      </c>
      <c r="J30" s="17">
        <f t="shared" si="37"/>
        <v>0.7576338129</v>
      </c>
      <c r="K30" s="15">
        <f t="shared" si="7"/>
        <v>-1684445</v>
      </c>
      <c r="L30" s="20" t="str">
        <f t="shared" si="8"/>
        <v>▲ 遅れ</v>
      </c>
      <c r="M30" s="22">
        <v>22.0</v>
      </c>
      <c r="N30" s="22">
        <v>25.0</v>
      </c>
      <c r="O30" s="22">
        <v>44.0</v>
      </c>
      <c r="P30" s="22">
        <v>30.0</v>
      </c>
      <c r="Q30" s="22">
        <v>66.0</v>
      </c>
      <c r="R30" s="17">
        <f t="shared" si="9"/>
        <v>0.5</v>
      </c>
      <c r="S30" s="15">
        <f t="shared" si="10"/>
        <v>23698.18182</v>
      </c>
      <c r="T30" s="24">
        <f t="shared" si="11"/>
        <v>1.136363636</v>
      </c>
      <c r="U30" s="17">
        <f t="shared" si="12"/>
        <v>0.6818181818</v>
      </c>
      <c r="V30" s="22"/>
      <c r="W30" s="22">
        <v>44089.0</v>
      </c>
      <c r="X30" s="18">
        <v>0.0</v>
      </c>
      <c r="Y30" s="26"/>
    </row>
    <row r="31" ht="15.75" customHeight="1">
      <c r="A31" s="32">
        <v>46166.0</v>
      </c>
      <c r="B31" s="21" t="str">
        <f t="shared" si="2"/>
        <v>日</v>
      </c>
      <c r="C31" s="18">
        <v>300000.0</v>
      </c>
      <c r="D31" s="23">
        <f t="shared" si="3"/>
        <v>7250000</v>
      </c>
      <c r="E31" s="18">
        <v>69130.0</v>
      </c>
      <c r="F31" s="18">
        <v>67810.0</v>
      </c>
      <c r="G31" s="23">
        <f t="shared" si="4"/>
        <v>136940</v>
      </c>
      <c r="H31" s="23">
        <f t="shared" si="5"/>
        <v>5402495</v>
      </c>
      <c r="I31" s="25">
        <f t="shared" ref="I31:J31" si="38">IF(G31="","",IFERROR(G31/C31,""))</f>
        <v>0.4564666667</v>
      </c>
      <c r="J31" s="25">
        <f t="shared" si="38"/>
        <v>0.7451717241</v>
      </c>
      <c r="K31" s="23">
        <f t="shared" si="7"/>
        <v>-1847505</v>
      </c>
      <c r="L31" s="33" t="str">
        <f t="shared" si="8"/>
        <v>▲ 遅れ</v>
      </c>
      <c r="M31" s="22">
        <v>6.0</v>
      </c>
      <c r="N31" s="22">
        <v>6.0</v>
      </c>
      <c r="O31" s="22">
        <v>33.0</v>
      </c>
      <c r="P31" s="22">
        <v>10.0</v>
      </c>
      <c r="Q31" s="22">
        <v>17.0</v>
      </c>
      <c r="R31" s="25">
        <f t="shared" si="9"/>
        <v>0.1818181818</v>
      </c>
      <c r="S31" s="23">
        <f t="shared" si="10"/>
        <v>22823.33333</v>
      </c>
      <c r="T31" s="34">
        <f t="shared" si="11"/>
        <v>1</v>
      </c>
      <c r="U31" s="25">
        <f t="shared" si="12"/>
        <v>0.303030303</v>
      </c>
      <c r="V31" s="22"/>
      <c r="W31" s="22">
        <v>44127.0</v>
      </c>
      <c r="X31" s="18">
        <v>0.0</v>
      </c>
      <c r="Y31" s="26"/>
    </row>
    <row r="32" ht="15.75" customHeight="1">
      <c r="A32" s="16">
        <v>46167.0</v>
      </c>
      <c r="B32" s="13" t="str">
        <f t="shared" si="2"/>
        <v>月</v>
      </c>
      <c r="C32" s="18">
        <v>250000.0</v>
      </c>
      <c r="D32" s="15">
        <f t="shared" si="3"/>
        <v>7500000</v>
      </c>
      <c r="E32" s="18">
        <v>52580.0</v>
      </c>
      <c r="F32" s="18">
        <v>67420.0</v>
      </c>
      <c r="G32" s="15">
        <f t="shared" si="4"/>
        <v>120000</v>
      </c>
      <c r="H32" s="15">
        <f t="shared" si="5"/>
        <v>5522495</v>
      </c>
      <c r="I32" s="17">
        <f t="shared" ref="I32:J32" si="39">IF(G32="","",IFERROR(G32/C32,""))</f>
        <v>0.48</v>
      </c>
      <c r="J32" s="17">
        <f t="shared" si="39"/>
        <v>0.7363326667</v>
      </c>
      <c r="K32" s="15">
        <f t="shared" si="7"/>
        <v>-1977505</v>
      </c>
      <c r="L32" s="20" t="str">
        <f t="shared" si="8"/>
        <v>▲ 遅れ</v>
      </c>
      <c r="M32" s="22">
        <v>5.0</v>
      </c>
      <c r="N32" s="22">
        <v>6.0</v>
      </c>
      <c r="O32" s="22">
        <v>25.0</v>
      </c>
      <c r="P32" s="22">
        <v>7.0</v>
      </c>
      <c r="Q32" s="22">
        <v>13.0</v>
      </c>
      <c r="R32" s="17">
        <f t="shared" si="9"/>
        <v>0.2</v>
      </c>
      <c r="S32" s="15">
        <f t="shared" si="10"/>
        <v>24000</v>
      </c>
      <c r="T32" s="24">
        <f t="shared" si="11"/>
        <v>1.2</v>
      </c>
      <c r="U32" s="17">
        <f t="shared" si="12"/>
        <v>0.28</v>
      </c>
      <c r="V32" s="22"/>
      <c r="W32" s="22">
        <v>44139.0</v>
      </c>
      <c r="X32" s="18">
        <v>0.0</v>
      </c>
      <c r="Y32" s="26"/>
    </row>
    <row r="33" ht="15.75" customHeight="1">
      <c r="A33" s="32">
        <v>46168.0</v>
      </c>
      <c r="B33" s="21" t="str">
        <f t="shared" si="2"/>
        <v>火</v>
      </c>
      <c r="C33" s="18">
        <v>250000.0</v>
      </c>
      <c r="D33" s="23">
        <f t="shared" si="3"/>
        <v>7750000</v>
      </c>
      <c r="E33" s="18">
        <v>23810.0</v>
      </c>
      <c r="F33" s="18">
        <v>93930.0</v>
      </c>
      <c r="G33" s="23">
        <f t="shared" si="4"/>
        <v>117740</v>
      </c>
      <c r="H33" s="23">
        <f t="shared" si="5"/>
        <v>5640235</v>
      </c>
      <c r="I33" s="25">
        <f t="shared" ref="I33:J33" si="40">IF(G33="","",IFERROR(G33/C33,""))</f>
        <v>0.47096</v>
      </c>
      <c r="J33" s="25">
        <f t="shared" si="40"/>
        <v>0.7277722581</v>
      </c>
      <c r="K33" s="23">
        <f t="shared" si="7"/>
        <v>-2109765</v>
      </c>
      <c r="L33" s="33" t="str">
        <f t="shared" si="8"/>
        <v>▲ 遅れ</v>
      </c>
      <c r="M33" s="22">
        <v>5.0</v>
      </c>
      <c r="N33" s="22">
        <v>5.0</v>
      </c>
      <c r="O33" s="22">
        <v>27.0</v>
      </c>
      <c r="P33" s="22">
        <v>8.0</v>
      </c>
      <c r="Q33" s="22">
        <v>12.0</v>
      </c>
      <c r="R33" s="25">
        <f t="shared" si="9"/>
        <v>0.1851851852</v>
      </c>
      <c r="S33" s="23">
        <f t="shared" si="10"/>
        <v>23548</v>
      </c>
      <c r="T33" s="34">
        <f t="shared" si="11"/>
        <v>1</v>
      </c>
      <c r="U33" s="25">
        <f t="shared" si="12"/>
        <v>0.2962962963</v>
      </c>
      <c r="V33" s="22"/>
      <c r="W33" s="22">
        <v>44145.0</v>
      </c>
      <c r="X33" s="18">
        <v>0.0</v>
      </c>
      <c r="Y33" s="26"/>
    </row>
    <row r="34" ht="15.75" customHeight="1">
      <c r="A34" s="16">
        <v>46169.0</v>
      </c>
      <c r="B34" s="13" t="str">
        <f t="shared" si="2"/>
        <v>水</v>
      </c>
      <c r="C34" s="18">
        <v>250000.0</v>
      </c>
      <c r="D34" s="15">
        <f t="shared" si="3"/>
        <v>8000000</v>
      </c>
      <c r="E34" s="18">
        <v>0.0</v>
      </c>
      <c r="F34" s="18">
        <v>39600.0</v>
      </c>
      <c r="G34" s="15">
        <f t="shared" si="4"/>
        <v>39600</v>
      </c>
      <c r="H34" s="15">
        <f t="shared" si="5"/>
        <v>5679835</v>
      </c>
      <c r="I34" s="17">
        <f t="shared" ref="I34:J34" si="41">IF(G34="","",IFERROR(G34/C34,""))</f>
        <v>0.1584</v>
      </c>
      <c r="J34" s="17">
        <f t="shared" si="41"/>
        <v>0.709979375</v>
      </c>
      <c r="K34" s="15">
        <f t="shared" si="7"/>
        <v>-2320165</v>
      </c>
      <c r="L34" s="20" t="str">
        <f t="shared" si="8"/>
        <v>▲ 遅れ</v>
      </c>
      <c r="M34" s="22">
        <v>2.0</v>
      </c>
      <c r="N34" s="22">
        <v>2.0</v>
      </c>
      <c r="O34" s="22">
        <v>20.0</v>
      </c>
      <c r="P34" s="22">
        <v>4.0</v>
      </c>
      <c r="Q34" s="22">
        <v>7.0</v>
      </c>
      <c r="R34" s="17">
        <f t="shared" si="9"/>
        <v>0.1</v>
      </c>
      <c r="S34" s="15">
        <f t="shared" si="10"/>
        <v>19800</v>
      </c>
      <c r="T34" s="24">
        <f t="shared" si="11"/>
        <v>1</v>
      </c>
      <c r="U34" s="17">
        <f t="shared" si="12"/>
        <v>0.2</v>
      </c>
      <c r="V34" s="22"/>
      <c r="W34" s="22">
        <v>44149.0</v>
      </c>
      <c r="X34" s="18">
        <v>0.0</v>
      </c>
      <c r="Y34" s="26"/>
    </row>
    <row r="35" ht="15.75" customHeight="1">
      <c r="A35" s="32">
        <v>46170.0</v>
      </c>
      <c r="B35" s="21" t="str">
        <f t="shared" si="2"/>
        <v>木</v>
      </c>
      <c r="C35" s="18">
        <v>250000.0</v>
      </c>
      <c r="D35" s="23">
        <f t="shared" si="3"/>
        <v>8250000</v>
      </c>
      <c r="E35" s="18">
        <v>41800.0</v>
      </c>
      <c r="F35" s="18">
        <v>163918.0</v>
      </c>
      <c r="G35" s="23">
        <f t="shared" si="4"/>
        <v>205718</v>
      </c>
      <c r="H35" s="23">
        <f t="shared" si="5"/>
        <v>5885553</v>
      </c>
      <c r="I35" s="25">
        <f t="shared" ref="I35:J35" si="42">IF(G35="","",IFERROR(G35/C35,""))</f>
        <v>0.822872</v>
      </c>
      <c r="J35" s="25">
        <f t="shared" si="42"/>
        <v>0.7134003636</v>
      </c>
      <c r="K35" s="23">
        <f t="shared" si="7"/>
        <v>-2364447</v>
      </c>
      <c r="L35" s="33" t="str">
        <f t="shared" si="8"/>
        <v>▲ 遅れ</v>
      </c>
      <c r="M35" s="22">
        <v>9.0</v>
      </c>
      <c r="N35" s="22">
        <v>9.0</v>
      </c>
      <c r="O35" s="22">
        <v>22.0</v>
      </c>
      <c r="P35" s="22">
        <v>12.0</v>
      </c>
      <c r="Q35" s="22">
        <v>22.0</v>
      </c>
      <c r="R35" s="25">
        <f t="shared" si="9"/>
        <v>0.4090909091</v>
      </c>
      <c r="S35" s="23">
        <f t="shared" si="10"/>
        <v>22857.55556</v>
      </c>
      <c r="T35" s="34">
        <f t="shared" si="11"/>
        <v>1</v>
      </c>
      <c r="U35" s="25">
        <f t="shared" si="12"/>
        <v>0.5454545455</v>
      </c>
      <c r="V35" s="22"/>
      <c r="W35" s="22">
        <v>44172.0</v>
      </c>
      <c r="X35" s="18">
        <v>0.0</v>
      </c>
      <c r="Y35" s="26"/>
    </row>
    <row r="36" ht="15.75" customHeight="1">
      <c r="A36" s="16">
        <v>46171.0</v>
      </c>
      <c r="B36" s="13" t="str">
        <f t="shared" si="2"/>
        <v>金</v>
      </c>
      <c r="C36" s="18">
        <v>250000.0</v>
      </c>
      <c r="D36" s="15">
        <f t="shared" si="3"/>
        <v>8500000</v>
      </c>
      <c r="E36" s="18">
        <v>50710.0</v>
      </c>
      <c r="F36" s="18">
        <v>172920.0</v>
      </c>
      <c r="G36" s="15">
        <f t="shared" si="4"/>
        <v>223630</v>
      </c>
      <c r="H36" s="15">
        <f t="shared" si="5"/>
        <v>6109183</v>
      </c>
      <c r="I36" s="17">
        <f t="shared" ref="I36:J36" si="43">IF(G36="","",IFERROR(G36/C36,""))</f>
        <v>0.89452</v>
      </c>
      <c r="J36" s="17">
        <f t="shared" si="43"/>
        <v>0.7187274118</v>
      </c>
      <c r="K36" s="15">
        <f t="shared" si="7"/>
        <v>-2390817</v>
      </c>
      <c r="L36" s="20" t="str">
        <f t="shared" si="8"/>
        <v>▲ 遅れ</v>
      </c>
      <c r="M36" s="22">
        <v>8.0</v>
      </c>
      <c r="N36" s="22">
        <v>11.0</v>
      </c>
      <c r="O36" s="22">
        <v>19.0</v>
      </c>
      <c r="P36" s="22">
        <v>9.0</v>
      </c>
      <c r="Q36" s="22"/>
      <c r="R36" s="17">
        <f t="shared" si="9"/>
        <v>0.4210526316</v>
      </c>
      <c r="S36" s="15">
        <f t="shared" si="10"/>
        <v>27953.75</v>
      </c>
      <c r="T36" s="24">
        <f t="shared" si="11"/>
        <v>1.375</v>
      </c>
      <c r="U36" s="17">
        <f t="shared" si="12"/>
        <v>0.4736842105</v>
      </c>
      <c r="V36" s="22"/>
      <c r="W36" s="22">
        <v>44169.0</v>
      </c>
      <c r="X36" s="18">
        <v>0.0</v>
      </c>
      <c r="Y36" s="26"/>
    </row>
    <row r="37" ht="15.75" customHeight="1">
      <c r="A37" s="32">
        <v>46172.0</v>
      </c>
      <c r="B37" s="21" t="str">
        <f t="shared" si="2"/>
        <v>土</v>
      </c>
      <c r="C37" s="18">
        <v>300000.0</v>
      </c>
      <c r="D37" s="23">
        <f t="shared" si="3"/>
        <v>8800000</v>
      </c>
      <c r="E37" s="18">
        <v>45200.0</v>
      </c>
      <c r="F37" s="18">
        <v>375667.0</v>
      </c>
      <c r="G37" s="23">
        <f t="shared" si="4"/>
        <v>420867</v>
      </c>
      <c r="H37" s="23">
        <f t="shared" si="5"/>
        <v>6530050</v>
      </c>
      <c r="I37" s="25">
        <f t="shared" ref="I37:J37" si="44">IF(G37="","",IFERROR(G37/C37,""))</f>
        <v>1.40289</v>
      </c>
      <c r="J37" s="25">
        <f t="shared" si="44"/>
        <v>0.7420511364</v>
      </c>
      <c r="K37" s="23">
        <f t="shared" si="7"/>
        <v>-2269950</v>
      </c>
      <c r="L37" s="33" t="str">
        <f t="shared" si="8"/>
        <v>▲ 遅れ</v>
      </c>
      <c r="M37" s="22">
        <v>17.0</v>
      </c>
      <c r="N37" s="22">
        <v>18.0</v>
      </c>
      <c r="O37" s="22">
        <v>42.0</v>
      </c>
      <c r="P37" s="22">
        <v>21.0</v>
      </c>
      <c r="Q37" s="22">
        <v>42.0</v>
      </c>
      <c r="R37" s="25">
        <f t="shared" si="9"/>
        <v>0.4047619048</v>
      </c>
      <c r="S37" s="23">
        <f t="shared" si="10"/>
        <v>24756.88235</v>
      </c>
      <c r="T37" s="34">
        <f t="shared" si="11"/>
        <v>1.058823529</v>
      </c>
      <c r="U37" s="25">
        <f t="shared" si="12"/>
        <v>0.5</v>
      </c>
      <c r="V37" s="22"/>
      <c r="W37" s="22">
        <v>44159.0</v>
      </c>
      <c r="X37" s="18">
        <v>0.0</v>
      </c>
      <c r="Y37" s="26"/>
    </row>
    <row r="38" ht="15.75" customHeight="1">
      <c r="A38" s="16">
        <v>46173.0</v>
      </c>
      <c r="B38" s="13" t="str">
        <f t="shared" si="2"/>
        <v>日</v>
      </c>
      <c r="C38" s="18">
        <v>300000.0</v>
      </c>
      <c r="D38" s="15">
        <f t="shared" si="3"/>
        <v>9100000</v>
      </c>
      <c r="E38" s="18">
        <v>41520.0</v>
      </c>
      <c r="F38" s="18">
        <v>183140.0</v>
      </c>
      <c r="G38" s="15">
        <f t="shared" si="4"/>
        <v>224660</v>
      </c>
      <c r="H38" s="15">
        <f t="shared" si="5"/>
        <v>6754710</v>
      </c>
      <c r="I38" s="17">
        <f t="shared" ref="I38:J38" si="45">IF(G38="","",IFERROR(G38/C38,""))</f>
        <v>0.7488666667</v>
      </c>
      <c r="J38" s="17">
        <f t="shared" si="45"/>
        <v>0.7422758242</v>
      </c>
      <c r="K38" s="15">
        <f t="shared" si="7"/>
        <v>-2345290</v>
      </c>
      <c r="L38" s="20" t="str">
        <f t="shared" si="8"/>
        <v>▲ 遅れ</v>
      </c>
      <c r="M38" s="22">
        <v>10.0</v>
      </c>
      <c r="N38" s="22">
        <v>10.0</v>
      </c>
      <c r="O38" s="22">
        <v>32.0</v>
      </c>
      <c r="P38" s="22">
        <v>13.0</v>
      </c>
      <c r="Q38" s="22">
        <v>21.0</v>
      </c>
      <c r="R38" s="17">
        <f t="shared" si="9"/>
        <v>0.3125</v>
      </c>
      <c r="S38" s="15">
        <f t="shared" si="10"/>
        <v>22466</v>
      </c>
      <c r="T38" s="24">
        <f t="shared" si="11"/>
        <v>1</v>
      </c>
      <c r="U38" s="17">
        <f t="shared" si="12"/>
        <v>0.40625</v>
      </c>
      <c r="V38" s="22"/>
      <c r="W38" s="22">
        <v>44166.0</v>
      </c>
      <c r="X38" s="18">
        <v>0.0</v>
      </c>
      <c r="Y38" s="26"/>
    </row>
    <row r="39" ht="15.75" customHeight="1">
      <c r="A39" s="45" t="s">
        <v>92</v>
      </c>
      <c r="B39" s="36"/>
      <c r="C39" s="37">
        <f>SUM(C8:C38)</f>
        <v>9100000</v>
      </c>
      <c r="D39" s="37">
        <f>C39</f>
        <v>9100000</v>
      </c>
      <c r="E39" s="37">
        <f t="shared" ref="E39:G39" si="46">SUM(E8:E38)</f>
        <v>1427989</v>
      </c>
      <c r="F39" s="37">
        <f t="shared" si="46"/>
        <v>5326721</v>
      </c>
      <c r="G39" s="37">
        <f t="shared" si="46"/>
        <v>6754710</v>
      </c>
      <c r="H39" s="37">
        <f>G39</f>
        <v>6754710</v>
      </c>
      <c r="I39" s="39">
        <f>IFERROR(G39/C39,"")</f>
        <v>0.7422758242</v>
      </c>
      <c r="J39" s="39">
        <f>IFERROR(G39/C39,"")</f>
        <v>0.7422758242</v>
      </c>
      <c r="K39" s="37">
        <f>G39-C39</f>
        <v>-2345290</v>
      </c>
      <c r="L39" s="46"/>
      <c r="M39" s="41">
        <f t="shared" ref="M39:Q39" si="47">SUM(M8:M38)</f>
        <v>274</v>
      </c>
      <c r="N39" s="41">
        <f t="shared" si="47"/>
        <v>307</v>
      </c>
      <c r="O39" s="41">
        <f t="shared" si="47"/>
        <v>923</v>
      </c>
      <c r="P39" s="41">
        <f t="shared" si="47"/>
        <v>401</v>
      </c>
      <c r="Q39" s="41">
        <f t="shared" si="47"/>
        <v>686</v>
      </c>
      <c r="R39" s="39">
        <f t="shared" si="9"/>
        <v>0.2968580715</v>
      </c>
      <c r="S39" s="37">
        <f t="shared" si="10"/>
        <v>24652.22628</v>
      </c>
      <c r="T39" s="47">
        <f t="shared" si="11"/>
        <v>1.120437956</v>
      </c>
      <c r="U39" s="39">
        <f t="shared" si="12"/>
        <v>0.4344528711</v>
      </c>
      <c r="V39" s="41">
        <f>SUM(V8:V38)</f>
        <v>0</v>
      </c>
      <c r="W39" s="41">
        <f>IFERROR(LOOKUP(9.99E+307,W8:W38),"")</f>
        <v>44166</v>
      </c>
      <c r="X39" s="37">
        <f>SUM(X8:X38)</f>
        <v>0</v>
      </c>
      <c r="Y39" s="48" t="s">
        <v>93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55</v>
      </c>
      <c r="H3" s="6"/>
      <c r="I3" s="5" t="s">
        <v>7</v>
      </c>
      <c r="J3" s="6"/>
      <c r="K3" s="5" t="s">
        <v>8</v>
      </c>
      <c r="L3" s="6"/>
    </row>
    <row r="4">
      <c r="A4" s="7">
        <f>IF('設定'!$B$10="",SUM(C8:C37),'設定'!$B$10)</f>
        <v>7000000</v>
      </c>
      <c r="B4" s="6"/>
      <c r="C4" s="8">
        <f>SUM(G8:G37)</f>
        <v>4557689</v>
      </c>
      <c r="D4" s="6"/>
      <c r="E4" s="9">
        <f>IFERROR(C4/A4,0)</f>
        <v>0.6510984286</v>
      </c>
      <c r="F4" s="6"/>
      <c r="G4" s="10">
        <f>COUNTIF(G8:G37,"&gt;0")</f>
        <v>30</v>
      </c>
      <c r="H4" s="6"/>
      <c r="I4" s="8">
        <f>A4-C4</f>
        <v>2442311</v>
      </c>
      <c r="J4" s="6"/>
      <c r="K4" s="8">
        <f>IF((30-G4)&gt;0,(A4-C4)/(30-G4),0)</f>
        <v>0</v>
      </c>
      <c r="L4" s="6"/>
    </row>
    <row r="5">
      <c r="A5" s="5" t="s">
        <v>16</v>
      </c>
      <c r="B5" s="6"/>
      <c r="C5" s="5" t="s">
        <v>17</v>
      </c>
      <c r="D5" s="6"/>
      <c r="E5" s="5" t="s">
        <v>18</v>
      </c>
      <c r="F5" s="6"/>
      <c r="G5" s="5" t="s">
        <v>19</v>
      </c>
      <c r="H5" s="6"/>
      <c r="I5" s="5" t="s">
        <v>20</v>
      </c>
      <c r="J5" s="6"/>
      <c r="K5" s="5" t="s">
        <v>21</v>
      </c>
      <c r="L5" s="6"/>
    </row>
    <row r="6">
      <c r="A6" s="8">
        <f>SUM(C8:C37)</f>
        <v>10200000</v>
      </c>
      <c r="B6" s="6"/>
      <c r="C6" s="8">
        <f>IFERROR(C4/G4*30,0)</f>
        <v>4557689</v>
      </c>
      <c r="D6" s="6"/>
      <c r="E6" s="9">
        <f>IFERROR(M38/O38,0)</f>
        <v>0.3028485757</v>
      </c>
      <c r="F6" s="6"/>
      <c r="G6" s="8">
        <f>IFERROR(G38/M38,0)</f>
        <v>22562.81683</v>
      </c>
      <c r="H6" s="6"/>
      <c r="I6" s="12">
        <f>IFERROR(N38/M38,0)</f>
        <v>1.084158416</v>
      </c>
      <c r="J6" s="6"/>
      <c r="K6" s="9">
        <f>IFERROR(P38/O38,0)</f>
        <v>0.4377811094</v>
      </c>
      <c r="L6" s="6"/>
    </row>
    <row r="7" ht="30.0" customHeight="1">
      <c r="A7" s="11" t="s">
        <v>32</v>
      </c>
      <c r="B7" s="11" t="s">
        <v>33</v>
      </c>
      <c r="C7" s="11" t="s">
        <v>34</v>
      </c>
      <c r="D7" s="11" t="s">
        <v>28</v>
      </c>
      <c r="E7" s="11" t="s">
        <v>35</v>
      </c>
      <c r="F7" s="11" t="s">
        <v>36</v>
      </c>
      <c r="G7" s="11" t="s">
        <v>37</v>
      </c>
      <c r="H7" s="11" t="s">
        <v>29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26</v>
      </c>
      <c r="N7" s="11" t="s">
        <v>42</v>
      </c>
      <c r="O7" s="11" t="s">
        <v>27</v>
      </c>
      <c r="P7" s="11" t="s">
        <v>43</v>
      </c>
      <c r="Q7" s="11" t="s">
        <v>44</v>
      </c>
      <c r="R7" s="11" t="s">
        <v>18</v>
      </c>
      <c r="S7" s="11" t="s">
        <v>19</v>
      </c>
      <c r="T7" s="11" t="s">
        <v>20</v>
      </c>
      <c r="U7" s="11" t="s">
        <v>21</v>
      </c>
      <c r="V7" s="11" t="s">
        <v>45</v>
      </c>
      <c r="W7" s="11" t="s">
        <v>46</v>
      </c>
      <c r="X7" s="11" t="s">
        <v>47</v>
      </c>
      <c r="Y7" s="11" t="s">
        <v>48</v>
      </c>
      <c r="AA7" s="14" t="s">
        <v>49</v>
      </c>
      <c r="AB7" s="14" t="s">
        <v>50</v>
      </c>
      <c r="AC7" s="14" t="s">
        <v>51</v>
      </c>
      <c r="AD7" s="14" t="s">
        <v>18</v>
      </c>
      <c r="AE7" s="14" t="s">
        <v>19</v>
      </c>
    </row>
    <row r="8">
      <c r="A8" s="16">
        <v>46174.0</v>
      </c>
      <c r="B8" s="13" t="str">
        <f t="shared" ref="B8:B37" si="2">MID("日月火水木金土",WEEKDAY(A8),1)</f>
        <v>月</v>
      </c>
      <c r="C8" s="18">
        <v>300000.0</v>
      </c>
      <c r="D8" s="15">
        <f t="shared" ref="D8:D37" si="3">SUM($C$8:C8)</f>
        <v>300000</v>
      </c>
      <c r="E8" s="18">
        <v>0.0</v>
      </c>
      <c r="F8" s="18">
        <v>146074.0</v>
      </c>
      <c r="G8" s="15">
        <f t="shared" ref="G8:G37" si="4">IF(COUNT(E8:F8)=0,"",SUM(E8:F8))</f>
        <v>146074</v>
      </c>
      <c r="H8" s="15">
        <f t="shared" ref="H8:H37" si="5">IF(G8="","",SUM($G$8:G8))</f>
        <v>146074</v>
      </c>
      <c r="I8" s="17">
        <f t="shared" ref="I8:J8" si="1">IF(G8="","",IFERROR(G8/C8,""))</f>
        <v>0.4869133333</v>
      </c>
      <c r="J8" s="17">
        <f t="shared" si="1"/>
        <v>0.4869133333</v>
      </c>
      <c r="K8" s="15">
        <f t="shared" ref="K8:K37" si="7">IF(H8="","",IF(D8=0,"",H8-D8))</f>
        <v>-153926</v>
      </c>
      <c r="L8" s="20" t="str">
        <f t="shared" ref="L8:L37" si="8">IF(G8="","—",IF(D8=0,"予算未入力",IF(H8&gt;=D8,"◎ ペース内","▲ 遅れ")))</f>
        <v>▲ 遅れ</v>
      </c>
      <c r="M8" s="22">
        <v>6.0</v>
      </c>
      <c r="N8" s="22">
        <v>6.0</v>
      </c>
      <c r="O8" s="22">
        <v>17.0</v>
      </c>
      <c r="P8" s="22">
        <v>9.0</v>
      </c>
      <c r="Q8" s="22">
        <v>15.0</v>
      </c>
      <c r="R8" s="17">
        <f t="shared" ref="R8:R38" si="9">IFERROR(M8/O8,"")</f>
        <v>0.3529411765</v>
      </c>
      <c r="S8" s="15">
        <f t="shared" ref="S8:S38" si="10">IFERROR(G8/M8,"")</f>
        <v>24345.66667</v>
      </c>
      <c r="T8" s="24">
        <f t="shared" ref="T8:T38" si="11">IFERROR(N8/M8,"")</f>
        <v>1</v>
      </c>
      <c r="U8" s="17">
        <f t="shared" ref="U8:U38" si="12">IFERROR(P8/O8,"")</f>
        <v>0.5294117647</v>
      </c>
      <c r="V8" s="22"/>
      <c r="W8" s="22">
        <v>44179.0</v>
      </c>
      <c r="X8" s="18">
        <v>0.0</v>
      </c>
      <c r="Y8" s="26"/>
      <c r="AA8" s="27" t="s">
        <v>22</v>
      </c>
      <c r="AB8" s="29">
        <f t="shared" ref="AB8:AB14" si="13">IFERROR(AVERAGEIFS($G$8:$G$37,$B$8:$B$37,AA8,$G$8:$G$37,"&gt;0"),0)</f>
        <v>167350.4</v>
      </c>
      <c r="AC8" s="30">
        <f t="shared" ref="AC8:AC14" si="14">COUNTIFS($B$8:$B$37,AA8,$G$8:$G$37,"&gt;0")</f>
        <v>5</v>
      </c>
      <c r="AD8" s="31">
        <f t="shared" ref="AD8:AD14" si="15">IFERROR(SUMIF($B$8:$B$37,AA8,$M$8:$M$37)/SUMIF($B$8:$B$37,AA8,$O$8:$O$37),0)</f>
        <v>0.3655913978</v>
      </c>
      <c r="AE8" s="29">
        <f t="shared" ref="AE8:AE14" si="16">IFERROR(SUMIF($B$8:$B$37,AA8,$G$8:$G$37)/SUMIF($B$8:$B$37,AA8,$M$8:$M$37),0)</f>
        <v>24610.35294</v>
      </c>
    </row>
    <row r="9">
      <c r="A9" s="32">
        <v>46175.0</v>
      </c>
      <c r="B9" s="21" t="str">
        <f t="shared" si="2"/>
        <v>火</v>
      </c>
      <c r="C9" s="18">
        <v>300000.0</v>
      </c>
      <c r="D9" s="23">
        <f t="shared" si="3"/>
        <v>600000</v>
      </c>
      <c r="E9" s="18">
        <v>48510.0</v>
      </c>
      <c r="F9" s="18">
        <v>108290.0</v>
      </c>
      <c r="G9" s="23">
        <f t="shared" si="4"/>
        <v>156800</v>
      </c>
      <c r="H9" s="23">
        <f t="shared" si="5"/>
        <v>302874</v>
      </c>
      <c r="I9" s="25">
        <f t="shared" ref="I9:J9" si="6">IF(G9="","",IFERROR(G9/C9,""))</f>
        <v>0.5226666667</v>
      </c>
      <c r="J9" s="25">
        <f t="shared" si="6"/>
        <v>0.50479</v>
      </c>
      <c r="K9" s="23">
        <f t="shared" si="7"/>
        <v>-297126</v>
      </c>
      <c r="L9" s="33" t="str">
        <f t="shared" si="8"/>
        <v>▲ 遅れ</v>
      </c>
      <c r="M9" s="22">
        <v>9.0</v>
      </c>
      <c r="N9" s="22">
        <v>9.0</v>
      </c>
      <c r="O9" s="22">
        <v>26.0</v>
      </c>
      <c r="P9" s="22">
        <v>11.0</v>
      </c>
      <c r="Q9" s="22">
        <v>19.0</v>
      </c>
      <c r="R9" s="25">
        <f t="shared" si="9"/>
        <v>0.3461538462</v>
      </c>
      <c r="S9" s="23">
        <f t="shared" si="10"/>
        <v>17422.22222</v>
      </c>
      <c r="T9" s="34">
        <f t="shared" si="11"/>
        <v>1</v>
      </c>
      <c r="U9" s="25">
        <f t="shared" si="12"/>
        <v>0.4230769231</v>
      </c>
      <c r="V9" s="22"/>
      <c r="W9" s="22">
        <v>44174.0</v>
      </c>
      <c r="X9" s="18">
        <v>0.0</v>
      </c>
      <c r="Y9" s="26"/>
      <c r="AA9" s="27" t="s">
        <v>59</v>
      </c>
      <c r="AB9" s="29">
        <f t="shared" si="13"/>
        <v>107109.4</v>
      </c>
      <c r="AC9" s="30">
        <f t="shared" si="14"/>
        <v>5</v>
      </c>
      <c r="AD9" s="31">
        <f t="shared" si="15"/>
        <v>0.2872340426</v>
      </c>
      <c r="AE9" s="29">
        <f t="shared" si="16"/>
        <v>19835.07407</v>
      </c>
    </row>
    <row r="10">
      <c r="A10" s="16">
        <v>46176.0</v>
      </c>
      <c r="B10" s="13" t="str">
        <f t="shared" si="2"/>
        <v>水</v>
      </c>
      <c r="C10" s="18">
        <v>300000.0</v>
      </c>
      <c r="D10" s="15">
        <f t="shared" si="3"/>
        <v>900000</v>
      </c>
      <c r="E10" s="18">
        <v>0.0</v>
      </c>
      <c r="F10" s="18">
        <v>45655.0</v>
      </c>
      <c r="G10" s="15">
        <f t="shared" si="4"/>
        <v>45655</v>
      </c>
      <c r="H10" s="15">
        <f t="shared" si="5"/>
        <v>348529</v>
      </c>
      <c r="I10" s="17">
        <f t="shared" ref="I10:J10" si="17">IF(G10="","",IFERROR(G10/C10,""))</f>
        <v>0.1521833333</v>
      </c>
      <c r="J10" s="17">
        <f t="shared" si="17"/>
        <v>0.3872544444</v>
      </c>
      <c r="K10" s="15">
        <f t="shared" si="7"/>
        <v>-551471</v>
      </c>
      <c r="L10" s="20" t="str">
        <f t="shared" si="8"/>
        <v>▲ 遅れ</v>
      </c>
      <c r="M10" s="22">
        <v>2.0</v>
      </c>
      <c r="N10" s="22">
        <v>2.0</v>
      </c>
      <c r="O10" s="22">
        <v>12.0</v>
      </c>
      <c r="P10" s="22">
        <v>4.0</v>
      </c>
      <c r="Q10" s="22">
        <v>5.0</v>
      </c>
      <c r="R10" s="17">
        <f t="shared" si="9"/>
        <v>0.1666666667</v>
      </c>
      <c r="S10" s="15">
        <f t="shared" si="10"/>
        <v>22827.5</v>
      </c>
      <c r="T10" s="24">
        <f t="shared" si="11"/>
        <v>1</v>
      </c>
      <c r="U10" s="17">
        <f t="shared" si="12"/>
        <v>0.3333333333</v>
      </c>
      <c r="V10" s="22"/>
      <c r="W10" s="22">
        <v>44183.0</v>
      </c>
      <c r="X10" s="18">
        <v>0.0</v>
      </c>
      <c r="Y10" s="26"/>
      <c r="AA10" s="27" t="s">
        <v>61</v>
      </c>
      <c r="AB10" s="29">
        <f t="shared" si="13"/>
        <v>72846.25</v>
      </c>
      <c r="AC10" s="30">
        <f t="shared" si="14"/>
        <v>4</v>
      </c>
      <c r="AD10" s="31">
        <f t="shared" si="15"/>
        <v>0.1395348837</v>
      </c>
      <c r="AE10" s="29">
        <f t="shared" si="16"/>
        <v>24282.08333</v>
      </c>
    </row>
    <row r="11">
      <c r="A11" s="32">
        <v>46177.0</v>
      </c>
      <c r="B11" s="21" t="str">
        <f t="shared" si="2"/>
        <v>木</v>
      </c>
      <c r="C11" s="18">
        <v>300000.0</v>
      </c>
      <c r="D11" s="23">
        <f t="shared" si="3"/>
        <v>1200000</v>
      </c>
      <c r="E11" s="18">
        <v>26010.0</v>
      </c>
      <c r="F11" s="18">
        <v>73920.0</v>
      </c>
      <c r="G11" s="23">
        <f t="shared" si="4"/>
        <v>99930</v>
      </c>
      <c r="H11" s="23">
        <f t="shared" si="5"/>
        <v>448459</v>
      </c>
      <c r="I11" s="25">
        <f t="shared" ref="I11:J11" si="18">IF(G11="","",IFERROR(G11/C11,""))</f>
        <v>0.3331</v>
      </c>
      <c r="J11" s="25">
        <f t="shared" si="18"/>
        <v>0.3737158333</v>
      </c>
      <c r="K11" s="23">
        <f t="shared" si="7"/>
        <v>-751541</v>
      </c>
      <c r="L11" s="33" t="str">
        <f t="shared" si="8"/>
        <v>▲ 遅れ</v>
      </c>
      <c r="M11" s="22">
        <v>5.0</v>
      </c>
      <c r="N11" s="22">
        <v>5.0</v>
      </c>
      <c r="O11" s="22">
        <v>16.0</v>
      </c>
      <c r="P11" s="22">
        <v>7.0</v>
      </c>
      <c r="Q11" s="22">
        <v>14.0</v>
      </c>
      <c r="R11" s="25">
        <f t="shared" si="9"/>
        <v>0.3125</v>
      </c>
      <c r="S11" s="23">
        <f t="shared" si="10"/>
        <v>19986</v>
      </c>
      <c r="T11" s="34">
        <f t="shared" si="11"/>
        <v>1</v>
      </c>
      <c r="U11" s="25">
        <f t="shared" si="12"/>
        <v>0.4375</v>
      </c>
      <c r="V11" s="22"/>
      <c r="W11" s="22">
        <v>44187.0</v>
      </c>
      <c r="X11" s="18">
        <v>0.0</v>
      </c>
      <c r="Y11" s="26"/>
      <c r="AA11" s="27" t="s">
        <v>63</v>
      </c>
      <c r="AB11" s="29">
        <f t="shared" si="13"/>
        <v>159955</v>
      </c>
      <c r="AC11" s="30">
        <f t="shared" si="14"/>
        <v>4</v>
      </c>
      <c r="AD11" s="31">
        <f t="shared" si="15"/>
        <v>0.3717948718</v>
      </c>
      <c r="AE11" s="29">
        <f t="shared" si="16"/>
        <v>22062.75862</v>
      </c>
    </row>
    <row r="12">
      <c r="A12" s="16">
        <v>46178.0</v>
      </c>
      <c r="B12" s="13" t="str">
        <f t="shared" si="2"/>
        <v>金</v>
      </c>
      <c r="C12" s="18">
        <v>300000.0</v>
      </c>
      <c r="D12" s="15">
        <f t="shared" si="3"/>
        <v>1500000</v>
      </c>
      <c r="E12" s="18">
        <v>24310.0</v>
      </c>
      <c r="F12" s="18">
        <v>114610.0</v>
      </c>
      <c r="G12" s="15">
        <f t="shared" si="4"/>
        <v>138920</v>
      </c>
      <c r="H12" s="15">
        <f t="shared" si="5"/>
        <v>587379</v>
      </c>
      <c r="I12" s="17">
        <f t="shared" ref="I12:J12" si="19">IF(G12="","",IFERROR(G12/C12,""))</f>
        <v>0.4630666667</v>
      </c>
      <c r="J12" s="17">
        <f t="shared" si="19"/>
        <v>0.391586</v>
      </c>
      <c r="K12" s="15">
        <f t="shared" si="7"/>
        <v>-912621</v>
      </c>
      <c r="L12" s="20" t="str">
        <f t="shared" si="8"/>
        <v>▲ 遅れ</v>
      </c>
      <c r="M12" s="22">
        <v>7.0</v>
      </c>
      <c r="N12" s="22">
        <v>7.0</v>
      </c>
      <c r="O12" s="22">
        <v>27.0</v>
      </c>
      <c r="P12" s="22">
        <v>11.0</v>
      </c>
      <c r="Q12" s="22">
        <v>17.0</v>
      </c>
      <c r="R12" s="17">
        <f t="shared" si="9"/>
        <v>0.2592592593</v>
      </c>
      <c r="S12" s="15">
        <f t="shared" si="10"/>
        <v>19845.71429</v>
      </c>
      <c r="T12" s="24">
        <f t="shared" si="11"/>
        <v>1</v>
      </c>
      <c r="U12" s="17">
        <f t="shared" si="12"/>
        <v>0.4074074074</v>
      </c>
      <c r="V12" s="22"/>
      <c r="W12" s="22">
        <v>44186.0</v>
      </c>
      <c r="X12" s="18">
        <v>0.0</v>
      </c>
      <c r="Y12" s="26"/>
      <c r="AA12" s="27" t="s">
        <v>65</v>
      </c>
      <c r="AB12" s="29">
        <f t="shared" si="13"/>
        <v>112135</v>
      </c>
      <c r="AC12" s="30">
        <f t="shared" si="14"/>
        <v>4</v>
      </c>
      <c r="AD12" s="31">
        <f t="shared" si="15"/>
        <v>0.2210526316</v>
      </c>
      <c r="AE12" s="29">
        <f t="shared" si="16"/>
        <v>21359.04762</v>
      </c>
    </row>
    <row r="13">
      <c r="A13" s="32">
        <v>46179.0</v>
      </c>
      <c r="B13" s="21" t="str">
        <f t="shared" si="2"/>
        <v>土</v>
      </c>
      <c r="C13" s="18">
        <v>500000.0</v>
      </c>
      <c r="D13" s="23">
        <f t="shared" si="3"/>
        <v>2000000</v>
      </c>
      <c r="E13" s="18">
        <v>73690.0</v>
      </c>
      <c r="F13" s="18">
        <v>331510.0</v>
      </c>
      <c r="G13" s="23">
        <f t="shared" si="4"/>
        <v>405200</v>
      </c>
      <c r="H13" s="23">
        <f t="shared" si="5"/>
        <v>992579</v>
      </c>
      <c r="I13" s="25">
        <f t="shared" ref="I13:J13" si="20">IF(G13="","",IFERROR(G13/C13,""))</f>
        <v>0.8104</v>
      </c>
      <c r="J13" s="25">
        <f t="shared" si="20"/>
        <v>0.4962895</v>
      </c>
      <c r="K13" s="23">
        <f t="shared" si="7"/>
        <v>-1007421</v>
      </c>
      <c r="L13" s="33" t="str">
        <f t="shared" si="8"/>
        <v>▲ 遅れ</v>
      </c>
      <c r="M13" s="22">
        <v>18.0</v>
      </c>
      <c r="N13" s="22">
        <v>20.0</v>
      </c>
      <c r="O13" s="22">
        <v>34.0</v>
      </c>
      <c r="P13" s="22">
        <v>21.0</v>
      </c>
      <c r="Q13" s="22">
        <v>27.0</v>
      </c>
      <c r="R13" s="25">
        <f t="shared" si="9"/>
        <v>0.5294117647</v>
      </c>
      <c r="S13" s="23">
        <f t="shared" si="10"/>
        <v>22511.11111</v>
      </c>
      <c r="T13" s="34">
        <f t="shared" si="11"/>
        <v>1.111111111</v>
      </c>
      <c r="U13" s="25">
        <f t="shared" si="12"/>
        <v>0.6176470588</v>
      </c>
      <c r="V13" s="22"/>
      <c r="W13" s="22">
        <v>44182.0</v>
      </c>
      <c r="X13" s="18">
        <v>0.0</v>
      </c>
      <c r="Y13" s="26"/>
      <c r="AA13" s="27" t="s">
        <v>67</v>
      </c>
      <c r="AB13" s="29">
        <f t="shared" si="13"/>
        <v>309185</v>
      </c>
      <c r="AC13" s="30">
        <f t="shared" si="14"/>
        <v>4</v>
      </c>
      <c r="AD13" s="31">
        <f t="shared" si="15"/>
        <v>0.4406779661</v>
      </c>
      <c r="AE13" s="29">
        <f t="shared" si="16"/>
        <v>23783.46154</v>
      </c>
    </row>
    <row r="14">
      <c r="A14" s="16">
        <v>46180.0</v>
      </c>
      <c r="B14" s="13" t="str">
        <f t="shared" si="2"/>
        <v>日</v>
      </c>
      <c r="C14" s="18">
        <v>400000.0</v>
      </c>
      <c r="D14" s="15">
        <f t="shared" si="3"/>
        <v>2400000</v>
      </c>
      <c r="E14" s="18">
        <v>17710.0</v>
      </c>
      <c r="F14" s="18">
        <v>160850.0</v>
      </c>
      <c r="G14" s="15">
        <f t="shared" si="4"/>
        <v>178560</v>
      </c>
      <c r="H14" s="15">
        <f t="shared" si="5"/>
        <v>1171139</v>
      </c>
      <c r="I14" s="17">
        <f t="shared" ref="I14:J14" si="21">IF(G14="","",IFERROR(G14/C14,""))</f>
        <v>0.4464</v>
      </c>
      <c r="J14" s="17">
        <f t="shared" si="21"/>
        <v>0.4879745833</v>
      </c>
      <c r="K14" s="15">
        <f t="shared" si="7"/>
        <v>-1228861</v>
      </c>
      <c r="L14" s="20" t="str">
        <f t="shared" si="8"/>
        <v>▲ 遅れ</v>
      </c>
      <c r="M14" s="22">
        <v>8.0</v>
      </c>
      <c r="N14" s="22">
        <v>8.0</v>
      </c>
      <c r="O14" s="22">
        <v>26.0</v>
      </c>
      <c r="P14" s="22">
        <v>12.0</v>
      </c>
      <c r="Q14" s="22">
        <v>21.0</v>
      </c>
      <c r="R14" s="17">
        <f t="shared" si="9"/>
        <v>0.3076923077</v>
      </c>
      <c r="S14" s="15">
        <f t="shared" si="10"/>
        <v>22320</v>
      </c>
      <c r="T14" s="24">
        <f t="shared" si="11"/>
        <v>1</v>
      </c>
      <c r="U14" s="17">
        <f t="shared" si="12"/>
        <v>0.4615384615</v>
      </c>
      <c r="V14" s="22"/>
      <c r="W14" s="22">
        <v>44175.0</v>
      </c>
      <c r="X14" s="18">
        <v>0.0</v>
      </c>
      <c r="Y14" s="26"/>
      <c r="AA14" s="27" t="s">
        <v>69</v>
      </c>
      <c r="AB14" s="29">
        <f t="shared" si="13"/>
        <v>142226.25</v>
      </c>
      <c r="AC14" s="30">
        <f t="shared" si="14"/>
        <v>4</v>
      </c>
      <c r="AD14" s="31">
        <f t="shared" si="15"/>
        <v>0.2621359223</v>
      </c>
      <c r="AE14" s="29">
        <f t="shared" si="16"/>
        <v>21070.55556</v>
      </c>
    </row>
    <row r="15">
      <c r="A15" s="32">
        <v>46181.0</v>
      </c>
      <c r="B15" s="21" t="str">
        <f t="shared" si="2"/>
        <v>月</v>
      </c>
      <c r="C15" s="18">
        <v>300000.0</v>
      </c>
      <c r="D15" s="23">
        <f t="shared" si="3"/>
        <v>2700000</v>
      </c>
      <c r="E15" s="18">
        <v>17600.0</v>
      </c>
      <c r="F15" s="18">
        <v>146290.0</v>
      </c>
      <c r="G15" s="23">
        <f t="shared" si="4"/>
        <v>163890</v>
      </c>
      <c r="H15" s="23">
        <f t="shared" si="5"/>
        <v>1335029</v>
      </c>
      <c r="I15" s="25">
        <f t="shared" ref="I15:J15" si="22">IF(G15="","",IFERROR(G15/C15,""))</f>
        <v>0.5463</v>
      </c>
      <c r="J15" s="25">
        <f t="shared" si="22"/>
        <v>0.4944551852</v>
      </c>
      <c r="K15" s="23">
        <f t="shared" si="7"/>
        <v>-1364971</v>
      </c>
      <c r="L15" s="33" t="str">
        <f t="shared" si="8"/>
        <v>▲ 遅れ</v>
      </c>
      <c r="M15" s="22">
        <v>7.0</v>
      </c>
      <c r="N15" s="22">
        <v>8.0</v>
      </c>
      <c r="O15" s="22">
        <v>18.0</v>
      </c>
      <c r="P15" s="22">
        <v>10.0</v>
      </c>
      <c r="Q15" s="22">
        <v>17.0</v>
      </c>
      <c r="R15" s="25">
        <f t="shared" si="9"/>
        <v>0.3888888889</v>
      </c>
      <c r="S15" s="23">
        <f t="shared" si="10"/>
        <v>23412.85714</v>
      </c>
      <c r="T15" s="34">
        <f t="shared" si="11"/>
        <v>1.142857143</v>
      </c>
      <c r="U15" s="25">
        <f t="shared" si="12"/>
        <v>0.5555555556</v>
      </c>
      <c r="V15" s="22"/>
      <c r="W15" s="22">
        <v>44187.0</v>
      </c>
      <c r="X15" s="18">
        <v>0.0</v>
      </c>
      <c r="Y15" s="26"/>
    </row>
    <row r="16">
      <c r="A16" s="16">
        <v>46182.0</v>
      </c>
      <c r="B16" s="13" t="str">
        <f t="shared" si="2"/>
        <v>火</v>
      </c>
      <c r="C16" s="18">
        <v>300000.0</v>
      </c>
      <c r="D16" s="15">
        <f t="shared" si="3"/>
        <v>3000000</v>
      </c>
      <c r="E16" s="18">
        <v>23810.0</v>
      </c>
      <c r="F16" s="18">
        <v>19800.0</v>
      </c>
      <c r="G16" s="15">
        <f t="shared" si="4"/>
        <v>43610</v>
      </c>
      <c r="H16" s="15">
        <f t="shared" si="5"/>
        <v>1378639</v>
      </c>
      <c r="I16" s="17">
        <f t="shared" ref="I16:J16" si="23">IF(G16="","",IFERROR(G16/C16,""))</f>
        <v>0.1453666667</v>
      </c>
      <c r="J16" s="17">
        <f t="shared" si="23"/>
        <v>0.4595463333</v>
      </c>
      <c r="K16" s="15">
        <f t="shared" si="7"/>
        <v>-1621361</v>
      </c>
      <c r="L16" s="20" t="str">
        <f t="shared" si="8"/>
        <v>▲ 遅れ</v>
      </c>
      <c r="M16" s="22">
        <v>2.0</v>
      </c>
      <c r="N16" s="22">
        <v>2.0</v>
      </c>
      <c r="O16" s="22">
        <v>14.0</v>
      </c>
      <c r="P16" s="22">
        <v>6.0</v>
      </c>
      <c r="Q16" s="22">
        <v>9.0</v>
      </c>
      <c r="R16" s="17">
        <f t="shared" si="9"/>
        <v>0.1428571429</v>
      </c>
      <c r="S16" s="15">
        <f t="shared" si="10"/>
        <v>21805</v>
      </c>
      <c r="T16" s="24">
        <f t="shared" si="11"/>
        <v>1</v>
      </c>
      <c r="U16" s="17">
        <f t="shared" si="12"/>
        <v>0.4285714286</v>
      </c>
      <c r="V16" s="22"/>
      <c r="W16" s="22">
        <v>44178.0</v>
      </c>
      <c r="X16" s="18">
        <v>0.0</v>
      </c>
      <c r="Y16" s="26"/>
      <c r="AA16" s="35" t="s">
        <v>71</v>
      </c>
    </row>
    <row r="17">
      <c r="A17" s="32">
        <v>46183.0</v>
      </c>
      <c r="B17" s="21" t="str">
        <f t="shared" si="2"/>
        <v>水</v>
      </c>
      <c r="C17" s="18">
        <v>300000.0</v>
      </c>
      <c r="D17" s="23">
        <f t="shared" si="3"/>
        <v>3300000</v>
      </c>
      <c r="E17" s="18">
        <v>50820.0</v>
      </c>
      <c r="F17" s="18">
        <v>109720.0</v>
      </c>
      <c r="G17" s="23">
        <f t="shared" si="4"/>
        <v>160540</v>
      </c>
      <c r="H17" s="23">
        <f t="shared" si="5"/>
        <v>1539179</v>
      </c>
      <c r="I17" s="25">
        <f t="shared" ref="I17:J17" si="24">IF(G17="","",IFERROR(G17/C17,""))</f>
        <v>0.5351333333</v>
      </c>
      <c r="J17" s="25">
        <f t="shared" si="24"/>
        <v>0.4664178788</v>
      </c>
      <c r="K17" s="23">
        <f t="shared" si="7"/>
        <v>-1760821</v>
      </c>
      <c r="L17" s="33" t="str">
        <f t="shared" si="8"/>
        <v>▲ 遅れ</v>
      </c>
      <c r="M17" s="22">
        <v>6.0</v>
      </c>
      <c r="N17" s="22">
        <v>7.0</v>
      </c>
      <c r="O17" s="22">
        <v>22.0</v>
      </c>
      <c r="P17" s="22">
        <v>12.0</v>
      </c>
      <c r="Q17" s="22">
        <v>15.0</v>
      </c>
      <c r="R17" s="25">
        <f t="shared" si="9"/>
        <v>0.2727272727</v>
      </c>
      <c r="S17" s="23">
        <f t="shared" si="10"/>
        <v>26756.66667</v>
      </c>
      <c r="T17" s="34">
        <f t="shared" si="11"/>
        <v>1.166666667</v>
      </c>
      <c r="U17" s="25">
        <f t="shared" si="12"/>
        <v>0.5454545455</v>
      </c>
      <c r="V17" s="22"/>
      <c r="W17" s="22">
        <v>44171.0</v>
      </c>
      <c r="X17" s="18">
        <v>0.0</v>
      </c>
      <c r="Y17" s="26"/>
    </row>
    <row r="18">
      <c r="A18" s="16">
        <v>46184.0</v>
      </c>
      <c r="B18" s="13" t="str">
        <f t="shared" si="2"/>
        <v>木</v>
      </c>
      <c r="C18" s="18">
        <v>300000.0</v>
      </c>
      <c r="D18" s="15">
        <f t="shared" si="3"/>
        <v>3600000</v>
      </c>
      <c r="E18" s="18">
        <v>17710.0</v>
      </c>
      <c r="F18" s="18">
        <v>192260.0</v>
      </c>
      <c r="G18" s="15">
        <f t="shared" si="4"/>
        <v>209970</v>
      </c>
      <c r="H18" s="15">
        <f t="shared" si="5"/>
        <v>1749149</v>
      </c>
      <c r="I18" s="17">
        <f t="shared" ref="I18:J18" si="25">IF(G18="","",IFERROR(G18/C18,""))</f>
        <v>0.6999</v>
      </c>
      <c r="J18" s="17">
        <f t="shared" si="25"/>
        <v>0.4858747222</v>
      </c>
      <c r="K18" s="15">
        <f t="shared" si="7"/>
        <v>-1850851</v>
      </c>
      <c r="L18" s="20" t="str">
        <f t="shared" si="8"/>
        <v>▲ 遅れ</v>
      </c>
      <c r="M18" s="22">
        <v>9.0</v>
      </c>
      <c r="N18" s="22">
        <v>9.0</v>
      </c>
      <c r="O18" s="22">
        <v>22.0</v>
      </c>
      <c r="P18" s="22">
        <v>12.0</v>
      </c>
      <c r="Q18" s="22">
        <v>20.0</v>
      </c>
      <c r="R18" s="17">
        <f t="shared" si="9"/>
        <v>0.4090909091</v>
      </c>
      <c r="S18" s="15">
        <f t="shared" si="10"/>
        <v>23330</v>
      </c>
      <c r="T18" s="24">
        <f t="shared" si="11"/>
        <v>1</v>
      </c>
      <c r="U18" s="17">
        <f t="shared" si="12"/>
        <v>0.5454545455</v>
      </c>
      <c r="V18" s="22"/>
      <c r="W18" s="22">
        <v>44179.0</v>
      </c>
      <c r="X18" s="18">
        <v>0.0</v>
      </c>
      <c r="Y18" s="26"/>
      <c r="AA18" s="38" t="s">
        <v>73</v>
      </c>
      <c r="AH18" s="35" t="s">
        <v>82</v>
      </c>
      <c r="AI18" s="40">
        <f>$A$8+MOD(2-WEEKDAY($A$8,2)+7,7)</f>
        <v>46175</v>
      </c>
    </row>
    <row r="19">
      <c r="A19" s="32">
        <v>46185.0</v>
      </c>
      <c r="B19" s="21" t="str">
        <f t="shared" si="2"/>
        <v>金</v>
      </c>
      <c r="C19" s="18">
        <v>300000.0</v>
      </c>
      <c r="D19" s="23">
        <f t="shared" si="3"/>
        <v>3900000</v>
      </c>
      <c r="E19" s="18">
        <v>43220.0</v>
      </c>
      <c r="F19" s="18">
        <v>55930.0</v>
      </c>
      <c r="G19" s="23">
        <f t="shared" si="4"/>
        <v>99150</v>
      </c>
      <c r="H19" s="23">
        <f t="shared" si="5"/>
        <v>1848299</v>
      </c>
      <c r="I19" s="25">
        <f t="shared" ref="I19:J19" si="26">IF(G19="","",IFERROR(G19/C19,""))</f>
        <v>0.3305</v>
      </c>
      <c r="J19" s="25">
        <f t="shared" si="26"/>
        <v>0.4739228205</v>
      </c>
      <c r="K19" s="23">
        <f t="shared" si="7"/>
        <v>-2051701</v>
      </c>
      <c r="L19" s="33" t="str">
        <f t="shared" si="8"/>
        <v>▲ 遅れ</v>
      </c>
      <c r="M19" s="22">
        <v>5.0</v>
      </c>
      <c r="N19" s="22">
        <v>5.0</v>
      </c>
      <c r="O19" s="22">
        <v>23.0</v>
      </c>
      <c r="P19" s="22">
        <v>8.0</v>
      </c>
      <c r="Q19" s="22">
        <v>15.0</v>
      </c>
      <c r="R19" s="25">
        <f t="shared" si="9"/>
        <v>0.2173913043</v>
      </c>
      <c r="S19" s="23">
        <f t="shared" si="10"/>
        <v>19830</v>
      </c>
      <c r="T19" s="34">
        <f t="shared" si="11"/>
        <v>1</v>
      </c>
      <c r="U19" s="25">
        <f t="shared" si="12"/>
        <v>0.347826087</v>
      </c>
      <c r="V19" s="22"/>
      <c r="W19" s="22">
        <v>44177.0</v>
      </c>
      <c r="X19" s="18">
        <v>0.0</v>
      </c>
      <c r="Y19" s="26"/>
      <c r="AA19" s="14" t="s">
        <v>76</v>
      </c>
      <c r="AB19" s="14" t="s">
        <v>77</v>
      </c>
      <c r="AC19" s="14" t="s">
        <v>78</v>
      </c>
      <c r="AD19" s="14" t="s">
        <v>18</v>
      </c>
      <c r="AE19" s="14" t="s">
        <v>19</v>
      </c>
      <c r="AF19" s="14" t="s">
        <v>20</v>
      </c>
      <c r="AG19" s="14" t="s">
        <v>21</v>
      </c>
    </row>
    <row r="20">
      <c r="A20" s="16">
        <v>46186.0</v>
      </c>
      <c r="B20" s="13" t="str">
        <f t="shared" si="2"/>
        <v>土</v>
      </c>
      <c r="C20" s="18">
        <v>500000.0</v>
      </c>
      <c r="D20" s="15">
        <f t="shared" si="3"/>
        <v>4400000</v>
      </c>
      <c r="E20" s="18">
        <v>189570.0</v>
      </c>
      <c r="F20" s="18">
        <v>256710.0</v>
      </c>
      <c r="G20" s="15">
        <f t="shared" si="4"/>
        <v>446280</v>
      </c>
      <c r="H20" s="15">
        <f t="shared" si="5"/>
        <v>2294579</v>
      </c>
      <c r="I20" s="17">
        <f t="shared" ref="I20:J20" si="27">IF(G20="","",IFERROR(G20/C20,""))</f>
        <v>0.89256</v>
      </c>
      <c r="J20" s="17">
        <f t="shared" si="27"/>
        <v>0.5214952273</v>
      </c>
      <c r="K20" s="15">
        <f t="shared" si="7"/>
        <v>-2105421</v>
      </c>
      <c r="L20" s="20" t="str">
        <f t="shared" si="8"/>
        <v>▲ 遅れ</v>
      </c>
      <c r="M20" s="22">
        <v>19.0</v>
      </c>
      <c r="N20" s="22">
        <v>20.0</v>
      </c>
      <c r="O20" s="22">
        <v>42.0</v>
      </c>
      <c r="P20" s="22">
        <v>23.0</v>
      </c>
      <c r="Q20" s="22">
        <v>28.0</v>
      </c>
      <c r="R20" s="17">
        <f t="shared" si="9"/>
        <v>0.4523809524</v>
      </c>
      <c r="S20" s="15">
        <f t="shared" si="10"/>
        <v>23488.42105</v>
      </c>
      <c r="T20" s="24">
        <f t="shared" si="11"/>
        <v>1.052631579</v>
      </c>
      <c r="U20" s="17">
        <f t="shared" si="12"/>
        <v>0.5476190476</v>
      </c>
      <c r="V20" s="22"/>
      <c r="W20" s="22">
        <v>44165.0</v>
      </c>
      <c r="X20" s="18">
        <v>0.0</v>
      </c>
      <c r="Y20" s="26"/>
      <c r="AA20" s="30">
        <v>1.0</v>
      </c>
      <c r="AB20" s="42" t="str">
        <f>IF($AI$18+7*(1-1)&gt;$A$37,"",TEXT($AI$18+7*(1-1),"m/d")&amp;"-"&amp;TEXT($AI$18+7*(1-1)+6,"m/d"))</f>
        <v>6/2-6/8</v>
      </c>
      <c r="AC20" s="29">
        <f>IF($AB20="","",(SUMIFS($G$8:$G$37,$A$8:$A$37,"&gt;="&amp;$AI$18+7*(1-1),$A$8:$A$37,"&lt;="&amp;$AI$18+7*(1-1)+6)+SUMIFS('2026年07月'!$G$8:$G$38,'2026年07月'!$A$8:$A$38,"&gt;="&amp;$AI$18+7*(1-1),'2026年07月'!$A$8:$A$38,"&lt;="&amp;$AI$18+7*(1-1)+6)))</f>
        <v>1188955</v>
      </c>
      <c r="AD20" s="31">
        <f>IF($AB20="","",IFERROR((SUMIFS($M$8:$M$37,$A$8:$A$37,"&gt;="&amp;$AI$18+7*(1-1),$A$8:$A$37,"&lt;="&amp;$AI$18+7*(1-1)+6)+SUMIFS('2026年07月'!$M$8:$M$38,'2026年07月'!$A$8:$A$38,"&gt;="&amp;$AI$18+7*(1-1),'2026年07月'!$A$8:$A$38,"&lt;="&amp;$AI$18+7*(1-1)+6))/(SUMIFS($O$8:$O$37,$A$8:$A$37,"&gt;="&amp;$AI$18+7*(1-1),$A$8:$A$37,"&lt;="&amp;$AI$18+7*(1-1)+6)+SUMIFS('2026年07月'!$O$8:$O$38,'2026年07月'!$A$8:$A$38,"&gt;="&amp;$AI$18+7*(1-1),'2026年07月'!$A$8:$A$38,"&lt;="&amp;$AI$18+7*(1-1)+6)),""))</f>
        <v>0.3522012579</v>
      </c>
      <c r="AE20" s="29">
        <f>IF($AB20="","",IFERROR((SUMIFS($G$8:$G$37,$A$8:$A$37,"&gt;="&amp;$AI$18+7*(1-1),$A$8:$A$37,"&lt;="&amp;$AI$18+7*(1-1)+6)+SUMIFS('2026年07月'!$G$8:$G$38,'2026年07月'!$A$8:$A$38,"&gt;="&amp;$AI$18+7*(1-1),'2026年07月'!$A$8:$A$38,"&lt;="&amp;$AI$18+7*(1-1)+6))/(SUMIFS($M$8:$M$37,$A$8:$A$37,"&gt;="&amp;$AI$18+7*(1-1),$A$8:$A$37,"&lt;="&amp;$AI$18+7*(1-1)+6)+SUMIFS('2026年07月'!$M$8:$M$38,'2026年07月'!$A$8:$A$38,"&gt;="&amp;$AI$18+7*(1-1),'2026年07月'!$A$8:$A$38,"&lt;="&amp;$AI$18+7*(1-1)+6)),""))</f>
        <v>21231.33929</v>
      </c>
      <c r="AF20" s="43">
        <f>IF($AB20="","",IFERROR((SUMIFS($N$8:$N$37,$A$8:$A$37,"&gt;="&amp;$AI$18+7*(1-1),$A$8:$A$37,"&lt;="&amp;$AI$18+7*(1-1)+6)+SUMIFS('2026年07月'!$N$8:$N$38,'2026年07月'!$A$8:$A$38,"&gt;="&amp;$AI$18+7*(1-1),'2026年07月'!$A$8:$A$38,"&lt;="&amp;$AI$18+7*(1-1)+6))/(SUMIFS($M$8:$M$37,$A$8:$A$37,"&gt;="&amp;$AI$18+7*(1-1),$A$8:$A$37,"&lt;="&amp;$AI$18+7*(1-1)+6)+SUMIFS('2026年07月'!$M$8:$M$38,'2026年07月'!$A$8:$A$38,"&gt;="&amp;$AI$18+7*(1-1),'2026年07月'!$A$8:$A$38,"&lt;="&amp;$AI$18+7*(1-1)+6)),""))</f>
        <v>1.053571429</v>
      </c>
      <c r="AG20" s="31">
        <f>IF($AB20="","",IFERROR((SUMIFS($P$8:$P$37,$A$8:$A$37,"&gt;="&amp;$AI$18+7*(1-1),$A$8:$A$37,"&lt;="&amp;$AI$18+7*(1-1)+6)+SUMIFS('2026年07月'!$P$8:$P$38,'2026年07月'!$A$8:$A$38,"&gt;="&amp;$AI$18+7*(1-1),'2026年07月'!$A$8:$A$38,"&lt;="&amp;$AI$18+7*(1-1)+6))/(SUMIFS($O$8:$O$37,$A$8:$A$37,"&gt;="&amp;$AI$18+7*(1-1),$A$8:$A$37,"&lt;="&amp;$AI$18+7*(1-1)+6)+SUMIFS('2026年07月'!$O$8:$O$38,'2026年07月'!$A$8:$A$38,"&gt;="&amp;$AI$18+7*(1-1),'2026年07月'!$A$8:$A$38,"&lt;="&amp;$AI$18+7*(1-1)+6)),""))</f>
        <v>0.4779874214</v>
      </c>
    </row>
    <row r="21" ht="15.75" customHeight="1">
      <c r="A21" s="32">
        <v>46187.0</v>
      </c>
      <c r="B21" s="21" t="str">
        <f t="shared" si="2"/>
        <v>日</v>
      </c>
      <c r="C21" s="18">
        <v>400000.0</v>
      </c>
      <c r="D21" s="23">
        <f t="shared" si="3"/>
        <v>4800000</v>
      </c>
      <c r="E21" s="18">
        <v>52556.0</v>
      </c>
      <c r="F21" s="18">
        <v>89309.0</v>
      </c>
      <c r="G21" s="23">
        <f t="shared" si="4"/>
        <v>141865</v>
      </c>
      <c r="H21" s="23">
        <f t="shared" si="5"/>
        <v>2436444</v>
      </c>
      <c r="I21" s="25">
        <f t="shared" ref="I21:J21" si="28">IF(G21="","",IFERROR(G21/C21,""))</f>
        <v>0.3546625</v>
      </c>
      <c r="J21" s="25">
        <f t="shared" si="28"/>
        <v>0.5075925</v>
      </c>
      <c r="K21" s="23">
        <f t="shared" si="7"/>
        <v>-2363556</v>
      </c>
      <c r="L21" s="33" t="str">
        <f t="shared" si="8"/>
        <v>▲ 遅れ</v>
      </c>
      <c r="M21" s="22">
        <v>6.0</v>
      </c>
      <c r="N21" s="22">
        <v>6.0</v>
      </c>
      <c r="O21" s="22">
        <v>21.0</v>
      </c>
      <c r="P21" s="22">
        <v>7.0</v>
      </c>
      <c r="Q21" s="22">
        <v>11.0</v>
      </c>
      <c r="R21" s="25">
        <f t="shared" si="9"/>
        <v>0.2857142857</v>
      </c>
      <c r="S21" s="23">
        <f t="shared" si="10"/>
        <v>23644.16667</v>
      </c>
      <c r="T21" s="34">
        <f t="shared" si="11"/>
        <v>1</v>
      </c>
      <c r="U21" s="25">
        <f t="shared" si="12"/>
        <v>0.3333333333</v>
      </c>
      <c r="V21" s="22"/>
      <c r="W21" s="22">
        <v>44144.0</v>
      </c>
      <c r="X21" s="18">
        <v>0.0</v>
      </c>
      <c r="Y21" s="26"/>
      <c r="AA21" s="30">
        <v>2.0</v>
      </c>
      <c r="AB21" s="42" t="str">
        <f>IF($AI$18+7*(2-1)&gt;$A$37,"",TEXT($AI$18+7*(2-1),"m/d")&amp;"-"&amp;TEXT($AI$18+7*(2-1)+6,"m/d"))</f>
        <v>6/9-6/15</v>
      </c>
      <c r="AC21" s="29">
        <f>IF($AB21="","",(SUMIFS($G$8:$G$37,$A$8:$A$37,"&gt;="&amp;$AI$18+7*(2-1),$A$8:$A$37,"&lt;="&amp;$AI$18+7*(2-1)+6)+SUMIFS('2026年07月'!$G$8:$G$38,'2026年07月'!$A$8:$A$38,"&gt;="&amp;$AI$18+7*(2-1),'2026年07月'!$A$8:$A$38,"&lt;="&amp;$AI$18+7*(2-1)+6)))</f>
        <v>1352903</v>
      </c>
      <c r="AD21" s="31">
        <f>IF($AB21="","",IFERROR((SUMIFS($M$8:$M$37,$A$8:$A$37,"&gt;="&amp;$AI$18+7*(2-1),$A$8:$A$37,"&lt;="&amp;$AI$18+7*(2-1)+6)+SUMIFS('2026年07月'!$M$8:$M$38,'2026年07月'!$A$8:$A$38,"&gt;="&amp;$AI$18+7*(2-1),'2026年07月'!$A$8:$A$38,"&lt;="&amp;$AI$18+7*(2-1)+6))/(SUMIFS($O$8:$O$37,$A$8:$A$37,"&gt;="&amp;$AI$18+7*(2-1),$A$8:$A$37,"&lt;="&amp;$AI$18+7*(2-1)+6)+SUMIFS('2026年07月'!$O$8:$O$38,'2026年07月'!$A$8:$A$38,"&gt;="&amp;$AI$18+7*(2-1),'2026年07月'!$A$8:$A$38,"&lt;="&amp;$AI$18+7*(2-1)+6)),""))</f>
        <v>0.3413173653</v>
      </c>
      <c r="AE21" s="29">
        <f>IF($AB21="","",IFERROR((SUMIFS($G$8:$G$37,$A$8:$A$37,"&gt;="&amp;$AI$18+7*(2-1),$A$8:$A$37,"&lt;="&amp;$AI$18+7*(2-1)+6)+SUMIFS('2026年07月'!$G$8:$G$38,'2026年07月'!$A$8:$A$38,"&gt;="&amp;$AI$18+7*(2-1),'2026年07月'!$A$8:$A$38,"&lt;="&amp;$AI$18+7*(2-1)+6))/(SUMIFS($M$8:$M$37,$A$8:$A$37,"&gt;="&amp;$AI$18+7*(2-1),$A$8:$A$37,"&lt;="&amp;$AI$18+7*(2-1)+6)+SUMIFS('2026年07月'!$M$8:$M$38,'2026年07月'!$A$8:$A$38,"&gt;="&amp;$AI$18+7*(2-1),'2026年07月'!$A$8:$A$38,"&lt;="&amp;$AI$18+7*(2-1)+6)),""))</f>
        <v>23735.14035</v>
      </c>
      <c r="AF21" s="43">
        <f>IF($AB21="","",IFERROR((SUMIFS($N$8:$N$37,$A$8:$A$37,"&gt;="&amp;$AI$18+7*(2-1),$A$8:$A$37,"&lt;="&amp;$AI$18+7*(2-1)+6)+SUMIFS('2026年07月'!$N$8:$N$38,'2026年07月'!$A$8:$A$38,"&gt;="&amp;$AI$18+7*(2-1),'2026年07月'!$A$8:$A$38,"&lt;="&amp;$AI$18+7*(2-1)+6))/(SUMIFS($M$8:$M$37,$A$8:$A$37,"&gt;="&amp;$AI$18+7*(2-1),$A$8:$A$37,"&lt;="&amp;$AI$18+7*(2-1)+6)+SUMIFS('2026年07月'!$M$8:$M$38,'2026年07月'!$A$8:$A$38,"&gt;="&amp;$AI$18+7*(2-1),'2026年07月'!$A$8:$A$38,"&lt;="&amp;$AI$18+7*(2-1)+6)),""))</f>
        <v>1.087719298</v>
      </c>
      <c r="AG21" s="31">
        <f>IF($AB21="","",IFERROR((SUMIFS($P$8:$P$37,$A$8:$A$37,"&gt;="&amp;$AI$18+7*(2-1),$A$8:$A$37,"&lt;="&amp;$AI$18+7*(2-1)+6)+SUMIFS('2026年07月'!$P$8:$P$38,'2026年07月'!$A$8:$A$38,"&gt;="&amp;$AI$18+7*(2-1),'2026年07月'!$A$8:$A$38,"&lt;="&amp;$AI$18+7*(2-1)+6))/(SUMIFS($O$8:$O$37,$A$8:$A$37,"&gt;="&amp;$AI$18+7*(2-1),$A$8:$A$37,"&lt;="&amp;$AI$18+7*(2-1)+6)+SUMIFS('2026年07月'!$O$8:$O$38,'2026年07月'!$A$8:$A$38,"&gt;="&amp;$AI$18+7*(2-1),'2026年07月'!$A$8:$A$38,"&lt;="&amp;$AI$18+7*(2-1)+6)),""))</f>
        <v>0.4850299401</v>
      </c>
    </row>
    <row r="22" ht="15.75" customHeight="1">
      <c r="A22" s="16">
        <v>46188.0</v>
      </c>
      <c r="B22" s="13" t="str">
        <f t="shared" si="2"/>
        <v>月</v>
      </c>
      <c r="C22" s="18">
        <v>300000.0</v>
      </c>
      <c r="D22" s="15">
        <f t="shared" si="3"/>
        <v>5100000</v>
      </c>
      <c r="E22" s="18">
        <v>72391.0</v>
      </c>
      <c r="F22" s="18">
        <v>179097.0</v>
      </c>
      <c r="G22" s="15">
        <f t="shared" si="4"/>
        <v>251488</v>
      </c>
      <c r="H22" s="15">
        <f t="shared" si="5"/>
        <v>2687932</v>
      </c>
      <c r="I22" s="17">
        <f t="shared" ref="I22:J22" si="29">IF(G22="","",IFERROR(G22/C22,""))</f>
        <v>0.8382933333</v>
      </c>
      <c r="J22" s="17">
        <f t="shared" si="29"/>
        <v>0.5270454902</v>
      </c>
      <c r="K22" s="15">
        <f t="shared" si="7"/>
        <v>-2412068</v>
      </c>
      <c r="L22" s="20" t="str">
        <f t="shared" si="8"/>
        <v>▲ 遅れ</v>
      </c>
      <c r="M22" s="22">
        <v>10.0</v>
      </c>
      <c r="N22" s="22">
        <v>13.0</v>
      </c>
      <c r="O22" s="22">
        <v>23.0</v>
      </c>
      <c r="P22" s="22">
        <v>13.0</v>
      </c>
      <c r="Q22" s="22">
        <v>21.0</v>
      </c>
      <c r="R22" s="17">
        <f t="shared" si="9"/>
        <v>0.4347826087</v>
      </c>
      <c r="S22" s="15">
        <f t="shared" si="10"/>
        <v>25148.8</v>
      </c>
      <c r="T22" s="24">
        <f t="shared" si="11"/>
        <v>1.3</v>
      </c>
      <c r="U22" s="17">
        <f t="shared" si="12"/>
        <v>0.5652173913</v>
      </c>
      <c r="V22" s="22"/>
      <c r="W22" s="22">
        <v>44142.0</v>
      </c>
      <c r="X22" s="18">
        <v>0.0</v>
      </c>
      <c r="Y22" s="26"/>
      <c r="AA22" s="30">
        <v>3.0</v>
      </c>
      <c r="AB22" s="42" t="str">
        <f>IF($AI$18+7*(3-1)&gt;$A$37,"",TEXT($AI$18+7*(3-1),"m/d")&amp;"-"&amp;TEXT($AI$18+7*(3-1)+6,"m/d"))</f>
        <v>6/16-6/22</v>
      </c>
      <c r="AC22" s="29">
        <f>IF($AB22="","",(SUMIFS($G$8:$G$37,$A$8:$A$37,"&gt;="&amp;$AI$18+7*(3-1),$A$8:$A$37,"&lt;="&amp;$AI$18+7*(3-1)+6)+SUMIFS('2026年07月'!$G$8:$G$38,'2026年07月'!$A$8:$A$38,"&gt;="&amp;$AI$18+7*(3-1),'2026年07月'!$A$8:$A$38,"&lt;="&amp;$AI$18+7*(3-1)+6)))</f>
        <v>934000</v>
      </c>
      <c r="AD22" s="31">
        <f>IF($AB22="","",IFERROR((SUMIFS($M$8:$M$37,$A$8:$A$37,"&gt;="&amp;$AI$18+7*(3-1),$A$8:$A$37,"&lt;="&amp;$AI$18+7*(3-1)+6)+SUMIFS('2026年07月'!$M$8:$M$38,'2026年07月'!$A$8:$A$38,"&gt;="&amp;$AI$18+7*(3-1),'2026年07月'!$A$8:$A$38,"&lt;="&amp;$AI$18+7*(3-1)+6))/(SUMIFS($O$8:$O$37,$A$8:$A$37,"&gt;="&amp;$AI$18+7*(3-1),$A$8:$A$37,"&lt;="&amp;$AI$18+7*(3-1)+6)+SUMIFS('2026年07月'!$O$8:$O$38,'2026年07月'!$A$8:$A$38,"&gt;="&amp;$AI$18+7*(3-1),'2026年07月'!$A$8:$A$38,"&lt;="&amp;$AI$18+7*(3-1)+6)),""))</f>
        <v>0.225433526</v>
      </c>
      <c r="AE22" s="29">
        <f>IF($AB22="","",IFERROR((SUMIFS($G$8:$G$37,$A$8:$A$37,"&gt;="&amp;$AI$18+7*(3-1),$A$8:$A$37,"&lt;="&amp;$AI$18+7*(3-1)+6)+SUMIFS('2026年07月'!$G$8:$G$38,'2026年07月'!$A$8:$A$38,"&gt;="&amp;$AI$18+7*(3-1),'2026年07月'!$A$8:$A$38,"&lt;="&amp;$AI$18+7*(3-1)+6))/(SUMIFS($M$8:$M$37,$A$8:$A$37,"&gt;="&amp;$AI$18+7*(3-1),$A$8:$A$37,"&lt;="&amp;$AI$18+7*(3-1)+6)+SUMIFS('2026年07月'!$M$8:$M$38,'2026年07月'!$A$8:$A$38,"&gt;="&amp;$AI$18+7*(3-1),'2026年07月'!$A$8:$A$38,"&lt;="&amp;$AI$18+7*(3-1)+6)),""))</f>
        <v>23948.71795</v>
      </c>
      <c r="AF22" s="43">
        <f>IF($AB22="","",IFERROR((SUMIFS($N$8:$N$37,$A$8:$A$37,"&gt;="&amp;$AI$18+7*(3-1),$A$8:$A$37,"&lt;="&amp;$AI$18+7*(3-1)+6)+SUMIFS('2026年07月'!$N$8:$N$38,'2026年07月'!$A$8:$A$38,"&gt;="&amp;$AI$18+7*(3-1),'2026年07月'!$A$8:$A$38,"&lt;="&amp;$AI$18+7*(3-1)+6))/(SUMIFS($M$8:$M$37,$A$8:$A$37,"&gt;="&amp;$AI$18+7*(3-1),$A$8:$A$37,"&lt;="&amp;$AI$18+7*(3-1)+6)+SUMIFS('2026年07月'!$M$8:$M$38,'2026年07月'!$A$8:$A$38,"&gt;="&amp;$AI$18+7*(3-1),'2026年07月'!$A$8:$A$38,"&lt;="&amp;$AI$18+7*(3-1)+6)),""))</f>
        <v>1.179487179</v>
      </c>
      <c r="AG22" s="31">
        <f>IF($AB22="","",IFERROR((SUMIFS($P$8:$P$37,$A$8:$A$37,"&gt;="&amp;$AI$18+7*(3-1),$A$8:$A$37,"&lt;="&amp;$AI$18+7*(3-1)+6)+SUMIFS('2026年07月'!$P$8:$P$38,'2026年07月'!$A$8:$A$38,"&gt;="&amp;$AI$18+7*(3-1),'2026年07月'!$A$8:$A$38,"&lt;="&amp;$AI$18+7*(3-1)+6))/(SUMIFS($O$8:$O$37,$A$8:$A$37,"&gt;="&amp;$AI$18+7*(3-1),$A$8:$A$37,"&lt;="&amp;$AI$18+7*(3-1)+6)+SUMIFS('2026年07月'!$O$8:$O$38,'2026年07月'!$A$8:$A$38,"&gt;="&amp;$AI$18+7*(3-1),'2026年07月'!$A$8:$A$38,"&lt;="&amp;$AI$18+7*(3-1)+6)),""))</f>
        <v>0.3930635838</v>
      </c>
    </row>
    <row r="23" ht="15.75" customHeight="1">
      <c r="A23" s="32">
        <v>46189.0</v>
      </c>
      <c r="B23" s="21" t="str">
        <f t="shared" si="2"/>
        <v>火</v>
      </c>
      <c r="C23" s="18">
        <v>300000.0</v>
      </c>
      <c r="D23" s="23">
        <f t="shared" si="3"/>
        <v>5400000</v>
      </c>
      <c r="E23" s="18">
        <v>74130.0</v>
      </c>
      <c r="F23" s="18">
        <v>133530.0</v>
      </c>
      <c r="G23" s="23">
        <f t="shared" si="4"/>
        <v>207660</v>
      </c>
      <c r="H23" s="23">
        <f t="shared" si="5"/>
        <v>2895592</v>
      </c>
      <c r="I23" s="25">
        <f t="shared" ref="I23:J23" si="30">IF(G23="","",IFERROR(G23/C23,""))</f>
        <v>0.6922</v>
      </c>
      <c r="J23" s="25">
        <f t="shared" si="30"/>
        <v>0.5362207407</v>
      </c>
      <c r="K23" s="23">
        <f t="shared" si="7"/>
        <v>-2504408</v>
      </c>
      <c r="L23" s="33" t="str">
        <f t="shared" si="8"/>
        <v>▲ 遅れ</v>
      </c>
      <c r="M23" s="22">
        <v>9.0</v>
      </c>
      <c r="N23" s="22">
        <v>9.0</v>
      </c>
      <c r="O23" s="22">
        <v>21.0</v>
      </c>
      <c r="P23" s="22">
        <v>12.0</v>
      </c>
      <c r="Q23" s="22">
        <v>20.0</v>
      </c>
      <c r="R23" s="25">
        <f t="shared" si="9"/>
        <v>0.4285714286</v>
      </c>
      <c r="S23" s="23">
        <f t="shared" si="10"/>
        <v>23073.33333</v>
      </c>
      <c r="T23" s="34">
        <f t="shared" si="11"/>
        <v>1</v>
      </c>
      <c r="U23" s="25">
        <f t="shared" si="12"/>
        <v>0.5714285714</v>
      </c>
      <c r="V23" s="22"/>
      <c r="W23" s="22">
        <v>44112.0</v>
      </c>
      <c r="X23" s="18">
        <v>0.0</v>
      </c>
      <c r="Y23" s="26"/>
      <c r="AA23" s="30">
        <v>4.0</v>
      </c>
      <c r="AB23" s="42" t="str">
        <f>IF($AI$18+7*(4-1)&gt;$A$37,"",TEXT($AI$18+7*(4-1),"m/d")&amp;"-"&amp;TEXT($AI$18+7*(4-1)+6,"m/d"))</f>
        <v>6/23-6/29</v>
      </c>
      <c r="AC23" s="29">
        <f>IF($AB23="","",(SUMIFS($G$8:$G$37,$A$8:$A$37,"&gt;="&amp;$AI$18+7*(4-1),$A$8:$A$37,"&lt;="&amp;$AI$18+7*(4-1)+6)+SUMIFS('2026年07月'!$G$8:$G$38,'2026年07月'!$A$8:$A$38,"&gt;="&amp;$AI$18+7*(4-1),'2026年07月'!$A$8:$A$38,"&lt;="&amp;$AI$18+7*(4-1)+6)))</f>
        <v>881110</v>
      </c>
      <c r="AD23" s="31">
        <f>IF($AB23="","",IFERROR((SUMIFS($M$8:$M$37,$A$8:$A$37,"&gt;="&amp;$AI$18+7*(4-1),$A$8:$A$37,"&lt;="&amp;$AI$18+7*(4-1)+6)+SUMIFS('2026年07月'!$M$8:$M$38,'2026年07月'!$A$8:$A$38,"&gt;="&amp;$AI$18+7*(4-1),'2026年07月'!$A$8:$A$38,"&lt;="&amp;$AI$18+7*(4-1)+6))/(SUMIFS($O$8:$O$37,$A$8:$A$37,"&gt;="&amp;$AI$18+7*(4-1),$A$8:$A$37,"&lt;="&amp;$AI$18+7*(4-1)+6)+SUMIFS('2026年07月'!$O$8:$O$38,'2026年07月'!$A$8:$A$38,"&gt;="&amp;$AI$18+7*(4-1),'2026年07月'!$A$8:$A$38,"&lt;="&amp;$AI$18+7*(4-1)+6)),""))</f>
        <v>0.2962962963</v>
      </c>
      <c r="AE23" s="29">
        <f>IF($AB23="","",IFERROR((SUMIFS($G$8:$G$37,$A$8:$A$37,"&gt;="&amp;$AI$18+7*(4-1),$A$8:$A$37,"&lt;="&amp;$AI$18+7*(4-1)+6)+SUMIFS('2026年07月'!$G$8:$G$38,'2026年07月'!$A$8:$A$38,"&gt;="&amp;$AI$18+7*(4-1),'2026年07月'!$A$8:$A$38,"&lt;="&amp;$AI$18+7*(4-1)+6))/(SUMIFS($M$8:$M$37,$A$8:$A$37,"&gt;="&amp;$AI$18+7*(4-1),$A$8:$A$37,"&lt;="&amp;$AI$18+7*(4-1)+6)+SUMIFS('2026年07月'!$M$8:$M$38,'2026年07月'!$A$8:$A$38,"&gt;="&amp;$AI$18+7*(4-1),'2026年07月'!$A$8:$A$38,"&lt;="&amp;$AI$18+7*(4-1)+6)),""))</f>
        <v>22027.75</v>
      </c>
      <c r="AF23" s="43">
        <f>IF($AB23="","",IFERROR((SUMIFS($N$8:$N$37,$A$8:$A$37,"&gt;="&amp;$AI$18+7*(4-1),$A$8:$A$37,"&lt;="&amp;$AI$18+7*(4-1)+6)+SUMIFS('2026年07月'!$N$8:$N$38,'2026年07月'!$A$8:$A$38,"&gt;="&amp;$AI$18+7*(4-1),'2026年07月'!$A$8:$A$38,"&lt;="&amp;$AI$18+7*(4-1)+6))/(SUMIFS($M$8:$M$37,$A$8:$A$37,"&gt;="&amp;$AI$18+7*(4-1),$A$8:$A$37,"&lt;="&amp;$AI$18+7*(4-1)+6)+SUMIFS('2026年07月'!$M$8:$M$38,'2026年07月'!$A$8:$A$38,"&gt;="&amp;$AI$18+7*(4-1),'2026年07月'!$A$8:$A$38,"&lt;="&amp;$AI$18+7*(4-1)+6)),""))</f>
        <v>1.05</v>
      </c>
      <c r="AG23" s="31">
        <f>IF($AB23="","",IFERROR((SUMIFS($P$8:$P$37,$A$8:$A$37,"&gt;="&amp;$AI$18+7*(4-1),$A$8:$A$37,"&lt;="&amp;$AI$18+7*(4-1)+6)+SUMIFS('2026年07月'!$P$8:$P$38,'2026年07月'!$A$8:$A$38,"&gt;="&amp;$AI$18+7*(4-1),'2026年07月'!$A$8:$A$38,"&lt;="&amp;$AI$18+7*(4-1)+6))/(SUMIFS($O$8:$O$37,$A$8:$A$37,"&gt;="&amp;$AI$18+7*(4-1),$A$8:$A$37,"&lt;="&amp;$AI$18+7*(4-1)+6)+SUMIFS('2026年07月'!$O$8:$O$38,'2026年07月'!$A$8:$A$38,"&gt;="&amp;$AI$18+7*(4-1),'2026年07月'!$A$8:$A$38,"&lt;="&amp;$AI$18+7*(4-1)+6)),""))</f>
        <v>0.3851851852</v>
      </c>
    </row>
    <row r="24" ht="15.75" customHeight="1">
      <c r="A24" s="16">
        <v>46190.0</v>
      </c>
      <c r="B24" s="13" t="str">
        <f t="shared" si="2"/>
        <v>水</v>
      </c>
      <c r="C24" s="18">
        <v>300000.0</v>
      </c>
      <c r="D24" s="15">
        <f t="shared" si="3"/>
        <v>5700000</v>
      </c>
      <c r="E24" s="18">
        <v>0.0</v>
      </c>
      <c r="F24" s="18">
        <v>19800.0</v>
      </c>
      <c r="G24" s="15">
        <f t="shared" si="4"/>
        <v>19800</v>
      </c>
      <c r="H24" s="15">
        <f t="shared" si="5"/>
        <v>2915392</v>
      </c>
      <c r="I24" s="17">
        <f t="shared" ref="I24:J24" si="31">IF(G24="","",IFERROR(G24/C24,""))</f>
        <v>0.066</v>
      </c>
      <c r="J24" s="17">
        <f t="shared" si="31"/>
        <v>0.5114722807</v>
      </c>
      <c r="K24" s="15">
        <f t="shared" si="7"/>
        <v>-2784608</v>
      </c>
      <c r="L24" s="20" t="str">
        <f t="shared" si="8"/>
        <v>▲ 遅れ</v>
      </c>
      <c r="M24" s="22">
        <v>1.0</v>
      </c>
      <c r="N24" s="22">
        <v>1.0</v>
      </c>
      <c r="O24" s="22">
        <v>33.0</v>
      </c>
      <c r="P24" s="22">
        <v>9.0</v>
      </c>
      <c r="Q24" s="22">
        <v>18.0</v>
      </c>
      <c r="R24" s="17">
        <f t="shared" si="9"/>
        <v>0.0303030303</v>
      </c>
      <c r="S24" s="15">
        <f t="shared" si="10"/>
        <v>19800</v>
      </c>
      <c r="T24" s="24">
        <f t="shared" si="11"/>
        <v>1</v>
      </c>
      <c r="U24" s="17">
        <f t="shared" si="12"/>
        <v>0.2727272727</v>
      </c>
      <c r="V24" s="22"/>
      <c r="W24" s="22">
        <v>44115.0</v>
      </c>
      <c r="X24" s="18">
        <v>0.0</v>
      </c>
      <c r="Y24" s="26"/>
      <c r="AA24" s="30">
        <v>5.0</v>
      </c>
      <c r="AB24" s="42" t="str">
        <f>IF($AI$18+7*(5-1)&gt;$A$37,"",TEXT($AI$18+7*(5-1),"m/d")&amp;"-"&amp;TEXT($AI$18+7*(5-1)+6,"m/d"))</f>
        <v>6/30-7/6</v>
      </c>
      <c r="AC24" s="29">
        <f>IF($AB24="","",(SUMIFS($G$8:$G$37,$A$8:$A$37,"&gt;="&amp;$AI$18+7*(5-1),$A$8:$A$37,"&lt;="&amp;$AI$18+7*(5-1)+6)+SUMIFS('2026年07月'!$G$8:$G$38,'2026年07月'!$A$8:$A$38,"&gt;="&amp;$AI$18+7*(5-1),'2026年07月'!$A$8:$A$38,"&lt;="&amp;$AI$18+7*(5-1)+6)))</f>
        <v>1089647</v>
      </c>
      <c r="AD24" s="31">
        <f>IF($AB24="","",IFERROR((SUMIFS($M$8:$M$37,$A$8:$A$37,"&gt;="&amp;$AI$18+7*(5-1),$A$8:$A$37,"&lt;="&amp;$AI$18+7*(5-1)+6)+SUMIFS('2026年07月'!$M$8:$M$38,'2026年07月'!$A$8:$A$38,"&gt;="&amp;$AI$18+7*(5-1),'2026年07月'!$A$8:$A$38,"&lt;="&amp;$AI$18+7*(5-1)+6))/(SUMIFS($O$8:$O$37,$A$8:$A$37,"&gt;="&amp;$AI$18+7*(5-1),$A$8:$A$37,"&lt;="&amp;$AI$18+7*(5-1)+6)+SUMIFS('2026年07月'!$O$8:$O$38,'2026年07月'!$A$8:$A$38,"&gt;="&amp;$AI$18+7*(5-1),'2026年07月'!$A$8:$A$38,"&lt;="&amp;$AI$18+7*(5-1)+6)),""))</f>
        <v>0.3</v>
      </c>
      <c r="AE24" s="29">
        <f>IF($AB24="","",IFERROR((SUMIFS($G$8:$G$37,$A$8:$A$37,"&gt;="&amp;$AI$18+7*(5-1),$A$8:$A$37,"&lt;="&amp;$AI$18+7*(5-1)+6)+SUMIFS('2026年07月'!$G$8:$G$38,'2026年07月'!$A$8:$A$38,"&gt;="&amp;$AI$18+7*(5-1),'2026年07月'!$A$8:$A$38,"&lt;="&amp;$AI$18+7*(5-1)+6))/(SUMIFS($M$8:$M$37,$A$8:$A$37,"&gt;="&amp;$AI$18+7*(5-1),$A$8:$A$37,"&lt;="&amp;$AI$18+7*(5-1)+6)+SUMIFS('2026年07月'!$M$8:$M$38,'2026年07月'!$A$8:$A$38,"&gt;="&amp;$AI$18+7*(5-1),'2026年07月'!$A$8:$A$38,"&lt;="&amp;$AI$18+7*(5-1)+6)),""))</f>
        <v>22700.97917</v>
      </c>
      <c r="AF24" s="43">
        <f>IF($AB24="","",IFERROR((SUMIFS($N$8:$N$37,$A$8:$A$37,"&gt;="&amp;$AI$18+7*(5-1),$A$8:$A$37,"&lt;="&amp;$AI$18+7*(5-1)+6)+SUMIFS('2026年07月'!$N$8:$N$38,'2026年07月'!$A$8:$A$38,"&gt;="&amp;$AI$18+7*(5-1),'2026年07月'!$A$8:$A$38,"&lt;="&amp;$AI$18+7*(5-1)+6))/(SUMIFS($M$8:$M$37,$A$8:$A$37,"&gt;="&amp;$AI$18+7*(5-1),$A$8:$A$37,"&lt;="&amp;$AI$18+7*(5-1)+6)+SUMIFS('2026年07月'!$M$8:$M$38,'2026年07月'!$A$8:$A$38,"&gt;="&amp;$AI$18+7*(5-1),'2026年07月'!$A$8:$A$38,"&lt;="&amp;$AI$18+7*(5-1)+6)),""))</f>
        <v>1.020833333</v>
      </c>
      <c r="AG24" s="31">
        <f>IF($AB24="","",IFERROR((SUMIFS($P$8:$P$37,$A$8:$A$37,"&gt;="&amp;$AI$18+7*(5-1),$A$8:$A$37,"&lt;="&amp;$AI$18+7*(5-1)+6)+SUMIFS('2026年07月'!$P$8:$P$38,'2026年07月'!$A$8:$A$38,"&gt;="&amp;$AI$18+7*(5-1),'2026年07月'!$A$8:$A$38,"&lt;="&amp;$AI$18+7*(5-1)+6))/(SUMIFS($O$8:$O$37,$A$8:$A$37,"&gt;="&amp;$AI$18+7*(5-1),$A$8:$A$37,"&lt;="&amp;$AI$18+7*(5-1)+6)+SUMIFS('2026年07月'!$O$8:$O$38,'2026年07月'!$A$8:$A$38,"&gt;="&amp;$AI$18+7*(5-1),'2026年07月'!$A$8:$A$38,"&lt;="&amp;$AI$18+7*(5-1)+6)),""))</f>
        <v>0.4</v>
      </c>
    </row>
    <row r="25" ht="15.75" customHeight="1">
      <c r="A25" s="32">
        <v>46191.0</v>
      </c>
      <c r="B25" s="21" t="str">
        <f t="shared" si="2"/>
        <v>木</v>
      </c>
      <c r="C25" s="18">
        <v>300000.0</v>
      </c>
      <c r="D25" s="23">
        <f t="shared" si="3"/>
        <v>6000000</v>
      </c>
      <c r="E25" s="18">
        <v>0.0</v>
      </c>
      <c r="F25" s="18">
        <v>132160.0</v>
      </c>
      <c r="G25" s="23">
        <f t="shared" si="4"/>
        <v>132160</v>
      </c>
      <c r="H25" s="23">
        <f t="shared" si="5"/>
        <v>3047552</v>
      </c>
      <c r="I25" s="25">
        <f t="shared" ref="I25:J25" si="32">IF(G25="","",IFERROR(G25/C25,""))</f>
        <v>0.4405333333</v>
      </c>
      <c r="J25" s="25">
        <f t="shared" si="32"/>
        <v>0.5079253333</v>
      </c>
      <c r="K25" s="23">
        <f t="shared" si="7"/>
        <v>-2952448</v>
      </c>
      <c r="L25" s="33" t="str">
        <f t="shared" si="8"/>
        <v>▲ 遅れ</v>
      </c>
      <c r="M25" s="22">
        <v>6.0</v>
      </c>
      <c r="N25" s="22">
        <v>6.0</v>
      </c>
      <c r="O25" s="22">
        <v>21.0</v>
      </c>
      <c r="P25" s="22">
        <v>9.0</v>
      </c>
      <c r="Q25" s="22">
        <v>17.0</v>
      </c>
      <c r="R25" s="25">
        <f t="shared" si="9"/>
        <v>0.2857142857</v>
      </c>
      <c r="S25" s="23">
        <f t="shared" si="10"/>
        <v>22026.66667</v>
      </c>
      <c r="T25" s="34">
        <f t="shared" si="11"/>
        <v>1</v>
      </c>
      <c r="U25" s="25">
        <f t="shared" si="12"/>
        <v>0.4285714286</v>
      </c>
      <c r="V25" s="22"/>
      <c r="W25" s="22">
        <v>44103.0</v>
      </c>
      <c r="X25" s="18">
        <v>0.0</v>
      </c>
      <c r="Y25" s="26"/>
      <c r="AA25" s="30">
        <v>6.0</v>
      </c>
      <c r="AB25" s="42" t="str">
        <f>IF($AI$18+7*(6-1)&gt;$A$37,"",TEXT($AI$18+7*(6-1),"m/d")&amp;"-"&amp;TEXT($AI$18+7*(6-1)+6,"m/d"))</f>
        <v/>
      </c>
      <c r="AC25" s="29" t="str">
        <f>IF($AB25="","",(SUMIFS($G$8:$G$37,$A$8:$A$37,"&gt;="&amp;$AI$18+7*(6-1),$A$8:$A$37,"&lt;="&amp;$AI$18+7*(6-1)+6)+SUMIFS('2026年07月'!$G$8:$G$38,'2026年07月'!$A$8:$A$38,"&gt;="&amp;$AI$18+7*(6-1),'2026年07月'!$A$8:$A$38,"&lt;="&amp;$AI$18+7*(6-1)+6)))</f>
        <v/>
      </c>
      <c r="AD25" s="31" t="str">
        <f>IF($AB25="","",IFERROR((SUMIFS($M$8:$M$37,$A$8:$A$37,"&gt;="&amp;$AI$18+7*(6-1),$A$8:$A$37,"&lt;="&amp;$AI$18+7*(6-1)+6)+SUMIFS('2026年07月'!$M$8:$M$38,'2026年07月'!$A$8:$A$38,"&gt;="&amp;$AI$18+7*(6-1),'2026年07月'!$A$8:$A$38,"&lt;="&amp;$AI$18+7*(6-1)+6))/(SUMIFS($O$8:$O$37,$A$8:$A$37,"&gt;="&amp;$AI$18+7*(6-1),$A$8:$A$37,"&lt;="&amp;$AI$18+7*(6-1)+6)+SUMIFS('2026年07月'!$O$8:$O$38,'2026年07月'!$A$8:$A$38,"&gt;="&amp;$AI$18+7*(6-1),'2026年07月'!$A$8:$A$38,"&lt;="&amp;$AI$18+7*(6-1)+6)),""))</f>
        <v/>
      </c>
      <c r="AE25" s="29" t="str">
        <f>IF($AB25="","",IFERROR((SUMIFS($G$8:$G$37,$A$8:$A$37,"&gt;="&amp;$AI$18+7*(6-1),$A$8:$A$37,"&lt;="&amp;$AI$18+7*(6-1)+6)+SUMIFS('2026年07月'!$G$8:$G$38,'2026年07月'!$A$8:$A$38,"&gt;="&amp;$AI$18+7*(6-1),'2026年07月'!$A$8:$A$38,"&lt;="&amp;$AI$18+7*(6-1)+6))/(SUMIFS($M$8:$M$37,$A$8:$A$37,"&gt;="&amp;$AI$18+7*(6-1),$A$8:$A$37,"&lt;="&amp;$AI$18+7*(6-1)+6)+SUMIFS('2026年07月'!$M$8:$M$38,'2026年07月'!$A$8:$A$38,"&gt;="&amp;$AI$18+7*(6-1),'2026年07月'!$A$8:$A$38,"&lt;="&amp;$AI$18+7*(6-1)+6)),""))</f>
        <v/>
      </c>
      <c r="AF25" s="43" t="str">
        <f>IF($AB25="","",IFERROR((SUMIFS($N$8:$N$37,$A$8:$A$37,"&gt;="&amp;$AI$18+7*(6-1),$A$8:$A$37,"&lt;="&amp;$AI$18+7*(6-1)+6)+SUMIFS('2026年07月'!$N$8:$N$38,'2026年07月'!$A$8:$A$38,"&gt;="&amp;$AI$18+7*(6-1),'2026年07月'!$A$8:$A$38,"&lt;="&amp;$AI$18+7*(6-1)+6))/(SUMIFS($M$8:$M$37,$A$8:$A$37,"&gt;="&amp;$AI$18+7*(6-1),$A$8:$A$37,"&lt;="&amp;$AI$18+7*(6-1)+6)+SUMIFS('2026年07月'!$M$8:$M$38,'2026年07月'!$A$8:$A$38,"&gt;="&amp;$AI$18+7*(6-1),'2026年07月'!$A$8:$A$38,"&lt;="&amp;$AI$18+7*(6-1)+6)),""))</f>
        <v/>
      </c>
      <c r="AG25" s="31" t="str">
        <f>IF($AB25="","",IFERROR((SUMIFS($P$8:$P$37,$A$8:$A$37,"&gt;="&amp;$AI$18+7*(6-1),$A$8:$A$37,"&lt;="&amp;$AI$18+7*(6-1)+6)+SUMIFS('2026年07月'!$P$8:$P$38,'2026年07月'!$A$8:$A$38,"&gt;="&amp;$AI$18+7*(6-1),'2026年07月'!$A$8:$A$38,"&lt;="&amp;$AI$18+7*(6-1)+6))/(SUMIFS($O$8:$O$37,$A$8:$A$37,"&gt;="&amp;$AI$18+7*(6-1),$A$8:$A$37,"&lt;="&amp;$AI$18+7*(6-1)+6)+SUMIFS('2026年07月'!$O$8:$O$38,'2026年07月'!$A$8:$A$38,"&gt;="&amp;$AI$18+7*(6-1),'2026年07月'!$A$8:$A$38,"&lt;="&amp;$AI$18+7*(6-1)+6)),""))</f>
        <v/>
      </c>
    </row>
    <row r="26" ht="15.75" customHeight="1">
      <c r="A26" s="16">
        <v>46192.0</v>
      </c>
      <c r="B26" s="13" t="str">
        <f t="shared" si="2"/>
        <v>金</v>
      </c>
      <c r="C26" s="18">
        <v>300000.0</v>
      </c>
      <c r="D26" s="15">
        <f t="shared" si="3"/>
        <v>6300000</v>
      </c>
      <c r="E26" s="18">
        <v>21610.0</v>
      </c>
      <c r="F26" s="18">
        <v>64620.0</v>
      </c>
      <c r="G26" s="15">
        <f t="shared" si="4"/>
        <v>86230</v>
      </c>
      <c r="H26" s="15">
        <f t="shared" si="5"/>
        <v>3133782</v>
      </c>
      <c r="I26" s="17">
        <f t="shared" ref="I26:J26" si="33">IF(G26="","",IFERROR(G26/C26,""))</f>
        <v>0.2874333333</v>
      </c>
      <c r="J26" s="17">
        <f t="shared" si="33"/>
        <v>0.4974257143</v>
      </c>
      <c r="K26" s="15">
        <f t="shared" si="7"/>
        <v>-3166218</v>
      </c>
      <c r="L26" s="20" t="str">
        <f t="shared" si="8"/>
        <v>▲ 遅れ</v>
      </c>
      <c r="M26" s="22">
        <v>3.0</v>
      </c>
      <c r="N26" s="22">
        <v>4.0</v>
      </c>
      <c r="O26" s="22">
        <v>27.0</v>
      </c>
      <c r="P26" s="22">
        <v>6.0</v>
      </c>
      <c r="Q26" s="22">
        <v>10.0</v>
      </c>
      <c r="R26" s="17">
        <f t="shared" si="9"/>
        <v>0.1111111111</v>
      </c>
      <c r="S26" s="15">
        <f t="shared" si="10"/>
        <v>28743.33333</v>
      </c>
      <c r="T26" s="24">
        <f t="shared" si="11"/>
        <v>1.333333333</v>
      </c>
      <c r="U26" s="17">
        <f t="shared" si="12"/>
        <v>0.2222222222</v>
      </c>
      <c r="V26" s="22"/>
      <c r="W26" s="22">
        <v>44081.0</v>
      </c>
      <c r="X26" s="18">
        <v>0.0</v>
      </c>
      <c r="Y26" s="26"/>
      <c r="AA26" s="35" t="s">
        <v>86</v>
      </c>
    </row>
    <row r="27" ht="15.75" customHeight="1">
      <c r="A27" s="32">
        <v>46193.0</v>
      </c>
      <c r="B27" s="21" t="str">
        <f t="shared" si="2"/>
        <v>土</v>
      </c>
      <c r="C27" s="18">
        <v>500000.0</v>
      </c>
      <c r="D27" s="23">
        <f t="shared" si="3"/>
        <v>6800000</v>
      </c>
      <c r="E27" s="18">
        <v>0.0</v>
      </c>
      <c r="F27" s="18">
        <v>186840.0</v>
      </c>
      <c r="G27" s="23">
        <f t="shared" si="4"/>
        <v>186840</v>
      </c>
      <c r="H27" s="23">
        <f t="shared" si="5"/>
        <v>3320622</v>
      </c>
      <c r="I27" s="25">
        <f t="shared" ref="I27:J27" si="34">IF(G27="","",IFERROR(G27/C27,""))</f>
        <v>0.37368</v>
      </c>
      <c r="J27" s="25">
        <f t="shared" si="34"/>
        <v>0.4883267647</v>
      </c>
      <c r="K27" s="23">
        <f t="shared" si="7"/>
        <v>-3479378</v>
      </c>
      <c r="L27" s="33" t="str">
        <f t="shared" si="8"/>
        <v>▲ 遅れ</v>
      </c>
      <c r="M27" s="22">
        <v>6.0</v>
      </c>
      <c r="N27" s="22">
        <v>8.0</v>
      </c>
      <c r="O27" s="22">
        <v>18.0</v>
      </c>
      <c r="P27" s="22">
        <v>8.0</v>
      </c>
      <c r="Q27" s="22">
        <v>18.0</v>
      </c>
      <c r="R27" s="25">
        <f t="shared" si="9"/>
        <v>0.3333333333</v>
      </c>
      <c r="S27" s="23">
        <f t="shared" si="10"/>
        <v>31140</v>
      </c>
      <c r="T27" s="34">
        <f t="shared" si="11"/>
        <v>1.333333333</v>
      </c>
      <c r="U27" s="25">
        <f t="shared" si="12"/>
        <v>0.4444444444</v>
      </c>
      <c r="V27" s="22"/>
      <c r="W27" s="22">
        <v>44077.0</v>
      </c>
      <c r="X27" s="18">
        <v>0.0</v>
      </c>
      <c r="Y27" s="26"/>
      <c r="AA27" s="35" t="s">
        <v>89</v>
      </c>
    </row>
    <row r="28" ht="15.75" customHeight="1">
      <c r="A28" s="16">
        <v>46194.0</v>
      </c>
      <c r="B28" s="13" t="str">
        <f t="shared" si="2"/>
        <v>日</v>
      </c>
      <c r="C28" s="18">
        <v>400000.0</v>
      </c>
      <c r="D28" s="15">
        <f t="shared" si="3"/>
        <v>7200000</v>
      </c>
      <c r="E28" s="18">
        <v>19800.0</v>
      </c>
      <c r="F28" s="18">
        <v>91840.0</v>
      </c>
      <c r="G28" s="15">
        <f t="shared" si="4"/>
        <v>111640</v>
      </c>
      <c r="H28" s="15">
        <f t="shared" si="5"/>
        <v>3432262</v>
      </c>
      <c r="I28" s="17">
        <f t="shared" ref="I28:J28" si="35">IF(G28="","",IFERROR(G28/C28,""))</f>
        <v>0.2791</v>
      </c>
      <c r="J28" s="17">
        <f t="shared" si="35"/>
        <v>0.4767030556</v>
      </c>
      <c r="K28" s="15">
        <f t="shared" si="7"/>
        <v>-3767738</v>
      </c>
      <c r="L28" s="20" t="str">
        <f t="shared" si="8"/>
        <v>▲ 遅れ</v>
      </c>
      <c r="M28" s="22">
        <v>7.0</v>
      </c>
      <c r="N28" s="22">
        <v>9.0</v>
      </c>
      <c r="O28" s="22">
        <v>30.0</v>
      </c>
      <c r="P28" s="22">
        <v>13.0</v>
      </c>
      <c r="Q28" s="22">
        <v>21.0</v>
      </c>
      <c r="R28" s="17">
        <f t="shared" si="9"/>
        <v>0.2333333333</v>
      </c>
      <c r="S28" s="15">
        <f t="shared" si="10"/>
        <v>15948.57143</v>
      </c>
      <c r="T28" s="24">
        <f t="shared" si="11"/>
        <v>1.285714286</v>
      </c>
      <c r="U28" s="17">
        <f t="shared" si="12"/>
        <v>0.4333333333</v>
      </c>
      <c r="V28" s="22"/>
      <c r="W28" s="22">
        <v>44064.0</v>
      </c>
      <c r="X28" s="18">
        <v>0.0</v>
      </c>
      <c r="Y28" s="26"/>
      <c r="AA28" s="35" t="s">
        <v>91</v>
      </c>
    </row>
    <row r="29" ht="15.75" customHeight="1">
      <c r="A29" s="32">
        <v>46195.0</v>
      </c>
      <c r="B29" s="21" t="str">
        <f t="shared" si="2"/>
        <v>月</v>
      </c>
      <c r="C29" s="18">
        <v>300000.0</v>
      </c>
      <c r="D29" s="23">
        <f t="shared" si="3"/>
        <v>7500000</v>
      </c>
      <c r="E29" s="18">
        <v>80020.0</v>
      </c>
      <c r="F29" s="18">
        <v>109650.0</v>
      </c>
      <c r="G29" s="23">
        <f t="shared" si="4"/>
        <v>189670</v>
      </c>
      <c r="H29" s="23">
        <f t="shared" si="5"/>
        <v>3621932</v>
      </c>
      <c r="I29" s="25">
        <f t="shared" ref="I29:J29" si="36">IF(G29="","",IFERROR(G29/C29,""))</f>
        <v>0.6322333333</v>
      </c>
      <c r="J29" s="25">
        <f t="shared" si="36"/>
        <v>0.4829242667</v>
      </c>
      <c r="K29" s="23">
        <f t="shared" si="7"/>
        <v>-3878068</v>
      </c>
      <c r="L29" s="33" t="str">
        <f t="shared" si="8"/>
        <v>▲ 遅れ</v>
      </c>
      <c r="M29" s="22">
        <v>7.0</v>
      </c>
      <c r="N29" s="22">
        <v>9.0</v>
      </c>
      <c r="O29" s="22">
        <v>23.0</v>
      </c>
      <c r="P29" s="22">
        <v>11.0</v>
      </c>
      <c r="Q29" s="22">
        <v>14.0</v>
      </c>
      <c r="R29" s="25">
        <f t="shared" si="9"/>
        <v>0.3043478261</v>
      </c>
      <c r="S29" s="23">
        <f t="shared" si="10"/>
        <v>27095.71429</v>
      </c>
      <c r="T29" s="34">
        <f t="shared" si="11"/>
        <v>1.285714286</v>
      </c>
      <c r="U29" s="25">
        <f t="shared" si="12"/>
        <v>0.4782608696</v>
      </c>
      <c r="V29" s="22"/>
      <c r="W29" s="22">
        <v>44059.0</v>
      </c>
      <c r="X29" s="18">
        <v>0.0</v>
      </c>
      <c r="Y29" s="26"/>
    </row>
    <row r="30" ht="15.75" customHeight="1">
      <c r="A30" s="16">
        <v>46196.0</v>
      </c>
      <c r="B30" s="13" t="str">
        <f t="shared" si="2"/>
        <v>火</v>
      </c>
      <c r="C30" s="18">
        <v>300000.0</v>
      </c>
      <c r="D30" s="15">
        <f t="shared" si="3"/>
        <v>7800000</v>
      </c>
      <c r="E30" s="18">
        <v>24210.0</v>
      </c>
      <c r="F30" s="18">
        <v>48620.0</v>
      </c>
      <c r="G30" s="15">
        <f t="shared" si="4"/>
        <v>72830</v>
      </c>
      <c r="H30" s="15">
        <f t="shared" si="5"/>
        <v>3694762</v>
      </c>
      <c r="I30" s="17">
        <f t="shared" ref="I30:J30" si="37">IF(G30="","",IFERROR(G30/C30,""))</f>
        <v>0.2427666667</v>
      </c>
      <c r="J30" s="17">
        <f t="shared" si="37"/>
        <v>0.4736874359</v>
      </c>
      <c r="K30" s="15">
        <f t="shared" si="7"/>
        <v>-4105238</v>
      </c>
      <c r="L30" s="20" t="str">
        <f t="shared" si="8"/>
        <v>▲ 遅れ</v>
      </c>
      <c r="M30" s="22">
        <v>3.0</v>
      </c>
      <c r="N30" s="22">
        <v>3.0</v>
      </c>
      <c r="O30" s="22">
        <v>17.0</v>
      </c>
      <c r="P30" s="22">
        <v>5.0</v>
      </c>
      <c r="Q30" s="22">
        <v>9.0</v>
      </c>
      <c r="R30" s="17">
        <f t="shared" si="9"/>
        <v>0.1764705882</v>
      </c>
      <c r="S30" s="15">
        <f t="shared" si="10"/>
        <v>24276.66667</v>
      </c>
      <c r="T30" s="24">
        <f t="shared" si="11"/>
        <v>1</v>
      </c>
      <c r="U30" s="17">
        <f t="shared" si="12"/>
        <v>0.2941176471</v>
      </c>
      <c r="V30" s="22"/>
      <c r="W30" s="22">
        <v>44047.0</v>
      </c>
      <c r="X30" s="18">
        <v>0.0</v>
      </c>
      <c r="Y30" s="26"/>
    </row>
    <row r="31" ht="15.75" customHeight="1">
      <c r="A31" s="32">
        <v>46197.0</v>
      </c>
      <c r="B31" s="21" t="str">
        <f t="shared" si="2"/>
        <v>水</v>
      </c>
      <c r="C31" s="18">
        <v>300000.0</v>
      </c>
      <c r="D31" s="23">
        <f t="shared" si="3"/>
        <v>8100000</v>
      </c>
      <c r="E31" s="18">
        <v>0.0</v>
      </c>
      <c r="F31" s="18">
        <v>65390.0</v>
      </c>
      <c r="G31" s="23">
        <f t="shared" si="4"/>
        <v>65390</v>
      </c>
      <c r="H31" s="23">
        <f t="shared" si="5"/>
        <v>3760152</v>
      </c>
      <c r="I31" s="25">
        <f t="shared" ref="I31:J31" si="38">IF(G31="","",IFERROR(G31/C31,""))</f>
        <v>0.2179666667</v>
      </c>
      <c r="J31" s="25">
        <f t="shared" si="38"/>
        <v>0.4642162963</v>
      </c>
      <c r="K31" s="23">
        <f t="shared" si="7"/>
        <v>-4339848</v>
      </c>
      <c r="L31" s="33" t="str">
        <f t="shared" si="8"/>
        <v>▲ 遅れ</v>
      </c>
      <c r="M31" s="22">
        <v>3.0</v>
      </c>
      <c r="N31" s="22">
        <v>4.0</v>
      </c>
      <c r="O31" s="22">
        <v>19.0</v>
      </c>
      <c r="P31" s="22">
        <v>5.0</v>
      </c>
      <c r="Q31" s="22">
        <v>8.0</v>
      </c>
      <c r="R31" s="25">
        <f t="shared" si="9"/>
        <v>0.1578947368</v>
      </c>
      <c r="S31" s="23">
        <f t="shared" si="10"/>
        <v>21796.66667</v>
      </c>
      <c r="T31" s="34">
        <f t="shared" si="11"/>
        <v>1.333333333</v>
      </c>
      <c r="U31" s="25">
        <f t="shared" si="12"/>
        <v>0.2631578947</v>
      </c>
      <c r="V31" s="22"/>
      <c r="W31" s="22">
        <v>44046.0</v>
      </c>
      <c r="X31" s="18">
        <v>0.0</v>
      </c>
      <c r="Y31" s="26"/>
    </row>
    <row r="32" ht="15.75" customHeight="1">
      <c r="A32" s="16">
        <v>46198.0</v>
      </c>
      <c r="B32" s="13" t="str">
        <f t="shared" si="2"/>
        <v>木</v>
      </c>
      <c r="C32" s="18">
        <v>300000.0</v>
      </c>
      <c r="D32" s="15">
        <f t="shared" si="3"/>
        <v>8400000</v>
      </c>
      <c r="E32" s="18">
        <v>97230.0</v>
      </c>
      <c r="F32" s="18">
        <v>100530.0</v>
      </c>
      <c r="G32" s="15">
        <f t="shared" si="4"/>
        <v>197760</v>
      </c>
      <c r="H32" s="15">
        <f t="shared" si="5"/>
        <v>3957912</v>
      </c>
      <c r="I32" s="17">
        <f t="shared" ref="I32:J32" si="39">IF(G32="","",IFERROR(G32/C32,""))</f>
        <v>0.6592</v>
      </c>
      <c r="J32" s="17">
        <f t="shared" si="39"/>
        <v>0.47118</v>
      </c>
      <c r="K32" s="15">
        <f t="shared" si="7"/>
        <v>-4442088</v>
      </c>
      <c r="L32" s="20" t="str">
        <f t="shared" si="8"/>
        <v>▲ 遅れ</v>
      </c>
      <c r="M32" s="22">
        <v>9.0</v>
      </c>
      <c r="N32" s="22">
        <v>9.0</v>
      </c>
      <c r="O32" s="22">
        <v>19.0</v>
      </c>
      <c r="P32" s="22">
        <v>9.0</v>
      </c>
      <c r="Q32" s="22">
        <v>23.0</v>
      </c>
      <c r="R32" s="17">
        <f t="shared" si="9"/>
        <v>0.4736842105</v>
      </c>
      <c r="S32" s="15">
        <f t="shared" si="10"/>
        <v>21973.33333</v>
      </c>
      <c r="T32" s="24">
        <f t="shared" si="11"/>
        <v>1</v>
      </c>
      <c r="U32" s="17">
        <f t="shared" si="12"/>
        <v>0.4736842105</v>
      </c>
      <c r="V32" s="22"/>
      <c r="W32" s="22">
        <v>44038.0</v>
      </c>
      <c r="X32" s="18">
        <v>0.0</v>
      </c>
      <c r="Y32" s="26"/>
    </row>
    <row r="33" ht="15.75" customHeight="1">
      <c r="A33" s="32">
        <v>46199.0</v>
      </c>
      <c r="B33" s="21" t="str">
        <f t="shared" si="2"/>
        <v>金</v>
      </c>
      <c r="C33" s="18">
        <v>300000.0</v>
      </c>
      <c r="D33" s="23">
        <f t="shared" si="3"/>
        <v>8700000</v>
      </c>
      <c r="E33" s="18">
        <v>27720.0</v>
      </c>
      <c r="F33" s="18">
        <v>96520.0</v>
      </c>
      <c r="G33" s="23">
        <f t="shared" si="4"/>
        <v>124240</v>
      </c>
      <c r="H33" s="23">
        <f t="shared" si="5"/>
        <v>4082152</v>
      </c>
      <c r="I33" s="25">
        <f t="shared" ref="I33:J33" si="40">IF(G33="","",IFERROR(G33/C33,""))</f>
        <v>0.4141333333</v>
      </c>
      <c r="J33" s="25">
        <f t="shared" si="40"/>
        <v>0.4692128736</v>
      </c>
      <c r="K33" s="23">
        <f t="shared" si="7"/>
        <v>-4617848</v>
      </c>
      <c r="L33" s="33" t="str">
        <f t="shared" si="8"/>
        <v>▲ 遅れ</v>
      </c>
      <c r="M33" s="22">
        <v>6.0</v>
      </c>
      <c r="N33" s="22">
        <v>6.0</v>
      </c>
      <c r="O33" s="22">
        <v>18.0</v>
      </c>
      <c r="P33" s="22">
        <v>8.0</v>
      </c>
      <c r="Q33" s="22">
        <v>14.0</v>
      </c>
      <c r="R33" s="25">
        <f t="shared" si="9"/>
        <v>0.3333333333</v>
      </c>
      <c r="S33" s="23">
        <f t="shared" si="10"/>
        <v>20706.66667</v>
      </c>
      <c r="T33" s="34">
        <f t="shared" si="11"/>
        <v>1</v>
      </c>
      <c r="U33" s="25">
        <f t="shared" si="12"/>
        <v>0.4444444444</v>
      </c>
      <c r="V33" s="22"/>
      <c r="W33" s="22">
        <v>44052.0</v>
      </c>
      <c r="X33" s="18">
        <v>0.0</v>
      </c>
      <c r="Y33" s="26"/>
    </row>
    <row r="34" ht="15.75" customHeight="1">
      <c r="A34" s="16">
        <v>46200.0</v>
      </c>
      <c r="B34" s="13" t="str">
        <f t="shared" si="2"/>
        <v>土</v>
      </c>
      <c r="C34" s="18">
        <v>500000.0</v>
      </c>
      <c r="D34" s="15">
        <f t="shared" si="3"/>
        <v>9200000</v>
      </c>
      <c r="E34" s="18">
        <v>0.0</v>
      </c>
      <c r="F34" s="18">
        <v>198420.0</v>
      </c>
      <c r="G34" s="15">
        <f t="shared" si="4"/>
        <v>198420</v>
      </c>
      <c r="H34" s="15">
        <f t="shared" si="5"/>
        <v>4280572</v>
      </c>
      <c r="I34" s="17">
        <f t="shared" ref="I34:J34" si="41">IF(G34="","",IFERROR(G34/C34,""))</f>
        <v>0.39684</v>
      </c>
      <c r="J34" s="17">
        <f t="shared" si="41"/>
        <v>0.4652795652</v>
      </c>
      <c r="K34" s="15">
        <f t="shared" si="7"/>
        <v>-4919428</v>
      </c>
      <c r="L34" s="20" t="str">
        <f t="shared" si="8"/>
        <v>▲ 遅れ</v>
      </c>
      <c r="M34" s="22">
        <v>9.0</v>
      </c>
      <c r="N34" s="22">
        <v>10.0</v>
      </c>
      <c r="O34" s="22">
        <v>24.0</v>
      </c>
      <c r="P34" s="22">
        <v>12.0</v>
      </c>
      <c r="Q34" s="22">
        <v>20.0</v>
      </c>
      <c r="R34" s="17">
        <f t="shared" si="9"/>
        <v>0.375</v>
      </c>
      <c r="S34" s="15">
        <f t="shared" si="10"/>
        <v>22046.66667</v>
      </c>
      <c r="T34" s="24">
        <f t="shared" si="11"/>
        <v>1.111111111</v>
      </c>
      <c r="U34" s="17">
        <f t="shared" si="12"/>
        <v>0.5</v>
      </c>
      <c r="V34" s="22"/>
      <c r="W34" s="22">
        <v>44058.0</v>
      </c>
      <c r="X34" s="18">
        <v>0.0</v>
      </c>
      <c r="Y34" s="26"/>
    </row>
    <row r="35" ht="15.75" customHeight="1">
      <c r="A35" s="32">
        <v>46201.0</v>
      </c>
      <c r="B35" s="21" t="str">
        <f t="shared" si="2"/>
        <v>日</v>
      </c>
      <c r="C35" s="18">
        <v>400000.0</v>
      </c>
      <c r="D35" s="23">
        <f t="shared" si="3"/>
        <v>9600000</v>
      </c>
      <c r="E35" s="18">
        <v>19800.0</v>
      </c>
      <c r="F35" s="18">
        <v>117040.0</v>
      </c>
      <c r="G35" s="23">
        <f t="shared" si="4"/>
        <v>136840</v>
      </c>
      <c r="H35" s="23">
        <f t="shared" si="5"/>
        <v>4417412</v>
      </c>
      <c r="I35" s="25">
        <f t="shared" ref="I35:J35" si="42">IF(G35="","",IFERROR(G35/C35,""))</f>
        <v>0.3421</v>
      </c>
      <c r="J35" s="25">
        <f t="shared" si="42"/>
        <v>0.4601470833</v>
      </c>
      <c r="K35" s="23">
        <f t="shared" si="7"/>
        <v>-5182588</v>
      </c>
      <c r="L35" s="33" t="str">
        <f t="shared" si="8"/>
        <v>▲ 遅れ</v>
      </c>
      <c r="M35" s="22">
        <v>6.0</v>
      </c>
      <c r="N35" s="22">
        <v>6.0</v>
      </c>
      <c r="O35" s="22">
        <v>26.0</v>
      </c>
      <c r="P35" s="22">
        <v>8.0</v>
      </c>
      <c r="Q35" s="22">
        <v>13.0</v>
      </c>
      <c r="R35" s="25">
        <f t="shared" si="9"/>
        <v>0.2307692308</v>
      </c>
      <c r="S35" s="23">
        <f t="shared" si="10"/>
        <v>22806.66667</v>
      </c>
      <c r="T35" s="34">
        <f t="shared" si="11"/>
        <v>1</v>
      </c>
      <c r="U35" s="25">
        <f t="shared" si="12"/>
        <v>0.3076923077</v>
      </c>
      <c r="V35" s="22"/>
      <c r="W35" s="22">
        <v>44075.0</v>
      </c>
      <c r="X35" s="18">
        <v>0.0</v>
      </c>
      <c r="Y35" s="26"/>
    </row>
    <row r="36" ht="15.75" customHeight="1">
      <c r="A36" s="16">
        <v>46202.0</v>
      </c>
      <c r="B36" s="13" t="str">
        <f t="shared" si="2"/>
        <v>月</v>
      </c>
      <c r="C36" s="18">
        <v>300000.0</v>
      </c>
      <c r="D36" s="15">
        <f t="shared" si="3"/>
        <v>9900000</v>
      </c>
      <c r="E36" s="18">
        <v>0.0</v>
      </c>
      <c r="F36" s="18">
        <v>85630.0</v>
      </c>
      <c r="G36" s="15">
        <f t="shared" si="4"/>
        <v>85630</v>
      </c>
      <c r="H36" s="15">
        <f t="shared" si="5"/>
        <v>4503042</v>
      </c>
      <c r="I36" s="17">
        <f t="shared" ref="I36:J36" si="43">IF(G36="","",IFERROR(G36/C36,""))</f>
        <v>0.2854333333</v>
      </c>
      <c r="J36" s="17">
        <f t="shared" si="43"/>
        <v>0.4548527273</v>
      </c>
      <c r="K36" s="15">
        <f t="shared" si="7"/>
        <v>-5396958</v>
      </c>
      <c r="L36" s="20" t="str">
        <f t="shared" si="8"/>
        <v>▲ 遅れ</v>
      </c>
      <c r="M36" s="22">
        <v>4.0</v>
      </c>
      <c r="N36" s="22">
        <v>4.0</v>
      </c>
      <c r="O36" s="22">
        <v>12.0</v>
      </c>
      <c r="P36" s="22">
        <v>5.0</v>
      </c>
      <c r="Q36" s="22">
        <v>6.0</v>
      </c>
      <c r="R36" s="17">
        <f t="shared" si="9"/>
        <v>0.3333333333</v>
      </c>
      <c r="S36" s="15">
        <f t="shared" si="10"/>
        <v>21407.5</v>
      </c>
      <c r="T36" s="24">
        <f t="shared" si="11"/>
        <v>1</v>
      </c>
      <c r="U36" s="17">
        <f t="shared" si="12"/>
        <v>0.4166666667</v>
      </c>
      <c r="V36" s="22"/>
      <c r="W36" s="22">
        <v>44082.0</v>
      </c>
      <c r="X36" s="18">
        <v>0.0</v>
      </c>
      <c r="Y36" s="26"/>
    </row>
    <row r="37" ht="15.75" customHeight="1">
      <c r="A37" s="32">
        <v>46203.0</v>
      </c>
      <c r="B37" s="21" t="str">
        <f t="shared" si="2"/>
        <v>火</v>
      </c>
      <c r="C37" s="18">
        <v>300000.0</v>
      </c>
      <c r="D37" s="23">
        <f t="shared" si="3"/>
        <v>10200000</v>
      </c>
      <c r="E37" s="18">
        <v>0.0</v>
      </c>
      <c r="F37" s="18">
        <v>54647.0</v>
      </c>
      <c r="G37" s="23">
        <f t="shared" si="4"/>
        <v>54647</v>
      </c>
      <c r="H37" s="23">
        <f t="shared" si="5"/>
        <v>4557689</v>
      </c>
      <c r="I37" s="25">
        <f t="shared" ref="I37:J37" si="44">IF(G37="","",IFERROR(G37/C37,""))</f>
        <v>0.1821566667</v>
      </c>
      <c r="J37" s="25">
        <f t="shared" si="44"/>
        <v>0.4468322549</v>
      </c>
      <c r="K37" s="23">
        <f t="shared" si="7"/>
        <v>-5642311</v>
      </c>
      <c r="L37" s="33" t="str">
        <f t="shared" si="8"/>
        <v>▲ 遅れ</v>
      </c>
      <c r="M37" s="22">
        <v>4.0</v>
      </c>
      <c r="N37" s="22">
        <v>4.0</v>
      </c>
      <c r="O37" s="22">
        <v>16.0</v>
      </c>
      <c r="P37" s="22">
        <v>6.0</v>
      </c>
      <c r="Q37" s="22">
        <v>11.0</v>
      </c>
      <c r="R37" s="25">
        <f t="shared" si="9"/>
        <v>0.25</v>
      </c>
      <c r="S37" s="23">
        <f t="shared" si="10"/>
        <v>13661.75</v>
      </c>
      <c r="T37" s="34">
        <f t="shared" si="11"/>
        <v>1</v>
      </c>
      <c r="U37" s="25">
        <f t="shared" si="12"/>
        <v>0.375</v>
      </c>
      <c r="V37" s="22"/>
      <c r="W37" s="22">
        <v>44070.0</v>
      </c>
      <c r="X37" s="18">
        <v>0.0</v>
      </c>
      <c r="Y37" s="26"/>
    </row>
    <row r="38" ht="15.75" customHeight="1">
      <c r="A38" s="45" t="s">
        <v>92</v>
      </c>
      <c r="B38" s="36"/>
      <c r="C38" s="37">
        <f>SUM(C8:C37)</f>
        <v>10200000</v>
      </c>
      <c r="D38" s="37">
        <f>C38</f>
        <v>10200000</v>
      </c>
      <c r="E38" s="37">
        <f t="shared" ref="E38:G38" si="45">SUM(E8:E37)</f>
        <v>1022427</v>
      </c>
      <c r="F38" s="37">
        <f t="shared" si="45"/>
        <v>3535262</v>
      </c>
      <c r="G38" s="37">
        <f t="shared" si="45"/>
        <v>4557689</v>
      </c>
      <c r="H38" s="37">
        <f>G38</f>
        <v>4557689</v>
      </c>
      <c r="I38" s="39">
        <f>IFERROR(G38/C38,"")</f>
        <v>0.4468322549</v>
      </c>
      <c r="J38" s="39">
        <f>IFERROR(G38/C38,"")</f>
        <v>0.4468322549</v>
      </c>
      <c r="K38" s="37">
        <f>G38-C38</f>
        <v>-5642311</v>
      </c>
      <c r="L38" s="46"/>
      <c r="M38" s="41">
        <f t="shared" ref="M38:Q38" si="46">SUM(M8:M37)</f>
        <v>202</v>
      </c>
      <c r="N38" s="41">
        <f t="shared" si="46"/>
        <v>219</v>
      </c>
      <c r="O38" s="41">
        <f t="shared" si="46"/>
        <v>667</v>
      </c>
      <c r="P38" s="41">
        <f t="shared" si="46"/>
        <v>292</v>
      </c>
      <c r="Q38" s="41">
        <f t="shared" si="46"/>
        <v>476</v>
      </c>
      <c r="R38" s="39">
        <f t="shared" si="9"/>
        <v>0.3028485757</v>
      </c>
      <c r="S38" s="37">
        <f t="shared" si="10"/>
        <v>22562.81683</v>
      </c>
      <c r="T38" s="47">
        <f t="shared" si="11"/>
        <v>1.084158416</v>
      </c>
      <c r="U38" s="39">
        <f t="shared" si="12"/>
        <v>0.4377811094</v>
      </c>
      <c r="V38" s="41">
        <f>SUM(V8:V37)</f>
        <v>0</v>
      </c>
      <c r="W38" s="41">
        <f>IFERROR(LOOKUP(9.99E+307,W8:W37),"")</f>
        <v>44070</v>
      </c>
      <c r="X38" s="37">
        <f>SUM(X8:X37)</f>
        <v>0</v>
      </c>
      <c r="Y38" s="48" t="s">
        <v>93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7">
    <cfRule type="expression" dxfId="0" priority="1">
      <formula>AND($G8&lt;&gt;"",$K8&gt;=0)</formula>
    </cfRule>
  </conditionalFormatting>
  <conditionalFormatting sqref="K8:K37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87</v>
      </c>
      <c r="H3" s="6"/>
      <c r="I3" s="5" t="s">
        <v>7</v>
      </c>
      <c r="J3" s="6"/>
      <c r="K3" s="5" t="s">
        <v>8</v>
      </c>
      <c r="L3" s="6"/>
    </row>
    <row r="4">
      <c r="A4" s="7">
        <f>IF('設定'!$B$11="",SUM(C8:C38),'設定'!$B$11)</f>
        <v>9000000</v>
      </c>
      <c r="B4" s="6"/>
      <c r="C4" s="8">
        <f>SUM(G8:G38)</f>
        <v>4198583</v>
      </c>
      <c r="D4" s="6"/>
      <c r="E4" s="9">
        <f>IFERROR(C4/A4,0)</f>
        <v>0.4665092222</v>
      </c>
      <c r="F4" s="6"/>
      <c r="G4" s="10">
        <f>COUNTIF(G8:G38,"&gt;0")</f>
        <v>29</v>
      </c>
      <c r="H4" s="6"/>
      <c r="I4" s="8">
        <f>A4-C4</f>
        <v>4801417</v>
      </c>
      <c r="J4" s="6"/>
      <c r="K4" s="8">
        <f>IF((31-G4)&gt;0,(A4-C4)/(31-G4),0)</f>
        <v>2400708.5</v>
      </c>
      <c r="L4" s="6"/>
    </row>
    <row r="5">
      <c r="A5" s="5" t="s">
        <v>16</v>
      </c>
      <c r="B5" s="6"/>
      <c r="C5" s="5" t="s">
        <v>17</v>
      </c>
      <c r="D5" s="6"/>
      <c r="E5" s="5" t="s">
        <v>18</v>
      </c>
      <c r="F5" s="6"/>
      <c r="G5" s="5" t="s">
        <v>19</v>
      </c>
      <c r="H5" s="6"/>
      <c r="I5" s="5" t="s">
        <v>20</v>
      </c>
      <c r="J5" s="6"/>
      <c r="K5" s="5" t="s">
        <v>21</v>
      </c>
      <c r="L5" s="6"/>
    </row>
    <row r="6">
      <c r="A6" s="8">
        <f>SUM(C8:C38)</f>
        <v>9000000</v>
      </c>
      <c r="B6" s="6"/>
      <c r="C6" s="8">
        <f>IFERROR(C4/G4*31,0)</f>
        <v>4488140.448</v>
      </c>
      <c r="D6" s="6"/>
      <c r="E6" s="9">
        <f>IFERROR(M39/O39,0)</f>
        <v>0.3146853147</v>
      </c>
      <c r="F6" s="6"/>
      <c r="G6" s="8">
        <f>IFERROR(G39/M39,0)</f>
        <v>23325.46111</v>
      </c>
      <c r="H6" s="6"/>
      <c r="I6" s="12">
        <f>IFERROR(N39/M39,0)</f>
        <v>1.077777778</v>
      </c>
      <c r="J6" s="6"/>
      <c r="K6" s="9">
        <f>IFERROR(P39/O39,0)</f>
        <v>0.4125874126</v>
      </c>
      <c r="L6" s="6"/>
    </row>
    <row r="7" ht="30.0" customHeight="1">
      <c r="A7" s="11" t="s">
        <v>32</v>
      </c>
      <c r="B7" s="11" t="s">
        <v>33</v>
      </c>
      <c r="C7" s="11" t="s">
        <v>34</v>
      </c>
      <c r="D7" s="11" t="s">
        <v>28</v>
      </c>
      <c r="E7" s="11" t="s">
        <v>35</v>
      </c>
      <c r="F7" s="11" t="s">
        <v>36</v>
      </c>
      <c r="G7" s="11" t="s">
        <v>37</v>
      </c>
      <c r="H7" s="11" t="s">
        <v>29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26</v>
      </c>
      <c r="N7" s="11" t="s">
        <v>42</v>
      </c>
      <c r="O7" s="11" t="s">
        <v>27</v>
      </c>
      <c r="P7" s="11" t="s">
        <v>43</v>
      </c>
      <c r="Q7" s="11" t="s">
        <v>44</v>
      </c>
      <c r="R7" s="11" t="s">
        <v>18</v>
      </c>
      <c r="S7" s="11" t="s">
        <v>19</v>
      </c>
      <c r="T7" s="11" t="s">
        <v>20</v>
      </c>
      <c r="U7" s="11" t="s">
        <v>21</v>
      </c>
      <c r="V7" s="11" t="s">
        <v>45</v>
      </c>
      <c r="W7" s="11" t="s">
        <v>46</v>
      </c>
      <c r="X7" s="11" t="s">
        <v>47</v>
      </c>
      <c r="Y7" s="11" t="s">
        <v>48</v>
      </c>
      <c r="AA7" s="14" t="s">
        <v>49</v>
      </c>
      <c r="AB7" s="14" t="s">
        <v>50</v>
      </c>
      <c r="AC7" s="14" t="s">
        <v>51</v>
      </c>
      <c r="AD7" s="14" t="s">
        <v>18</v>
      </c>
      <c r="AE7" s="14" t="s">
        <v>19</v>
      </c>
    </row>
    <row r="8">
      <c r="A8" s="16">
        <v>46204.0</v>
      </c>
      <c r="B8" s="13" t="str">
        <f t="shared" ref="B8:B38" si="2">MID("日月火水木金土",WEEKDAY(A8),1)</f>
        <v>水</v>
      </c>
      <c r="C8" s="18">
        <v>200000.0</v>
      </c>
      <c r="D8" s="15">
        <f t="shared" ref="D8:D38" si="3">SUM($C$8:C8)</f>
        <v>200000</v>
      </c>
      <c r="E8" s="18">
        <v>44110.0</v>
      </c>
      <c r="F8" s="18">
        <v>104830.0</v>
      </c>
      <c r="G8" s="15">
        <f t="shared" ref="G8:G38" si="4">IF(COUNT(E8:F8)=0,"",SUM(E8:F8))</f>
        <v>148940</v>
      </c>
      <c r="H8" s="15">
        <f t="shared" ref="H8:H38" si="5">IF(G8="","",SUM($G$8:G8))</f>
        <v>148940</v>
      </c>
      <c r="I8" s="17">
        <f t="shared" ref="I8:J8" si="1">IF(G8="","",IFERROR(G8/C8,""))</f>
        <v>0.7447</v>
      </c>
      <c r="J8" s="17">
        <f t="shared" si="1"/>
        <v>0.7447</v>
      </c>
      <c r="K8" s="15">
        <f t="shared" ref="K8:K38" si="7">IF(H8="","",IF(D8=0,"",H8-D8))</f>
        <v>-51060</v>
      </c>
      <c r="L8" s="20" t="str">
        <f t="shared" ref="L8:L38" si="8">IF(G8="","—",IF(D8=0,"予算未入力",IF(H8&gt;=D8,"◎ ペース内","▲ 遅れ")))</f>
        <v>▲ 遅れ</v>
      </c>
      <c r="M8" s="22">
        <v>6.0</v>
      </c>
      <c r="N8" s="22">
        <v>7.0</v>
      </c>
      <c r="O8" s="22">
        <v>20.0</v>
      </c>
      <c r="P8" s="22">
        <v>6.0</v>
      </c>
      <c r="Q8" s="22">
        <v>14.0</v>
      </c>
      <c r="R8" s="17">
        <f t="shared" ref="R8:R39" si="9">IFERROR(M8/O8,"")</f>
        <v>0.3</v>
      </c>
      <c r="S8" s="15">
        <f t="shared" ref="S8:S39" si="10">IFERROR(G8/M8,"")</f>
        <v>24823.33333</v>
      </c>
      <c r="T8" s="24">
        <f t="shared" ref="T8:T39" si="11">IFERROR(N8/M8,"")</f>
        <v>1.166666667</v>
      </c>
      <c r="U8" s="17">
        <f t="shared" ref="U8:U39" si="12">IFERROR(P8/O8,"")</f>
        <v>0.3</v>
      </c>
      <c r="V8" s="22"/>
      <c r="W8" s="22">
        <v>44073.0</v>
      </c>
      <c r="X8" s="18">
        <v>0.0</v>
      </c>
      <c r="Y8" s="26"/>
      <c r="AA8" s="27" t="s">
        <v>22</v>
      </c>
      <c r="AB8" s="29">
        <f t="shared" ref="AB8:AB14" si="13">IFERROR(AVERAGEIFS($G$8:$G$38,$B$8:$B$38,AA8,$G$8:$G$38,"&gt;0"),0)</f>
        <v>164095</v>
      </c>
      <c r="AC8" s="30">
        <f t="shared" ref="AC8:AC14" si="14">COUNTIFS($B$8:$B$38,AA8,$G$8:$G$38,"&gt;0")</f>
        <v>4</v>
      </c>
      <c r="AD8" s="31">
        <f t="shared" ref="AD8:AD14" si="15">IFERROR(SUMIF($B$8:$B$38,AA8,$M$8:$M$38)/SUMIF($B$8:$B$38,AA8,$O$8:$O$38),0)</f>
        <v>0.2941176471</v>
      </c>
      <c r="AE8" s="29">
        <f t="shared" ref="AE8:AE14" si="16">IFERROR(SUMIF($B$8:$B$38,AA8,$G$8:$G$38)/SUMIF($B$8:$B$38,AA8,$M$8:$M$38),0)</f>
        <v>26255.2</v>
      </c>
    </row>
    <row r="9">
      <c r="A9" s="32">
        <v>46205.0</v>
      </c>
      <c r="B9" s="21" t="str">
        <f t="shared" si="2"/>
        <v>木</v>
      </c>
      <c r="C9" s="18">
        <v>200000.0</v>
      </c>
      <c r="D9" s="23">
        <f t="shared" si="3"/>
        <v>400000</v>
      </c>
      <c r="E9" s="18">
        <v>0.0</v>
      </c>
      <c r="F9" s="18">
        <v>68530.0</v>
      </c>
      <c r="G9" s="23">
        <f t="shared" si="4"/>
        <v>68530</v>
      </c>
      <c r="H9" s="23">
        <f t="shared" si="5"/>
        <v>217470</v>
      </c>
      <c r="I9" s="25">
        <f t="shared" ref="I9:J9" si="6">IF(G9="","",IFERROR(G9/C9,""))</f>
        <v>0.34265</v>
      </c>
      <c r="J9" s="25">
        <f t="shared" si="6"/>
        <v>0.543675</v>
      </c>
      <c r="K9" s="23">
        <f t="shared" si="7"/>
        <v>-182530</v>
      </c>
      <c r="L9" s="33" t="str">
        <f t="shared" si="8"/>
        <v>▲ 遅れ</v>
      </c>
      <c r="M9" s="22">
        <v>3.0</v>
      </c>
      <c r="N9" s="22">
        <v>3.0</v>
      </c>
      <c r="O9" s="22">
        <v>15.0</v>
      </c>
      <c r="P9" s="22">
        <v>6.0</v>
      </c>
      <c r="Q9" s="22">
        <v>9.0</v>
      </c>
      <c r="R9" s="25">
        <f t="shared" si="9"/>
        <v>0.2</v>
      </c>
      <c r="S9" s="23">
        <f t="shared" si="10"/>
        <v>22843.33333</v>
      </c>
      <c r="T9" s="34">
        <f t="shared" si="11"/>
        <v>1</v>
      </c>
      <c r="U9" s="25">
        <f t="shared" si="12"/>
        <v>0.4</v>
      </c>
      <c r="V9" s="22"/>
      <c r="W9" s="22">
        <v>44071.0</v>
      </c>
      <c r="X9" s="18">
        <v>0.0</v>
      </c>
      <c r="Y9" s="26"/>
      <c r="AA9" s="27" t="s">
        <v>59</v>
      </c>
      <c r="AB9" s="29">
        <f t="shared" si="13"/>
        <v>126851.75</v>
      </c>
      <c r="AC9" s="30">
        <f t="shared" si="14"/>
        <v>4</v>
      </c>
      <c r="AD9" s="31">
        <f t="shared" si="15"/>
        <v>0.3636363636</v>
      </c>
      <c r="AE9" s="29">
        <f t="shared" si="16"/>
        <v>21141.95833</v>
      </c>
    </row>
    <row r="10">
      <c r="A10" s="16">
        <v>46206.0</v>
      </c>
      <c r="B10" s="13" t="str">
        <f t="shared" si="2"/>
        <v>金</v>
      </c>
      <c r="C10" s="18">
        <v>200000.0</v>
      </c>
      <c r="D10" s="15">
        <f t="shared" si="3"/>
        <v>600000</v>
      </c>
      <c r="E10" s="18">
        <v>23700.0</v>
      </c>
      <c r="F10" s="18">
        <v>93320.0</v>
      </c>
      <c r="G10" s="15">
        <f t="shared" si="4"/>
        <v>117020</v>
      </c>
      <c r="H10" s="15">
        <f t="shared" si="5"/>
        <v>334490</v>
      </c>
      <c r="I10" s="17">
        <f t="shared" ref="I10:J10" si="17">IF(G10="","",IFERROR(G10/C10,""))</f>
        <v>0.5851</v>
      </c>
      <c r="J10" s="17">
        <f t="shared" si="17"/>
        <v>0.5574833333</v>
      </c>
      <c r="K10" s="15">
        <f t="shared" si="7"/>
        <v>-265510</v>
      </c>
      <c r="L10" s="20" t="str">
        <f t="shared" si="8"/>
        <v>▲ 遅れ</v>
      </c>
      <c r="M10" s="22">
        <v>5.0</v>
      </c>
      <c r="N10" s="22">
        <v>5.0</v>
      </c>
      <c r="O10" s="22">
        <v>26.0</v>
      </c>
      <c r="P10" s="22">
        <v>6.0</v>
      </c>
      <c r="Q10" s="22">
        <v>10.0</v>
      </c>
      <c r="R10" s="17">
        <f t="shared" si="9"/>
        <v>0.1923076923</v>
      </c>
      <c r="S10" s="15">
        <f t="shared" si="10"/>
        <v>23404</v>
      </c>
      <c r="T10" s="24">
        <f t="shared" si="11"/>
        <v>1</v>
      </c>
      <c r="U10" s="17">
        <f t="shared" si="12"/>
        <v>0.2307692308</v>
      </c>
      <c r="V10" s="22"/>
      <c r="W10" s="22"/>
      <c r="X10" s="18">
        <v>0.0</v>
      </c>
      <c r="Y10" s="26"/>
      <c r="AA10" s="27" t="s">
        <v>61</v>
      </c>
      <c r="AB10" s="29">
        <f t="shared" si="13"/>
        <v>107080.8</v>
      </c>
      <c r="AC10" s="30">
        <f t="shared" si="14"/>
        <v>5</v>
      </c>
      <c r="AD10" s="31">
        <f t="shared" si="15"/>
        <v>0.265060241</v>
      </c>
      <c r="AE10" s="29">
        <f t="shared" si="16"/>
        <v>24336.54545</v>
      </c>
    </row>
    <row r="11">
      <c r="A11" s="32">
        <v>46207.0</v>
      </c>
      <c r="B11" s="21" t="str">
        <f t="shared" si="2"/>
        <v>土</v>
      </c>
      <c r="C11" s="18">
        <v>350000.0</v>
      </c>
      <c r="D11" s="23">
        <f t="shared" si="3"/>
        <v>950000</v>
      </c>
      <c r="E11" s="18">
        <v>115050.0</v>
      </c>
      <c r="F11" s="18">
        <v>146660.0</v>
      </c>
      <c r="G11" s="23">
        <f t="shared" si="4"/>
        <v>261710</v>
      </c>
      <c r="H11" s="23">
        <f t="shared" si="5"/>
        <v>596200</v>
      </c>
      <c r="I11" s="25">
        <f t="shared" ref="I11:J11" si="18">IF(G11="","",IFERROR(G11/C11,""))</f>
        <v>0.7477428571</v>
      </c>
      <c r="J11" s="25">
        <f t="shared" si="18"/>
        <v>0.6275789474</v>
      </c>
      <c r="K11" s="23">
        <f t="shared" si="7"/>
        <v>-353800</v>
      </c>
      <c r="L11" s="33" t="str">
        <f t="shared" si="8"/>
        <v>▲ 遅れ</v>
      </c>
      <c r="M11" s="22">
        <v>12.0</v>
      </c>
      <c r="N11" s="22">
        <v>12.0</v>
      </c>
      <c r="O11" s="22">
        <v>30.0</v>
      </c>
      <c r="P11" s="22">
        <v>16.0</v>
      </c>
      <c r="Q11" s="22">
        <v>32.0</v>
      </c>
      <c r="R11" s="25">
        <f t="shared" si="9"/>
        <v>0.4</v>
      </c>
      <c r="S11" s="23">
        <f t="shared" si="10"/>
        <v>21809.16667</v>
      </c>
      <c r="T11" s="34">
        <f t="shared" si="11"/>
        <v>1</v>
      </c>
      <c r="U11" s="25">
        <f t="shared" si="12"/>
        <v>0.5333333333</v>
      </c>
      <c r="V11" s="22"/>
      <c r="W11" s="22">
        <v>44117.0</v>
      </c>
      <c r="X11" s="18">
        <v>0.0</v>
      </c>
      <c r="Y11" s="26"/>
      <c r="AA11" s="27" t="s">
        <v>63</v>
      </c>
      <c r="AB11" s="29">
        <f t="shared" si="13"/>
        <v>131796</v>
      </c>
      <c r="AC11" s="30">
        <f t="shared" si="14"/>
        <v>4</v>
      </c>
      <c r="AD11" s="31">
        <f t="shared" si="15"/>
        <v>0.34375</v>
      </c>
      <c r="AE11" s="29">
        <f t="shared" si="16"/>
        <v>23962.90909</v>
      </c>
    </row>
    <row r="12">
      <c r="A12" s="16">
        <v>46208.0</v>
      </c>
      <c r="B12" s="13" t="str">
        <f t="shared" si="2"/>
        <v>日</v>
      </c>
      <c r="C12" s="18">
        <v>350000.0</v>
      </c>
      <c r="D12" s="15">
        <f t="shared" si="3"/>
        <v>1300000</v>
      </c>
      <c r="E12" s="18">
        <v>24310.0</v>
      </c>
      <c r="F12" s="18">
        <v>282340.0</v>
      </c>
      <c r="G12" s="15">
        <f t="shared" si="4"/>
        <v>306650</v>
      </c>
      <c r="H12" s="15">
        <f t="shared" si="5"/>
        <v>902850</v>
      </c>
      <c r="I12" s="17">
        <f t="shared" ref="I12:J12" si="19">IF(G12="","",IFERROR(G12/C12,""))</f>
        <v>0.8761428571</v>
      </c>
      <c r="J12" s="17">
        <f t="shared" si="19"/>
        <v>0.6945</v>
      </c>
      <c r="K12" s="15">
        <f t="shared" si="7"/>
        <v>-397150</v>
      </c>
      <c r="L12" s="20" t="str">
        <f t="shared" si="8"/>
        <v>▲ 遅れ</v>
      </c>
      <c r="M12" s="22">
        <v>13.0</v>
      </c>
      <c r="N12" s="22">
        <v>13.0</v>
      </c>
      <c r="O12" s="22">
        <v>34.0</v>
      </c>
      <c r="P12" s="22">
        <v>16.0</v>
      </c>
      <c r="Q12" s="22">
        <v>21.0</v>
      </c>
      <c r="R12" s="17">
        <f t="shared" si="9"/>
        <v>0.3823529412</v>
      </c>
      <c r="S12" s="15">
        <f t="shared" si="10"/>
        <v>23588.46154</v>
      </c>
      <c r="T12" s="24">
        <f t="shared" si="11"/>
        <v>1</v>
      </c>
      <c r="U12" s="17">
        <f t="shared" si="12"/>
        <v>0.4705882353</v>
      </c>
      <c r="V12" s="22"/>
      <c r="W12" s="22">
        <v>44129.0</v>
      </c>
      <c r="X12" s="18">
        <v>0.0</v>
      </c>
      <c r="Y12" s="26"/>
      <c r="AA12" s="27" t="s">
        <v>65</v>
      </c>
      <c r="AB12" s="29">
        <f t="shared" si="13"/>
        <v>92111.75</v>
      </c>
      <c r="AC12" s="30">
        <f t="shared" si="14"/>
        <v>4</v>
      </c>
      <c r="AD12" s="31">
        <f t="shared" si="15"/>
        <v>0.1975308642</v>
      </c>
      <c r="AE12" s="29">
        <f t="shared" si="16"/>
        <v>23027.9375</v>
      </c>
    </row>
    <row r="13">
      <c r="A13" s="32">
        <v>46209.0</v>
      </c>
      <c r="B13" s="21" t="str">
        <f t="shared" si="2"/>
        <v>月</v>
      </c>
      <c r="C13" s="18">
        <v>200000.0</v>
      </c>
      <c r="D13" s="23">
        <f t="shared" si="3"/>
        <v>1500000</v>
      </c>
      <c r="E13" s="18">
        <v>45810.0</v>
      </c>
      <c r="F13" s="18">
        <v>86340.0</v>
      </c>
      <c r="G13" s="23">
        <f t="shared" si="4"/>
        <v>132150</v>
      </c>
      <c r="H13" s="23">
        <f t="shared" si="5"/>
        <v>1035000</v>
      </c>
      <c r="I13" s="25">
        <f t="shared" ref="I13:J13" si="20">IF(G13="","",IFERROR(G13/C13,""))</f>
        <v>0.66075</v>
      </c>
      <c r="J13" s="25">
        <f t="shared" si="20"/>
        <v>0.69</v>
      </c>
      <c r="K13" s="23">
        <f t="shared" si="7"/>
        <v>-465000</v>
      </c>
      <c r="L13" s="33" t="str">
        <f t="shared" si="8"/>
        <v>▲ 遅れ</v>
      </c>
      <c r="M13" s="22">
        <v>5.0</v>
      </c>
      <c r="N13" s="22">
        <v>5.0</v>
      </c>
      <c r="O13" s="22">
        <v>19.0</v>
      </c>
      <c r="P13" s="22">
        <v>8.0</v>
      </c>
      <c r="Q13" s="22">
        <v>17.0</v>
      </c>
      <c r="R13" s="25">
        <f t="shared" si="9"/>
        <v>0.2631578947</v>
      </c>
      <c r="S13" s="23">
        <f t="shared" si="10"/>
        <v>26430</v>
      </c>
      <c r="T13" s="34">
        <f t="shared" si="11"/>
        <v>1</v>
      </c>
      <c r="U13" s="25">
        <f t="shared" si="12"/>
        <v>0.4210526316</v>
      </c>
      <c r="V13" s="22"/>
      <c r="W13" s="22">
        <v>44123.0</v>
      </c>
      <c r="X13" s="18">
        <v>0.0</v>
      </c>
      <c r="Y13" s="26"/>
      <c r="AA13" s="27" t="s">
        <v>67</v>
      </c>
      <c r="AB13" s="29">
        <f t="shared" si="13"/>
        <v>225866</v>
      </c>
      <c r="AC13" s="30">
        <f t="shared" si="14"/>
        <v>4</v>
      </c>
      <c r="AD13" s="31">
        <f t="shared" si="15"/>
        <v>0.5375</v>
      </c>
      <c r="AE13" s="29">
        <f t="shared" si="16"/>
        <v>21010.7907</v>
      </c>
    </row>
    <row r="14">
      <c r="A14" s="16">
        <v>46210.0</v>
      </c>
      <c r="B14" s="13" t="str">
        <f t="shared" si="2"/>
        <v>火</v>
      </c>
      <c r="C14" s="18">
        <v>200000.0</v>
      </c>
      <c r="D14" s="15">
        <f t="shared" si="3"/>
        <v>1700000</v>
      </c>
      <c r="E14" s="18">
        <v>31510.0</v>
      </c>
      <c r="F14" s="18">
        <v>107850.0</v>
      </c>
      <c r="G14" s="15">
        <f t="shared" si="4"/>
        <v>139360</v>
      </c>
      <c r="H14" s="15">
        <f t="shared" si="5"/>
        <v>1174360</v>
      </c>
      <c r="I14" s="17">
        <f t="shared" ref="I14:J14" si="21">IF(G14="","",IFERROR(G14/C14,""))</f>
        <v>0.6968</v>
      </c>
      <c r="J14" s="17">
        <f t="shared" si="21"/>
        <v>0.6908</v>
      </c>
      <c r="K14" s="15">
        <f t="shared" si="7"/>
        <v>-525640</v>
      </c>
      <c r="L14" s="20" t="str">
        <f t="shared" si="8"/>
        <v>▲ 遅れ</v>
      </c>
      <c r="M14" s="22">
        <v>7.0</v>
      </c>
      <c r="N14" s="22">
        <v>7.0</v>
      </c>
      <c r="O14" s="22">
        <v>17.0</v>
      </c>
      <c r="P14" s="22">
        <v>10.0</v>
      </c>
      <c r="Q14" s="22">
        <v>12.0</v>
      </c>
      <c r="R14" s="17">
        <f t="shared" si="9"/>
        <v>0.4117647059</v>
      </c>
      <c r="S14" s="15">
        <f t="shared" si="10"/>
        <v>19908.57143</v>
      </c>
      <c r="T14" s="24">
        <f t="shared" si="11"/>
        <v>1</v>
      </c>
      <c r="U14" s="17">
        <f t="shared" si="12"/>
        <v>0.5882352941</v>
      </c>
      <c r="V14" s="22"/>
      <c r="W14" s="22">
        <v>44070.0</v>
      </c>
      <c r="X14" s="18">
        <v>0.0</v>
      </c>
      <c r="Y14" s="26"/>
      <c r="AA14" s="27" t="s">
        <v>69</v>
      </c>
      <c r="AB14" s="29">
        <f t="shared" si="13"/>
        <v>175074.25</v>
      </c>
      <c r="AC14" s="30">
        <f t="shared" si="14"/>
        <v>4</v>
      </c>
      <c r="AD14" s="31">
        <f t="shared" si="15"/>
        <v>0.2477876106</v>
      </c>
      <c r="AE14" s="29">
        <f t="shared" si="16"/>
        <v>25010.60714</v>
      </c>
    </row>
    <row r="15">
      <c r="A15" s="32">
        <v>46211.0</v>
      </c>
      <c r="B15" s="21" t="str">
        <f t="shared" si="2"/>
        <v>水</v>
      </c>
      <c r="C15" s="18">
        <v>200000.0</v>
      </c>
      <c r="D15" s="23">
        <f t="shared" si="3"/>
        <v>1900000</v>
      </c>
      <c r="E15" s="18">
        <v>43220.0</v>
      </c>
      <c r="F15" s="18">
        <v>128030.0</v>
      </c>
      <c r="G15" s="23">
        <f t="shared" si="4"/>
        <v>171250</v>
      </c>
      <c r="H15" s="23">
        <f t="shared" si="5"/>
        <v>1345610</v>
      </c>
      <c r="I15" s="25">
        <f t="shared" ref="I15:J15" si="22">IF(G15="","",IFERROR(G15/C15,""))</f>
        <v>0.85625</v>
      </c>
      <c r="J15" s="25">
        <f t="shared" si="22"/>
        <v>0.7082157895</v>
      </c>
      <c r="K15" s="23">
        <f t="shared" si="7"/>
        <v>-554390</v>
      </c>
      <c r="L15" s="33" t="str">
        <f t="shared" si="8"/>
        <v>▲ 遅れ</v>
      </c>
      <c r="M15" s="22">
        <v>7.0</v>
      </c>
      <c r="N15" s="22">
        <v>8.0</v>
      </c>
      <c r="O15" s="22">
        <v>21.0</v>
      </c>
      <c r="P15" s="22">
        <v>10.0</v>
      </c>
      <c r="Q15" s="22">
        <v>13.0</v>
      </c>
      <c r="R15" s="25">
        <f t="shared" si="9"/>
        <v>0.3333333333</v>
      </c>
      <c r="S15" s="23">
        <f t="shared" si="10"/>
        <v>24464.28571</v>
      </c>
      <c r="T15" s="34">
        <f t="shared" si="11"/>
        <v>1.142857143</v>
      </c>
      <c r="U15" s="25">
        <f t="shared" si="12"/>
        <v>0.4761904762</v>
      </c>
      <c r="V15" s="22"/>
      <c r="W15" s="22"/>
      <c r="X15" s="18">
        <v>0.0</v>
      </c>
      <c r="Y15" s="26"/>
    </row>
    <row r="16">
      <c r="A16" s="16">
        <v>46212.0</v>
      </c>
      <c r="B16" s="13" t="str">
        <f t="shared" si="2"/>
        <v>木</v>
      </c>
      <c r="C16" s="18">
        <v>200000.0</v>
      </c>
      <c r="D16" s="15">
        <f t="shared" si="3"/>
        <v>2100000</v>
      </c>
      <c r="E16" s="18">
        <v>67530.0</v>
      </c>
      <c r="F16" s="18">
        <v>85730.0</v>
      </c>
      <c r="G16" s="15">
        <f t="shared" si="4"/>
        <v>153260</v>
      </c>
      <c r="H16" s="15">
        <f t="shared" si="5"/>
        <v>1498870</v>
      </c>
      <c r="I16" s="17">
        <f t="shared" ref="I16:J16" si="23">IF(G16="","",IFERROR(G16/C16,""))</f>
        <v>0.7663</v>
      </c>
      <c r="J16" s="17">
        <f t="shared" si="23"/>
        <v>0.713747619</v>
      </c>
      <c r="K16" s="15">
        <f t="shared" si="7"/>
        <v>-601130</v>
      </c>
      <c r="L16" s="20" t="str">
        <f t="shared" si="8"/>
        <v>▲ 遅れ</v>
      </c>
      <c r="M16" s="22">
        <v>7.0</v>
      </c>
      <c r="N16" s="22">
        <v>7.0</v>
      </c>
      <c r="O16" s="22">
        <v>27.0</v>
      </c>
      <c r="P16" s="22">
        <v>7.0</v>
      </c>
      <c r="Q16" s="22">
        <v>9.0</v>
      </c>
      <c r="R16" s="17">
        <f t="shared" si="9"/>
        <v>0.2592592593</v>
      </c>
      <c r="S16" s="15">
        <f t="shared" si="10"/>
        <v>21894.28571</v>
      </c>
      <c r="T16" s="24">
        <f t="shared" si="11"/>
        <v>1</v>
      </c>
      <c r="U16" s="17">
        <f t="shared" si="12"/>
        <v>0.2592592593</v>
      </c>
      <c r="V16" s="22"/>
      <c r="W16" s="22">
        <v>44118.0</v>
      </c>
      <c r="X16" s="18">
        <v>0.0</v>
      </c>
      <c r="Y16" s="26"/>
      <c r="AA16" s="35" t="s">
        <v>71</v>
      </c>
    </row>
    <row r="17">
      <c r="A17" s="32">
        <v>46213.0</v>
      </c>
      <c r="B17" s="21" t="str">
        <f t="shared" si="2"/>
        <v>金</v>
      </c>
      <c r="C17" s="18">
        <v>200000.0</v>
      </c>
      <c r="D17" s="23">
        <f t="shared" si="3"/>
        <v>2300000</v>
      </c>
      <c r="E17" s="18">
        <v>48620.0</v>
      </c>
      <c r="F17" s="18">
        <v>113667.0</v>
      </c>
      <c r="G17" s="23">
        <f t="shared" si="4"/>
        <v>162287</v>
      </c>
      <c r="H17" s="23">
        <f t="shared" si="5"/>
        <v>1661157</v>
      </c>
      <c r="I17" s="25">
        <f t="shared" ref="I17:J17" si="24">IF(G17="","",IFERROR(G17/C17,""))</f>
        <v>0.811435</v>
      </c>
      <c r="J17" s="25">
        <f t="shared" si="24"/>
        <v>0.7222421739</v>
      </c>
      <c r="K17" s="23">
        <f t="shared" si="7"/>
        <v>-638843</v>
      </c>
      <c r="L17" s="33" t="str">
        <f t="shared" si="8"/>
        <v>▲ 遅れ</v>
      </c>
      <c r="M17" s="22">
        <v>7.0</v>
      </c>
      <c r="N17" s="22">
        <v>7.0</v>
      </c>
      <c r="O17" s="22">
        <v>26.0</v>
      </c>
      <c r="P17" s="22">
        <v>11.0</v>
      </c>
      <c r="Q17" s="22">
        <v>11.0</v>
      </c>
      <c r="R17" s="25">
        <f t="shared" si="9"/>
        <v>0.2692307692</v>
      </c>
      <c r="S17" s="23">
        <f t="shared" si="10"/>
        <v>23183.85714</v>
      </c>
      <c r="T17" s="34">
        <f t="shared" si="11"/>
        <v>1</v>
      </c>
      <c r="U17" s="25">
        <f t="shared" si="12"/>
        <v>0.4230769231</v>
      </c>
      <c r="V17" s="22"/>
      <c r="W17" s="22"/>
      <c r="X17" s="18">
        <v>0.0</v>
      </c>
      <c r="Y17" s="26"/>
    </row>
    <row r="18">
      <c r="A18" s="16">
        <v>46214.0</v>
      </c>
      <c r="B18" s="13" t="str">
        <f t="shared" si="2"/>
        <v>土</v>
      </c>
      <c r="C18" s="18">
        <v>350000.0</v>
      </c>
      <c r="D18" s="15">
        <f t="shared" si="3"/>
        <v>2650000</v>
      </c>
      <c r="E18" s="18">
        <v>0.0</v>
      </c>
      <c r="F18" s="18">
        <v>211890.0</v>
      </c>
      <c r="G18" s="15">
        <f t="shared" si="4"/>
        <v>211890</v>
      </c>
      <c r="H18" s="15">
        <f t="shared" si="5"/>
        <v>1873047</v>
      </c>
      <c r="I18" s="17">
        <f t="shared" ref="I18:J18" si="25">IF(G18="","",IFERROR(G18/C18,""))</f>
        <v>0.6054</v>
      </c>
      <c r="J18" s="17">
        <f t="shared" si="25"/>
        <v>0.7068101887</v>
      </c>
      <c r="K18" s="15">
        <f t="shared" si="7"/>
        <v>-776953</v>
      </c>
      <c r="L18" s="20" t="str">
        <f t="shared" si="8"/>
        <v>▲ 遅れ</v>
      </c>
      <c r="M18" s="22">
        <v>11.0</v>
      </c>
      <c r="N18" s="22">
        <v>11.0</v>
      </c>
      <c r="O18" s="22">
        <v>31.0</v>
      </c>
      <c r="P18" s="22">
        <v>20.0</v>
      </c>
      <c r="Q18" s="22">
        <v>25.0</v>
      </c>
      <c r="R18" s="17">
        <f t="shared" si="9"/>
        <v>0.3548387097</v>
      </c>
      <c r="S18" s="15">
        <f t="shared" si="10"/>
        <v>19262.72727</v>
      </c>
      <c r="T18" s="24">
        <f t="shared" si="11"/>
        <v>1</v>
      </c>
      <c r="U18" s="17">
        <f t="shared" si="12"/>
        <v>0.6451612903</v>
      </c>
      <c r="V18" s="22"/>
      <c r="W18" s="22">
        <v>44129.0</v>
      </c>
      <c r="X18" s="18">
        <v>0.0</v>
      </c>
      <c r="Y18" s="26"/>
      <c r="AA18" s="38" t="s">
        <v>73</v>
      </c>
      <c r="AH18" s="35" t="s">
        <v>98</v>
      </c>
      <c r="AI18" s="40">
        <f>$A$8+MOD(2-WEEKDAY($A$8,2)+7,7)</f>
        <v>46210</v>
      </c>
    </row>
    <row r="19">
      <c r="A19" s="32">
        <v>46215.0</v>
      </c>
      <c r="B19" s="21" t="str">
        <f t="shared" si="2"/>
        <v>日</v>
      </c>
      <c r="C19" s="18">
        <v>350000.0</v>
      </c>
      <c r="D19" s="23">
        <f t="shared" si="3"/>
        <v>3000000</v>
      </c>
      <c r="E19" s="18">
        <v>75830.0</v>
      </c>
      <c r="F19" s="18">
        <v>157010.0</v>
      </c>
      <c r="G19" s="23">
        <f t="shared" si="4"/>
        <v>232840</v>
      </c>
      <c r="H19" s="23">
        <f t="shared" si="5"/>
        <v>2105887</v>
      </c>
      <c r="I19" s="25">
        <f t="shared" ref="I19:J19" si="26">IF(G19="","",IFERROR(G19/C19,""))</f>
        <v>0.6652571429</v>
      </c>
      <c r="J19" s="25">
        <f t="shared" si="26"/>
        <v>0.7019623333</v>
      </c>
      <c r="K19" s="23">
        <f t="shared" si="7"/>
        <v>-894113</v>
      </c>
      <c r="L19" s="33" t="str">
        <f t="shared" si="8"/>
        <v>▲ 遅れ</v>
      </c>
      <c r="M19" s="22">
        <v>8.0</v>
      </c>
      <c r="N19" s="22">
        <v>9.0</v>
      </c>
      <c r="O19" s="22">
        <v>36.0</v>
      </c>
      <c r="P19" s="22">
        <v>11.0</v>
      </c>
      <c r="Q19" s="22">
        <v>29.0</v>
      </c>
      <c r="R19" s="25">
        <f t="shared" si="9"/>
        <v>0.2222222222</v>
      </c>
      <c r="S19" s="23">
        <f t="shared" si="10"/>
        <v>29105</v>
      </c>
      <c r="T19" s="34">
        <f t="shared" si="11"/>
        <v>1.125</v>
      </c>
      <c r="U19" s="25">
        <f t="shared" si="12"/>
        <v>0.3055555556</v>
      </c>
      <c r="V19" s="22"/>
      <c r="W19" s="22">
        <v>44126.0</v>
      </c>
      <c r="X19" s="18">
        <v>0.0</v>
      </c>
      <c r="Y19" s="26"/>
      <c r="AA19" s="14" t="s">
        <v>76</v>
      </c>
      <c r="AB19" s="14" t="s">
        <v>77</v>
      </c>
      <c r="AC19" s="14" t="s">
        <v>78</v>
      </c>
      <c r="AD19" s="14" t="s">
        <v>18</v>
      </c>
      <c r="AE19" s="14" t="s">
        <v>19</v>
      </c>
      <c r="AF19" s="14" t="s">
        <v>20</v>
      </c>
      <c r="AG19" s="14" t="s">
        <v>21</v>
      </c>
    </row>
    <row r="20">
      <c r="A20" s="16">
        <v>46216.0</v>
      </c>
      <c r="B20" s="13" t="str">
        <f t="shared" si="2"/>
        <v>月</v>
      </c>
      <c r="C20" s="18">
        <v>200000.0</v>
      </c>
      <c r="D20" s="15">
        <f t="shared" si="3"/>
        <v>3200000</v>
      </c>
      <c r="E20" s="18">
        <v>0.0</v>
      </c>
      <c r="F20" s="18">
        <v>85840.0</v>
      </c>
      <c r="G20" s="15">
        <f t="shared" si="4"/>
        <v>85840</v>
      </c>
      <c r="H20" s="15">
        <f t="shared" si="5"/>
        <v>2191727</v>
      </c>
      <c r="I20" s="17">
        <f t="shared" ref="I20:J20" si="27">IF(G20="","",IFERROR(G20/C20,""))</f>
        <v>0.4292</v>
      </c>
      <c r="J20" s="17">
        <f t="shared" si="27"/>
        <v>0.6849146875</v>
      </c>
      <c r="K20" s="15">
        <f t="shared" si="7"/>
        <v>-1008273</v>
      </c>
      <c r="L20" s="20" t="str">
        <f t="shared" si="8"/>
        <v>▲ 遅れ</v>
      </c>
      <c r="M20" s="22">
        <v>4.0</v>
      </c>
      <c r="N20" s="22">
        <v>4.0</v>
      </c>
      <c r="O20" s="22">
        <v>16.0</v>
      </c>
      <c r="P20" s="22">
        <v>6.0</v>
      </c>
      <c r="Q20" s="22">
        <v>10.0</v>
      </c>
      <c r="R20" s="17">
        <f t="shared" si="9"/>
        <v>0.25</v>
      </c>
      <c r="S20" s="15">
        <f t="shared" si="10"/>
        <v>21460</v>
      </c>
      <c r="T20" s="24">
        <f t="shared" si="11"/>
        <v>1</v>
      </c>
      <c r="U20" s="17">
        <f t="shared" si="12"/>
        <v>0.375</v>
      </c>
      <c r="V20" s="22"/>
      <c r="W20" s="22">
        <v>44150.0</v>
      </c>
      <c r="X20" s="18">
        <v>0.0</v>
      </c>
      <c r="Y20" s="26"/>
      <c r="AA20" s="30">
        <v>1.0</v>
      </c>
      <c r="AB20" s="42" t="str">
        <f>IF($AI$18+7*(1-1)&gt;$A$38,"",TEXT($AI$18+7*(1-1),"m/d")&amp;"-"&amp;TEXT($AI$18+7*(1-1)+6,"m/d"))</f>
        <v>7/7-7/13</v>
      </c>
      <c r="AC20" s="29">
        <f>IF($AB20="","",(SUMIFS($G$8:$G$38,$A$8:$A$38,"&gt;="&amp;$AI$18+7*(1-1),$A$8:$A$38,"&lt;="&amp;$AI$18+7*(1-1)+6)+SUMIFS('2026年08月'!$G$8:$G$38,'2026年08月'!$A$8:$A$38,"&gt;="&amp;$AI$18+7*(1-1),'2026年08月'!$A$8:$A$38,"&lt;="&amp;$AI$18+7*(1-1)+6)))</f>
        <v>1156727</v>
      </c>
      <c r="AD20" s="31">
        <f>IF($AB20="","",IFERROR((SUMIFS($M$8:$M$38,$A$8:$A$38,"&gt;="&amp;$AI$18+7*(1-1),$A$8:$A$38,"&lt;="&amp;$AI$18+7*(1-1)+6)+SUMIFS('2026年08月'!$M$8:$M$38,'2026年08月'!$A$8:$A$38,"&gt;="&amp;$AI$18+7*(1-1),'2026年08月'!$A$8:$A$38,"&lt;="&amp;$AI$18+7*(1-1)+6))/(SUMIFS($O$8:$O$38,$A$8:$A$38,"&gt;="&amp;$AI$18+7*(1-1),$A$8:$A$38,"&lt;="&amp;$AI$18+7*(1-1)+6)+SUMIFS('2026年08月'!$O$8:$O$38,'2026年08月'!$A$8:$A$38,"&gt;="&amp;$AI$18+7*(1-1),'2026年08月'!$A$8:$A$38,"&lt;="&amp;$AI$18+7*(1-1)+6)),""))</f>
        <v>0.2931034483</v>
      </c>
      <c r="AE20" s="29">
        <f>IF($AB20="","",IFERROR((SUMIFS($G$8:$G$38,$A$8:$A$38,"&gt;="&amp;$AI$18+7*(1-1),$A$8:$A$38,"&lt;="&amp;$AI$18+7*(1-1)+6)+SUMIFS('2026年08月'!$G$8:$G$38,'2026年08月'!$A$8:$A$38,"&gt;="&amp;$AI$18+7*(1-1),'2026年08月'!$A$8:$A$38,"&lt;="&amp;$AI$18+7*(1-1)+6))/(SUMIFS($M$8:$M$38,$A$8:$A$38,"&gt;="&amp;$AI$18+7*(1-1),$A$8:$A$38,"&lt;="&amp;$AI$18+7*(1-1)+6)+SUMIFS('2026年08月'!$M$8:$M$38,'2026年08月'!$A$8:$A$38,"&gt;="&amp;$AI$18+7*(1-1),'2026年08月'!$A$8:$A$38,"&lt;="&amp;$AI$18+7*(1-1)+6)),""))</f>
        <v>22680.92157</v>
      </c>
      <c r="AF20" s="43">
        <f>IF($AB20="","",IFERROR((SUMIFS($N$8:$N$38,$A$8:$A$38,"&gt;="&amp;$AI$18+7*(1-1),$A$8:$A$38,"&lt;="&amp;$AI$18+7*(1-1)+6)+SUMIFS('2026年08月'!$N$8:$N$38,'2026年08月'!$A$8:$A$38,"&gt;="&amp;$AI$18+7*(1-1),'2026年08月'!$A$8:$A$38,"&lt;="&amp;$AI$18+7*(1-1)+6))/(SUMIFS($M$8:$M$38,$A$8:$A$38,"&gt;="&amp;$AI$18+7*(1-1),$A$8:$A$38,"&lt;="&amp;$AI$18+7*(1-1)+6)+SUMIFS('2026年08月'!$M$8:$M$38,'2026年08月'!$A$8:$A$38,"&gt;="&amp;$AI$18+7*(1-1),'2026年08月'!$A$8:$A$38,"&lt;="&amp;$AI$18+7*(1-1)+6)),""))</f>
        <v>1.039215686</v>
      </c>
      <c r="AG20" s="31">
        <f>IF($AB20="","",IFERROR((SUMIFS($P$8:$P$38,$A$8:$A$38,"&gt;="&amp;$AI$18+7*(1-1),$A$8:$A$38,"&lt;="&amp;$AI$18+7*(1-1)+6)+SUMIFS('2026年08月'!$P$8:$P$38,'2026年08月'!$A$8:$A$38,"&gt;="&amp;$AI$18+7*(1-1),'2026年08月'!$A$8:$A$38,"&lt;="&amp;$AI$18+7*(1-1)+6))/(SUMIFS($O$8:$O$38,$A$8:$A$38,"&gt;="&amp;$AI$18+7*(1-1),$A$8:$A$38,"&lt;="&amp;$AI$18+7*(1-1)+6)+SUMIFS('2026年08月'!$O$8:$O$38,'2026年08月'!$A$8:$A$38,"&gt;="&amp;$AI$18+7*(1-1),'2026年08月'!$A$8:$A$38,"&lt;="&amp;$AI$18+7*(1-1)+6)),""))</f>
        <v>0.4310344828</v>
      </c>
    </row>
    <row r="21" ht="15.75" customHeight="1">
      <c r="A21" s="32">
        <v>46217.0</v>
      </c>
      <c r="B21" s="21" t="str">
        <f t="shared" si="2"/>
        <v>火</v>
      </c>
      <c r="C21" s="18">
        <v>200000.0</v>
      </c>
      <c r="D21" s="23">
        <f t="shared" si="3"/>
        <v>3400000</v>
      </c>
      <c r="E21" s="18">
        <v>5000.0</v>
      </c>
      <c r="F21" s="18">
        <v>139740.0</v>
      </c>
      <c r="G21" s="23">
        <f t="shared" si="4"/>
        <v>144740</v>
      </c>
      <c r="H21" s="23">
        <f t="shared" si="5"/>
        <v>2336467</v>
      </c>
      <c r="I21" s="25">
        <f t="shared" ref="I21:J21" si="28">IF(G21="","",IFERROR(G21/C21,""))</f>
        <v>0.7237</v>
      </c>
      <c r="J21" s="25">
        <f t="shared" si="28"/>
        <v>0.6871961765</v>
      </c>
      <c r="K21" s="23">
        <f t="shared" si="7"/>
        <v>-1063533</v>
      </c>
      <c r="L21" s="33" t="str">
        <f t="shared" si="8"/>
        <v>▲ 遅れ</v>
      </c>
      <c r="M21" s="22">
        <v>6.0</v>
      </c>
      <c r="N21" s="22">
        <v>6.0</v>
      </c>
      <c r="O21" s="22">
        <v>18.0</v>
      </c>
      <c r="P21" s="22">
        <v>8.0</v>
      </c>
      <c r="Q21" s="22">
        <v>11.0</v>
      </c>
      <c r="R21" s="25">
        <f t="shared" si="9"/>
        <v>0.3333333333</v>
      </c>
      <c r="S21" s="23">
        <f t="shared" si="10"/>
        <v>24123.33333</v>
      </c>
      <c r="T21" s="34">
        <f t="shared" si="11"/>
        <v>1</v>
      </c>
      <c r="U21" s="25">
        <f t="shared" si="12"/>
        <v>0.4444444444</v>
      </c>
      <c r="V21" s="22"/>
      <c r="W21" s="22"/>
      <c r="X21" s="18">
        <v>0.0</v>
      </c>
      <c r="Y21" s="26"/>
      <c r="AA21" s="30">
        <v>2.0</v>
      </c>
      <c r="AB21" s="42" t="str">
        <f>IF($AI$18+7*(2-1)&gt;$A$38,"",TEXT($AI$18+7*(2-1),"m/d")&amp;"-"&amp;TEXT($AI$18+7*(2-1)+6,"m/d"))</f>
        <v>7/14-7/20</v>
      </c>
      <c r="AC21" s="29">
        <f>IF($AB21="","",(SUMIFS($G$8:$G$38,$A$8:$A$38,"&gt;="&amp;$AI$18+7*(2-1),$A$8:$A$38,"&lt;="&amp;$AI$18+7*(2-1)+6)+SUMIFS('2026年08月'!$G$8:$G$38,'2026年08月'!$A$8:$A$38,"&gt;="&amp;$AI$18+7*(2-1),'2026年08月'!$A$8:$A$38,"&lt;="&amp;$AI$18+7*(2-1)+6)))</f>
        <v>1042726</v>
      </c>
      <c r="AD21" s="31">
        <f>IF($AB21="","",IFERROR((SUMIFS($M$8:$M$38,$A$8:$A$38,"&gt;="&amp;$AI$18+7*(2-1),$A$8:$A$38,"&lt;="&amp;$AI$18+7*(2-1)+6)+SUMIFS('2026年08月'!$M$8:$M$38,'2026年08月'!$A$8:$A$38,"&gt;="&amp;$AI$18+7*(2-1),'2026年08月'!$A$8:$A$38,"&lt;="&amp;$AI$18+7*(2-1)+6))/(SUMIFS($O$8:$O$38,$A$8:$A$38,"&gt;="&amp;$AI$18+7*(2-1),$A$8:$A$38,"&lt;="&amp;$AI$18+7*(2-1)+6)+SUMIFS('2026年08月'!$O$8:$O$38,'2026年08月'!$A$8:$A$38,"&gt;="&amp;$AI$18+7*(2-1),'2026年08月'!$A$8:$A$38,"&lt;="&amp;$AI$18+7*(2-1)+6)),""))</f>
        <v>0.3739130435</v>
      </c>
      <c r="AE21" s="29">
        <f>IF($AB21="","",IFERROR((SUMIFS($G$8:$G$38,$A$8:$A$38,"&gt;="&amp;$AI$18+7*(2-1),$A$8:$A$38,"&lt;="&amp;$AI$18+7*(2-1)+6)+SUMIFS('2026年08月'!$G$8:$G$38,'2026年08月'!$A$8:$A$38,"&gt;="&amp;$AI$18+7*(2-1),'2026年08月'!$A$8:$A$38,"&lt;="&amp;$AI$18+7*(2-1)+6))/(SUMIFS($M$8:$M$38,$A$8:$A$38,"&gt;="&amp;$AI$18+7*(2-1),$A$8:$A$38,"&lt;="&amp;$AI$18+7*(2-1)+6)+SUMIFS('2026年08月'!$M$8:$M$38,'2026年08月'!$A$8:$A$38,"&gt;="&amp;$AI$18+7*(2-1),'2026年08月'!$A$8:$A$38,"&lt;="&amp;$AI$18+7*(2-1)+6)),""))</f>
        <v>24249.44186</v>
      </c>
      <c r="AF21" s="43">
        <f>IF($AB21="","",IFERROR((SUMIFS($N$8:$N$38,$A$8:$A$38,"&gt;="&amp;$AI$18+7*(2-1),$A$8:$A$38,"&lt;="&amp;$AI$18+7*(2-1)+6)+SUMIFS('2026年08月'!$N$8:$N$38,'2026年08月'!$A$8:$A$38,"&gt;="&amp;$AI$18+7*(2-1),'2026年08月'!$A$8:$A$38,"&lt;="&amp;$AI$18+7*(2-1)+6))/(SUMIFS($M$8:$M$38,$A$8:$A$38,"&gt;="&amp;$AI$18+7*(2-1),$A$8:$A$38,"&lt;="&amp;$AI$18+7*(2-1)+6)+SUMIFS('2026年08月'!$M$8:$M$38,'2026年08月'!$A$8:$A$38,"&gt;="&amp;$AI$18+7*(2-1),'2026年08月'!$A$8:$A$38,"&lt;="&amp;$AI$18+7*(2-1)+6)),""))</f>
        <v>1.069767442</v>
      </c>
      <c r="AG21" s="31">
        <f>IF($AB21="","",IFERROR((SUMIFS($P$8:$P$38,$A$8:$A$38,"&gt;="&amp;$AI$18+7*(2-1),$A$8:$A$38,"&lt;="&amp;$AI$18+7*(2-1)+6)+SUMIFS('2026年08月'!$P$8:$P$38,'2026年08月'!$A$8:$A$38,"&gt;="&amp;$AI$18+7*(2-1),'2026年08月'!$A$8:$A$38,"&lt;="&amp;$AI$18+7*(2-1)+6))/(SUMIFS($O$8:$O$38,$A$8:$A$38,"&gt;="&amp;$AI$18+7*(2-1),$A$8:$A$38,"&lt;="&amp;$AI$18+7*(2-1)+6)+SUMIFS('2026年08月'!$O$8:$O$38,'2026年08月'!$A$8:$A$38,"&gt;="&amp;$AI$18+7*(2-1),'2026年08月'!$A$8:$A$38,"&lt;="&amp;$AI$18+7*(2-1)+6)),""))</f>
        <v>0.4173913043</v>
      </c>
    </row>
    <row r="22" ht="15.75" customHeight="1">
      <c r="A22" s="16">
        <v>46218.0</v>
      </c>
      <c r="B22" s="13" t="str">
        <f t="shared" si="2"/>
        <v>水</v>
      </c>
      <c r="C22" s="18">
        <v>200000.0</v>
      </c>
      <c r="D22" s="15">
        <f t="shared" si="3"/>
        <v>3600000</v>
      </c>
      <c r="E22" s="18">
        <v>0.0</v>
      </c>
      <c r="F22" s="18">
        <v>102856.0</v>
      </c>
      <c r="G22" s="15">
        <f t="shared" si="4"/>
        <v>102856</v>
      </c>
      <c r="H22" s="15">
        <f t="shared" si="5"/>
        <v>2439323</v>
      </c>
      <c r="I22" s="17">
        <f t="shared" ref="I22:J22" si="29">IF(G22="","",IFERROR(G22/C22,""))</f>
        <v>0.51428</v>
      </c>
      <c r="J22" s="17">
        <f t="shared" si="29"/>
        <v>0.6775897222</v>
      </c>
      <c r="K22" s="15">
        <f t="shared" si="7"/>
        <v>-1160677</v>
      </c>
      <c r="L22" s="20" t="str">
        <f t="shared" si="8"/>
        <v>▲ 遅れ</v>
      </c>
      <c r="M22" s="22">
        <v>4.0</v>
      </c>
      <c r="N22" s="22">
        <v>5.0</v>
      </c>
      <c r="O22" s="22">
        <v>18.0</v>
      </c>
      <c r="P22" s="22">
        <v>5.0</v>
      </c>
      <c r="Q22" s="22">
        <v>9.0</v>
      </c>
      <c r="R22" s="17">
        <f t="shared" si="9"/>
        <v>0.2222222222</v>
      </c>
      <c r="S22" s="15">
        <f t="shared" si="10"/>
        <v>25714</v>
      </c>
      <c r="T22" s="24">
        <f t="shared" si="11"/>
        <v>1.25</v>
      </c>
      <c r="U22" s="17">
        <f t="shared" si="12"/>
        <v>0.2777777778</v>
      </c>
      <c r="V22" s="22"/>
      <c r="W22" s="22">
        <v>44154.0</v>
      </c>
      <c r="X22" s="18">
        <v>0.0</v>
      </c>
      <c r="Y22" s="26"/>
      <c r="AA22" s="30">
        <v>3.0</v>
      </c>
      <c r="AB22" s="42" t="str">
        <f>IF($AI$18+7*(3-1)&gt;$A$38,"",TEXT($AI$18+7*(3-1),"m/d")&amp;"-"&amp;TEXT($AI$18+7*(3-1)+6,"m/d"))</f>
        <v>7/21-7/27</v>
      </c>
      <c r="AC22" s="29">
        <f>IF($AB22="","",(SUMIFS($G$8:$G$38,$A$8:$A$38,"&gt;="&amp;$AI$18+7*(3-1),$A$8:$A$38,"&lt;="&amp;$AI$18+7*(3-1)+6)+SUMIFS('2026年08月'!$G$8:$G$38,'2026年08月'!$A$8:$A$38,"&gt;="&amp;$AI$18+7*(3-1),'2026年08月'!$A$8:$A$38,"&lt;="&amp;$AI$18+7*(3-1)+6)))</f>
        <v>743995</v>
      </c>
      <c r="AD22" s="31">
        <f>IF($AB22="","",IFERROR((SUMIFS($M$8:$M$38,$A$8:$A$38,"&gt;="&amp;$AI$18+7*(3-1),$A$8:$A$38,"&lt;="&amp;$AI$18+7*(3-1)+6)+SUMIFS('2026年08月'!$M$8:$M$38,'2026年08月'!$A$8:$A$38,"&gt;="&amp;$AI$18+7*(3-1),'2026年08月'!$A$8:$A$38,"&lt;="&amp;$AI$18+7*(3-1)+6))/(SUMIFS($O$8:$O$38,$A$8:$A$38,"&gt;="&amp;$AI$18+7*(3-1),$A$8:$A$38,"&lt;="&amp;$AI$18+7*(3-1)+6)+SUMIFS('2026年08月'!$O$8:$O$38,'2026年08月'!$A$8:$A$38,"&gt;="&amp;$AI$18+7*(3-1),'2026年08月'!$A$8:$A$38,"&lt;="&amp;$AI$18+7*(3-1)+6)),""))</f>
        <v>0.3018867925</v>
      </c>
      <c r="AE22" s="29">
        <f>IF($AB22="","",IFERROR((SUMIFS($G$8:$G$38,$A$8:$A$38,"&gt;="&amp;$AI$18+7*(3-1),$A$8:$A$38,"&lt;="&amp;$AI$18+7*(3-1)+6)+SUMIFS('2026年08月'!$G$8:$G$38,'2026年08月'!$A$8:$A$38,"&gt;="&amp;$AI$18+7*(3-1),'2026年08月'!$A$8:$A$38,"&lt;="&amp;$AI$18+7*(3-1)+6))/(SUMIFS($M$8:$M$38,$A$8:$A$38,"&gt;="&amp;$AI$18+7*(3-1),$A$8:$A$38,"&lt;="&amp;$AI$18+7*(3-1)+6)+SUMIFS('2026年08月'!$M$8:$M$38,'2026年08月'!$A$8:$A$38,"&gt;="&amp;$AI$18+7*(3-1),'2026年08月'!$A$8:$A$38,"&lt;="&amp;$AI$18+7*(3-1)+6)),""))</f>
        <v>23249.84375</v>
      </c>
      <c r="AF22" s="43">
        <f>IF($AB22="","",IFERROR((SUMIFS($N$8:$N$38,$A$8:$A$38,"&gt;="&amp;$AI$18+7*(3-1),$A$8:$A$38,"&lt;="&amp;$AI$18+7*(3-1)+6)+SUMIFS('2026年08月'!$N$8:$N$38,'2026年08月'!$A$8:$A$38,"&gt;="&amp;$AI$18+7*(3-1),'2026年08月'!$A$8:$A$38,"&lt;="&amp;$AI$18+7*(3-1)+6))/(SUMIFS($M$8:$M$38,$A$8:$A$38,"&gt;="&amp;$AI$18+7*(3-1),$A$8:$A$38,"&lt;="&amp;$AI$18+7*(3-1)+6)+SUMIFS('2026年08月'!$M$8:$M$38,'2026年08月'!$A$8:$A$38,"&gt;="&amp;$AI$18+7*(3-1),'2026年08月'!$A$8:$A$38,"&lt;="&amp;$AI$18+7*(3-1)+6)),""))</f>
        <v>1.25</v>
      </c>
      <c r="AG22" s="31">
        <f>IF($AB22="","",IFERROR((SUMIFS($P$8:$P$38,$A$8:$A$38,"&gt;="&amp;$AI$18+7*(3-1),$A$8:$A$38,"&lt;="&amp;$AI$18+7*(3-1)+6)+SUMIFS('2026年08月'!$P$8:$P$38,'2026年08月'!$A$8:$A$38,"&gt;="&amp;$AI$18+7*(3-1),'2026年08月'!$A$8:$A$38,"&lt;="&amp;$AI$18+7*(3-1)+6))/(SUMIFS($O$8:$O$38,$A$8:$A$38,"&gt;="&amp;$AI$18+7*(3-1),$A$8:$A$38,"&lt;="&amp;$AI$18+7*(3-1)+6)+SUMIFS('2026年08月'!$O$8:$O$38,'2026年08月'!$A$8:$A$38,"&gt;="&amp;$AI$18+7*(3-1),'2026年08月'!$A$8:$A$38,"&lt;="&amp;$AI$18+7*(3-1)+6)),""))</f>
        <v>0.3867924528</v>
      </c>
    </row>
    <row r="23" ht="15.75" customHeight="1">
      <c r="A23" s="32">
        <v>46219.0</v>
      </c>
      <c r="B23" s="21" t="str">
        <f t="shared" si="2"/>
        <v>木</v>
      </c>
      <c r="C23" s="18">
        <v>200000.0</v>
      </c>
      <c r="D23" s="23">
        <f t="shared" si="3"/>
        <v>3800000</v>
      </c>
      <c r="E23" s="18">
        <v>72804.0</v>
      </c>
      <c r="F23" s="18">
        <v>73777.0</v>
      </c>
      <c r="G23" s="23">
        <f t="shared" si="4"/>
        <v>146581</v>
      </c>
      <c r="H23" s="23">
        <f t="shared" si="5"/>
        <v>2585904</v>
      </c>
      <c r="I23" s="25">
        <f t="shared" ref="I23:J23" si="30">IF(G23="","",IFERROR(G23/C23,""))</f>
        <v>0.732905</v>
      </c>
      <c r="J23" s="25">
        <f t="shared" si="30"/>
        <v>0.6805010526</v>
      </c>
      <c r="K23" s="23">
        <f t="shared" si="7"/>
        <v>-1214096</v>
      </c>
      <c r="L23" s="33" t="str">
        <f t="shared" si="8"/>
        <v>▲ 遅れ</v>
      </c>
      <c r="M23" s="22">
        <v>7.0</v>
      </c>
      <c r="N23" s="22">
        <v>7.0</v>
      </c>
      <c r="O23" s="22">
        <v>13.0</v>
      </c>
      <c r="P23" s="22">
        <v>11.0</v>
      </c>
      <c r="Q23" s="22">
        <v>13.0</v>
      </c>
      <c r="R23" s="25">
        <f t="shared" si="9"/>
        <v>0.5384615385</v>
      </c>
      <c r="S23" s="23">
        <f t="shared" si="10"/>
        <v>20940.14286</v>
      </c>
      <c r="T23" s="34">
        <f t="shared" si="11"/>
        <v>1</v>
      </c>
      <c r="U23" s="25">
        <f t="shared" si="12"/>
        <v>0.8461538462</v>
      </c>
      <c r="V23" s="22"/>
      <c r="W23" s="22">
        <v>44155.0</v>
      </c>
      <c r="X23" s="18">
        <v>0.0</v>
      </c>
      <c r="Y23" s="26"/>
      <c r="AA23" s="30">
        <v>4.0</v>
      </c>
      <c r="AB23" s="42" t="str">
        <f>IF($AI$18+7*(4-1)&gt;$A$38,"",TEXT($AI$18+7*(4-1),"m/d")&amp;"-"&amp;TEXT($AI$18+7*(4-1)+6,"m/d"))</f>
        <v>7/28-8/3</v>
      </c>
      <c r="AC23" s="29">
        <f>IF($AB23="","",(SUMIFS($G$8:$G$38,$A$8:$A$38,"&gt;="&amp;$AI$18+7*(4-1),$A$8:$A$38,"&lt;="&amp;$AI$18+7*(4-1)+6)+SUMIFS('2026年08月'!$G$8:$G$38,'2026年08月'!$A$8:$A$38,"&gt;="&amp;$AI$18+7*(4-1),'2026年08月'!$A$8:$A$38,"&lt;="&amp;$AI$18+7*(4-1)+6)))</f>
        <v>524712</v>
      </c>
      <c r="AD23" s="31">
        <f>IF($AB23="","",IFERROR((SUMIFS($M$8:$M$38,$A$8:$A$38,"&gt;="&amp;$AI$18+7*(4-1),$A$8:$A$38,"&lt;="&amp;$AI$18+7*(4-1)+6)+SUMIFS('2026年08月'!$M$8:$M$38,'2026年08月'!$A$8:$A$38,"&gt;="&amp;$AI$18+7*(4-1),'2026年08月'!$A$8:$A$38,"&lt;="&amp;$AI$18+7*(4-1)+6))/(SUMIFS($O$8:$O$38,$A$8:$A$38,"&gt;="&amp;$AI$18+7*(4-1),$A$8:$A$38,"&lt;="&amp;$AI$18+7*(4-1)+6)+SUMIFS('2026年08月'!$O$8:$O$38,'2026年08月'!$A$8:$A$38,"&gt;="&amp;$AI$18+7*(4-1),'2026年08月'!$A$8:$A$38,"&lt;="&amp;$AI$18+7*(4-1)+6)),""))</f>
        <v>0.2427184466</v>
      </c>
      <c r="AE23" s="29">
        <f>IF($AB23="","",IFERROR((SUMIFS($G$8:$G$38,$A$8:$A$38,"&gt;="&amp;$AI$18+7*(4-1),$A$8:$A$38,"&lt;="&amp;$AI$18+7*(4-1)+6)+SUMIFS('2026年08月'!$G$8:$G$38,'2026年08月'!$A$8:$A$38,"&gt;="&amp;$AI$18+7*(4-1),'2026年08月'!$A$8:$A$38,"&lt;="&amp;$AI$18+7*(4-1)+6))/(SUMIFS($M$8:$M$38,$A$8:$A$38,"&gt;="&amp;$AI$18+7*(4-1),$A$8:$A$38,"&lt;="&amp;$AI$18+7*(4-1)+6)+SUMIFS('2026年08月'!$M$8:$M$38,'2026年08月'!$A$8:$A$38,"&gt;="&amp;$AI$18+7*(4-1),'2026年08月'!$A$8:$A$38,"&lt;="&amp;$AI$18+7*(4-1)+6)),""))</f>
        <v>20988.48</v>
      </c>
      <c r="AF23" s="43">
        <f>IF($AB23="","",IFERROR((SUMIFS($N$8:$N$38,$A$8:$A$38,"&gt;="&amp;$AI$18+7*(4-1),$A$8:$A$38,"&lt;="&amp;$AI$18+7*(4-1)+6)+SUMIFS('2026年08月'!$N$8:$N$38,'2026年08月'!$A$8:$A$38,"&gt;="&amp;$AI$18+7*(4-1),'2026年08月'!$A$8:$A$38,"&lt;="&amp;$AI$18+7*(4-1)+6))/(SUMIFS($M$8:$M$38,$A$8:$A$38,"&gt;="&amp;$AI$18+7*(4-1),$A$8:$A$38,"&lt;="&amp;$AI$18+7*(4-1)+6)+SUMIFS('2026年08月'!$M$8:$M$38,'2026年08月'!$A$8:$A$38,"&gt;="&amp;$AI$18+7*(4-1),'2026年08月'!$A$8:$A$38,"&lt;="&amp;$AI$18+7*(4-1)+6)),""))</f>
        <v>1</v>
      </c>
      <c r="AG23" s="31">
        <f>IF($AB23="","",IFERROR((SUMIFS($P$8:$P$38,$A$8:$A$38,"&gt;="&amp;$AI$18+7*(4-1),$A$8:$A$38,"&lt;="&amp;$AI$18+7*(4-1)+6)+SUMIFS('2026年08月'!$P$8:$P$38,'2026年08月'!$A$8:$A$38,"&gt;="&amp;$AI$18+7*(4-1),'2026年08月'!$A$8:$A$38,"&lt;="&amp;$AI$18+7*(4-1)+6))/(SUMIFS($O$8:$O$38,$A$8:$A$38,"&gt;="&amp;$AI$18+7*(4-1),$A$8:$A$38,"&lt;="&amp;$AI$18+7*(4-1)+6)+SUMIFS('2026年08月'!$O$8:$O$38,'2026年08月'!$A$8:$A$38,"&gt;="&amp;$AI$18+7*(4-1),'2026年08月'!$A$8:$A$38,"&lt;="&amp;$AI$18+7*(4-1)+6)),""))</f>
        <v>0.3883495146</v>
      </c>
    </row>
    <row r="24" ht="15.75" customHeight="1">
      <c r="A24" s="16">
        <v>46220.0</v>
      </c>
      <c r="B24" s="13" t="str">
        <f t="shared" si="2"/>
        <v>金</v>
      </c>
      <c r="C24" s="18">
        <v>200000.0</v>
      </c>
      <c r="D24" s="15">
        <f t="shared" si="3"/>
        <v>4000000</v>
      </c>
      <c r="E24" s="18">
        <v>65330.0</v>
      </c>
      <c r="F24" s="18">
        <v>0.0</v>
      </c>
      <c r="G24" s="15">
        <f t="shared" si="4"/>
        <v>65330</v>
      </c>
      <c r="H24" s="15">
        <f t="shared" si="5"/>
        <v>2651234</v>
      </c>
      <c r="I24" s="17">
        <f t="shared" ref="I24:J24" si="31">IF(G24="","",IFERROR(G24/C24,""))</f>
        <v>0.32665</v>
      </c>
      <c r="J24" s="17">
        <f t="shared" si="31"/>
        <v>0.6628085</v>
      </c>
      <c r="K24" s="15">
        <f t="shared" si="7"/>
        <v>-1348766</v>
      </c>
      <c r="L24" s="20" t="str">
        <f t="shared" si="8"/>
        <v>▲ 遅れ</v>
      </c>
      <c r="M24" s="22">
        <v>3.0</v>
      </c>
      <c r="N24" s="22">
        <v>3.0</v>
      </c>
      <c r="O24" s="22">
        <v>18.0</v>
      </c>
      <c r="P24" s="22">
        <v>3.0</v>
      </c>
      <c r="Q24" s="22">
        <v>8.0</v>
      </c>
      <c r="R24" s="17">
        <f t="shared" si="9"/>
        <v>0.1666666667</v>
      </c>
      <c r="S24" s="15">
        <f t="shared" si="10"/>
        <v>21776.66667</v>
      </c>
      <c r="T24" s="24">
        <f t="shared" si="11"/>
        <v>1</v>
      </c>
      <c r="U24" s="17">
        <f t="shared" si="12"/>
        <v>0.1666666667</v>
      </c>
      <c r="V24" s="22"/>
      <c r="W24" s="22">
        <v>44162.0</v>
      </c>
      <c r="X24" s="18">
        <v>0.0</v>
      </c>
      <c r="Y24" s="26"/>
      <c r="AA24" s="30">
        <v>5.0</v>
      </c>
      <c r="AB24" s="42" t="str">
        <f>IF($AI$18+7*(5-1)&gt;$A$38,"",TEXT($AI$18+7*(5-1),"m/d")&amp;"-"&amp;TEXT($AI$18+7*(5-1)+6,"m/d"))</f>
        <v/>
      </c>
      <c r="AC24" s="29" t="str">
        <f>IF($AB24="","",(SUMIFS($G$8:$G$38,$A$8:$A$38,"&gt;="&amp;$AI$18+7*(5-1),$A$8:$A$38,"&lt;="&amp;$AI$18+7*(5-1)+6)+SUMIFS('2026年08月'!$G$8:$G$38,'2026年08月'!$A$8:$A$38,"&gt;="&amp;$AI$18+7*(5-1),'2026年08月'!$A$8:$A$38,"&lt;="&amp;$AI$18+7*(5-1)+6)))</f>
        <v/>
      </c>
      <c r="AD24" s="31" t="str">
        <f>IF($AB24="","",IFERROR((SUMIFS($M$8:$M$38,$A$8:$A$38,"&gt;="&amp;$AI$18+7*(5-1),$A$8:$A$38,"&lt;="&amp;$AI$18+7*(5-1)+6)+SUMIFS('2026年08月'!$M$8:$M$38,'2026年08月'!$A$8:$A$38,"&gt;="&amp;$AI$18+7*(5-1),'2026年08月'!$A$8:$A$38,"&lt;="&amp;$AI$18+7*(5-1)+6))/(SUMIFS($O$8:$O$38,$A$8:$A$38,"&gt;="&amp;$AI$18+7*(5-1),$A$8:$A$38,"&lt;="&amp;$AI$18+7*(5-1)+6)+SUMIFS('2026年08月'!$O$8:$O$38,'2026年08月'!$A$8:$A$38,"&gt;="&amp;$AI$18+7*(5-1),'2026年08月'!$A$8:$A$38,"&lt;="&amp;$AI$18+7*(5-1)+6)),""))</f>
        <v/>
      </c>
      <c r="AE24" s="29" t="str">
        <f>IF($AB24="","",IFERROR((SUMIFS($G$8:$G$38,$A$8:$A$38,"&gt;="&amp;$AI$18+7*(5-1),$A$8:$A$38,"&lt;="&amp;$AI$18+7*(5-1)+6)+SUMIFS('2026年08月'!$G$8:$G$38,'2026年08月'!$A$8:$A$38,"&gt;="&amp;$AI$18+7*(5-1),'2026年08月'!$A$8:$A$38,"&lt;="&amp;$AI$18+7*(5-1)+6))/(SUMIFS($M$8:$M$38,$A$8:$A$38,"&gt;="&amp;$AI$18+7*(5-1),$A$8:$A$38,"&lt;="&amp;$AI$18+7*(5-1)+6)+SUMIFS('2026年08月'!$M$8:$M$38,'2026年08月'!$A$8:$A$38,"&gt;="&amp;$AI$18+7*(5-1),'2026年08月'!$A$8:$A$38,"&lt;="&amp;$AI$18+7*(5-1)+6)),""))</f>
        <v/>
      </c>
      <c r="AF24" s="43" t="str">
        <f>IF($AB24="","",IFERROR((SUMIFS($N$8:$N$38,$A$8:$A$38,"&gt;="&amp;$AI$18+7*(5-1),$A$8:$A$38,"&lt;="&amp;$AI$18+7*(5-1)+6)+SUMIFS('2026年08月'!$N$8:$N$38,'2026年08月'!$A$8:$A$38,"&gt;="&amp;$AI$18+7*(5-1),'2026年08月'!$A$8:$A$38,"&lt;="&amp;$AI$18+7*(5-1)+6))/(SUMIFS($M$8:$M$38,$A$8:$A$38,"&gt;="&amp;$AI$18+7*(5-1),$A$8:$A$38,"&lt;="&amp;$AI$18+7*(5-1)+6)+SUMIFS('2026年08月'!$M$8:$M$38,'2026年08月'!$A$8:$A$38,"&gt;="&amp;$AI$18+7*(5-1),'2026年08月'!$A$8:$A$38,"&lt;="&amp;$AI$18+7*(5-1)+6)),""))</f>
        <v/>
      </c>
      <c r="AG24" s="31" t="str">
        <f>IF($AB24="","",IFERROR((SUMIFS($P$8:$P$38,$A$8:$A$38,"&gt;="&amp;$AI$18+7*(5-1),$A$8:$A$38,"&lt;="&amp;$AI$18+7*(5-1)+6)+SUMIFS('2026年08月'!$P$8:$P$38,'2026年08月'!$A$8:$A$38,"&gt;="&amp;$AI$18+7*(5-1),'2026年08月'!$A$8:$A$38,"&lt;="&amp;$AI$18+7*(5-1)+6))/(SUMIFS($O$8:$O$38,$A$8:$A$38,"&gt;="&amp;$AI$18+7*(5-1),$A$8:$A$38,"&lt;="&amp;$AI$18+7*(5-1)+6)+SUMIFS('2026年08月'!$O$8:$O$38,'2026年08月'!$A$8:$A$38,"&gt;="&amp;$AI$18+7*(5-1),'2026年08月'!$A$8:$A$38,"&lt;="&amp;$AI$18+7*(5-1)+6)),""))</f>
        <v/>
      </c>
    </row>
    <row r="25" ht="15.75" customHeight="1">
      <c r="A25" s="32">
        <v>46221.0</v>
      </c>
      <c r="B25" s="21" t="str">
        <f t="shared" si="2"/>
        <v>土</v>
      </c>
      <c r="C25" s="18">
        <v>500000.0</v>
      </c>
      <c r="D25" s="23">
        <f t="shared" si="3"/>
        <v>4500000</v>
      </c>
      <c r="E25" s="18">
        <v>20400.0</v>
      </c>
      <c r="F25" s="18">
        <v>125740.0</v>
      </c>
      <c r="G25" s="23">
        <f t="shared" si="4"/>
        <v>146140</v>
      </c>
      <c r="H25" s="23">
        <f t="shared" si="5"/>
        <v>2797374</v>
      </c>
      <c r="I25" s="25">
        <f t="shared" ref="I25:J25" si="32">IF(G25="","",IFERROR(G25/C25,""))</f>
        <v>0.29228</v>
      </c>
      <c r="J25" s="25">
        <f t="shared" si="32"/>
        <v>0.6216386667</v>
      </c>
      <c r="K25" s="23">
        <f t="shared" si="7"/>
        <v>-1702626</v>
      </c>
      <c r="L25" s="33" t="str">
        <f t="shared" si="8"/>
        <v>▲ 遅れ</v>
      </c>
      <c r="M25" s="22">
        <v>7.0</v>
      </c>
      <c r="N25" s="22">
        <v>7.0</v>
      </c>
      <c r="O25" s="22"/>
      <c r="P25" s="22"/>
      <c r="Q25" s="22"/>
      <c r="R25" s="25" t="str">
        <f t="shared" si="9"/>
        <v/>
      </c>
      <c r="S25" s="23">
        <f t="shared" si="10"/>
        <v>20877.14286</v>
      </c>
      <c r="T25" s="34">
        <f t="shared" si="11"/>
        <v>1</v>
      </c>
      <c r="U25" s="25" t="str">
        <f t="shared" si="12"/>
        <v/>
      </c>
      <c r="V25" s="22"/>
      <c r="W25" s="22">
        <v>44150.0</v>
      </c>
      <c r="X25" s="18">
        <v>0.0</v>
      </c>
      <c r="Y25" s="26"/>
      <c r="AA25" s="30">
        <v>6.0</v>
      </c>
      <c r="AB25" s="42" t="str">
        <f>IF($AI$18+7*(6-1)&gt;$A$38,"",TEXT($AI$18+7*(6-1),"m/d")&amp;"-"&amp;TEXT($AI$18+7*(6-1)+6,"m/d"))</f>
        <v/>
      </c>
      <c r="AC25" s="29" t="str">
        <f>IF($AB25="","",(SUMIFS($G$8:$G$38,$A$8:$A$38,"&gt;="&amp;$AI$18+7*(6-1),$A$8:$A$38,"&lt;="&amp;$AI$18+7*(6-1)+6)+SUMIFS('2026年08月'!$G$8:$G$38,'2026年08月'!$A$8:$A$38,"&gt;="&amp;$AI$18+7*(6-1),'2026年08月'!$A$8:$A$38,"&lt;="&amp;$AI$18+7*(6-1)+6)))</f>
        <v/>
      </c>
      <c r="AD25" s="31" t="str">
        <f>IF($AB25="","",IFERROR((SUMIFS($M$8:$M$38,$A$8:$A$38,"&gt;="&amp;$AI$18+7*(6-1),$A$8:$A$38,"&lt;="&amp;$AI$18+7*(6-1)+6)+SUMIFS('2026年08月'!$M$8:$M$38,'2026年08月'!$A$8:$A$38,"&gt;="&amp;$AI$18+7*(6-1),'2026年08月'!$A$8:$A$38,"&lt;="&amp;$AI$18+7*(6-1)+6))/(SUMIFS($O$8:$O$38,$A$8:$A$38,"&gt;="&amp;$AI$18+7*(6-1),$A$8:$A$38,"&lt;="&amp;$AI$18+7*(6-1)+6)+SUMIFS('2026年08月'!$O$8:$O$38,'2026年08月'!$A$8:$A$38,"&gt;="&amp;$AI$18+7*(6-1),'2026年08月'!$A$8:$A$38,"&lt;="&amp;$AI$18+7*(6-1)+6)),""))</f>
        <v/>
      </c>
      <c r="AE25" s="29" t="str">
        <f>IF($AB25="","",IFERROR((SUMIFS($G$8:$G$38,$A$8:$A$38,"&gt;="&amp;$AI$18+7*(6-1),$A$8:$A$38,"&lt;="&amp;$AI$18+7*(6-1)+6)+SUMIFS('2026年08月'!$G$8:$G$38,'2026年08月'!$A$8:$A$38,"&gt;="&amp;$AI$18+7*(6-1),'2026年08月'!$A$8:$A$38,"&lt;="&amp;$AI$18+7*(6-1)+6))/(SUMIFS($M$8:$M$38,$A$8:$A$38,"&gt;="&amp;$AI$18+7*(6-1),$A$8:$A$38,"&lt;="&amp;$AI$18+7*(6-1)+6)+SUMIFS('2026年08月'!$M$8:$M$38,'2026年08月'!$A$8:$A$38,"&gt;="&amp;$AI$18+7*(6-1),'2026年08月'!$A$8:$A$38,"&lt;="&amp;$AI$18+7*(6-1)+6)),""))</f>
        <v/>
      </c>
      <c r="AF25" s="43" t="str">
        <f>IF($AB25="","",IFERROR((SUMIFS($N$8:$N$38,$A$8:$A$38,"&gt;="&amp;$AI$18+7*(6-1),$A$8:$A$38,"&lt;="&amp;$AI$18+7*(6-1)+6)+SUMIFS('2026年08月'!$N$8:$N$38,'2026年08月'!$A$8:$A$38,"&gt;="&amp;$AI$18+7*(6-1),'2026年08月'!$A$8:$A$38,"&lt;="&amp;$AI$18+7*(6-1)+6))/(SUMIFS($M$8:$M$38,$A$8:$A$38,"&gt;="&amp;$AI$18+7*(6-1),$A$8:$A$38,"&lt;="&amp;$AI$18+7*(6-1)+6)+SUMIFS('2026年08月'!$M$8:$M$38,'2026年08月'!$A$8:$A$38,"&gt;="&amp;$AI$18+7*(6-1),'2026年08月'!$A$8:$A$38,"&lt;="&amp;$AI$18+7*(6-1)+6)),""))</f>
        <v/>
      </c>
      <c r="AG25" s="31" t="str">
        <f>IF($AB25="","",IFERROR((SUMIFS($P$8:$P$38,$A$8:$A$38,"&gt;="&amp;$AI$18+7*(6-1),$A$8:$A$38,"&lt;="&amp;$AI$18+7*(6-1)+6)+SUMIFS('2026年08月'!$P$8:$P$38,'2026年08月'!$A$8:$A$38,"&gt;="&amp;$AI$18+7*(6-1),'2026年08月'!$A$8:$A$38,"&lt;="&amp;$AI$18+7*(6-1)+6))/(SUMIFS($O$8:$O$38,$A$8:$A$38,"&gt;="&amp;$AI$18+7*(6-1),$A$8:$A$38,"&lt;="&amp;$AI$18+7*(6-1)+6)+SUMIFS('2026年08月'!$O$8:$O$38,'2026年08月'!$A$8:$A$38,"&gt;="&amp;$AI$18+7*(6-1),'2026年08月'!$A$8:$A$38,"&lt;="&amp;$AI$18+7*(6-1)+6)),""))</f>
        <v/>
      </c>
    </row>
    <row r="26" ht="15.75" customHeight="1">
      <c r="A26" s="16">
        <v>46222.0</v>
      </c>
      <c r="B26" s="13" t="str">
        <f t="shared" si="2"/>
        <v>日</v>
      </c>
      <c r="C26" s="18">
        <v>500000.0</v>
      </c>
      <c r="D26" s="15">
        <f t="shared" si="3"/>
        <v>5000000</v>
      </c>
      <c r="E26" s="18">
        <v>17489.0</v>
      </c>
      <c r="F26" s="18">
        <v>50320.0</v>
      </c>
      <c r="G26" s="15">
        <f t="shared" si="4"/>
        <v>67809</v>
      </c>
      <c r="H26" s="15">
        <f t="shared" si="5"/>
        <v>2865183</v>
      </c>
      <c r="I26" s="17">
        <f t="shared" ref="I26:J26" si="33">IF(G26="","",IFERROR(G26/C26,""))</f>
        <v>0.135618</v>
      </c>
      <c r="J26" s="17">
        <f t="shared" si="33"/>
        <v>0.5730366</v>
      </c>
      <c r="K26" s="15">
        <f t="shared" si="7"/>
        <v>-2134817</v>
      </c>
      <c r="L26" s="20" t="str">
        <f t="shared" si="8"/>
        <v>▲ 遅れ</v>
      </c>
      <c r="M26" s="22">
        <v>3.0</v>
      </c>
      <c r="N26" s="22">
        <v>3.0</v>
      </c>
      <c r="O26" s="22">
        <v>19.0</v>
      </c>
      <c r="P26" s="22">
        <v>4.0</v>
      </c>
      <c r="Q26" s="22">
        <v>10.0</v>
      </c>
      <c r="R26" s="17">
        <f t="shared" si="9"/>
        <v>0.1578947368</v>
      </c>
      <c r="S26" s="15">
        <f t="shared" si="10"/>
        <v>22603</v>
      </c>
      <c r="T26" s="24">
        <f t="shared" si="11"/>
        <v>1</v>
      </c>
      <c r="U26" s="17">
        <f t="shared" si="12"/>
        <v>0.2105263158</v>
      </c>
      <c r="V26" s="22"/>
      <c r="W26" s="22">
        <v>44151.0</v>
      </c>
      <c r="X26" s="18">
        <v>0.0</v>
      </c>
      <c r="Y26" s="26"/>
      <c r="AA26" s="35" t="s">
        <v>108</v>
      </c>
    </row>
    <row r="27" ht="15.75" customHeight="1">
      <c r="A27" s="32">
        <v>46223.0</v>
      </c>
      <c r="B27" s="21" t="str">
        <f t="shared" si="2"/>
        <v>月</v>
      </c>
      <c r="C27" s="18">
        <v>500000.0</v>
      </c>
      <c r="D27" s="23">
        <f t="shared" si="3"/>
        <v>5500000</v>
      </c>
      <c r="E27" s="18">
        <v>43720.0</v>
      </c>
      <c r="F27" s="18">
        <v>325550.0</v>
      </c>
      <c r="G27" s="23">
        <f t="shared" si="4"/>
        <v>369270</v>
      </c>
      <c r="H27" s="23">
        <f t="shared" si="5"/>
        <v>3234453</v>
      </c>
      <c r="I27" s="25">
        <f t="shared" ref="I27:J27" si="34">IF(G27="","",IFERROR(G27/C27,""))</f>
        <v>0.73854</v>
      </c>
      <c r="J27" s="25">
        <f t="shared" si="34"/>
        <v>0.5880823636</v>
      </c>
      <c r="K27" s="23">
        <f t="shared" si="7"/>
        <v>-2265547</v>
      </c>
      <c r="L27" s="33" t="str">
        <f t="shared" si="8"/>
        <v>▲ 遅れ</v>
      </c>
      <c r="M27" s="22">
        <v>13.0</v>
      </c>
      <c r="N27" s="22">
        <v>15.0</v>
      </c>
      <c r="O27" s="22">
        <v>29.0</v>
      </c>
      <c r="P27" s="22">
        <v>17.0</v>
      </c>
      <c r="Q27" s="22">
        <v>25.0</v>
      </c>
      <c r="R27" s="25">
        <f t="shared" si="9"/>
        <v>0.4482758621</v>
      </c>
      <c r="S27" s="23">
        <f t="shared" si="10"/>
        <v>28405.38462</v>
      </c>
      <c r="T27" s="34">
        <f t="shared" si="11"/>
        <v>1.153846154</v>
      </c>
      <c r="U27" s="25">
        <f t="shared" si="12"/>
        <v>0.5862068966</v>
      </c>
      <c r="V27" s="22"/>
      <c r="W27" s="22">
        <v>44152.0</v>
      </c>
      <c r="X27" s="18">
        <v>0.0</v>
      </c>
      <c r="Y27" s="26"/>
      <c r="AA27" s="35" t="s">
        <v>109</v>
      </c>
    </row>
    <row r="28" ht="15.75" customHeight="1">
      <c r="A28" s="16">
        <v>46224.0</v>
      </c>
      <c r="B28" s="13" t="str">
        <f t="shared" si="2"/>
        <v>火</v>
      </c>
      <c r="C28" s="18">
        <v>300000.0</v>
      </c>
      <c r="D28" s="15">
        <f t="shared" si="3"/>
        <v>5800000</v>
      </c>
      <c r="E28" s="18">
        <v>0.0</v>
      </c>
      <c r="F28" s="18">
        <v>90900.0</v>
      </c>
      <c r="G28" s="15">
        <f t="shared" si="4"/>
        <v>90900</v>
      </c>
      <c r="H28" s="15">
        <f t="shared" si="5"/>
        <v>3325353</v>
      </c>
      <c r="I28" s="17">
        <f t="shared" ref="I28:J28" si="35">IF(G28="","",IFERROR(G28/C28,""))</f>
        <v>0.303</v>
      </c>
      <c r="J28" s="17">
        <f t="shared" si="35"/>
        <v>0.5733367241</v>
      </c>
      <c r="K28" s="15">
        <f t="shared" si="7"/>
        <v>-2474647</v>
      </c>
      <c r="L28" s="20" t="str">
        <f t="shared" si="8"/>
        <v>▲ 遅れ</v>
      </c>
      <c r="M28" s="22">
        <v>5.0</v>
      </c>
      <c r="N28" s="22">
        <v>5.0</v>
      </c>
      <c r="O28" s="22">
        <v>15.0</v>
      </c>
      <c r="P28" s="22">
        <v>6.0</v>
      </c>
      <c r="Q28" s="22">
        <v>9.0</v>
      </c>
      <c r="R28" s="17">
        <f t="shared" si="9"/>
        <v>0.3333333333</v>
      </c>
      <c r="S28" s="15">
        <f t="shared" si="10"/>
        <v>18180</v>
      </c>
      <c r="T28" s="24">
        <f t="shared" si="11"/>
        <v>1</v>
      </c>
      <c r="U28" s="17">
        <f t="shared" si="12"/>
        <v>0.4</v>
      </c>
      <c r="V28" s="22"/>
      <c r="W28" s="22"/>
      <c r="X28" s="18">
        <v>0.0</v>
      </c>
      <c r="Y28" s="26"/>
      <c r="AA28" s="35" t="s">
        <v>110</v>
      </c>
    </row>
    <row r="29" ht="15.75" customHeight="1">
      <c r="A29" s="32">
        <v>46225.0</v>
      </c>
      <c r="B29" s="21" t="str">
        <f t="shared" si="2"/>
        <v>水</v>
      </c>
      <c r="C29" s="18">
        <v>300000.0</v>
      </c>
      <c r="D29" s="23">
        <f t="shared" si="3"/>
        <v>6100000</v>
      </c>
      <c r="E29" s="18">
        <v>0.0</v>
      </c>
      <c r="F29" s="18">
        <v>24630.0</v>
      </c>
      <c r="G29" s="23">
        <f t="shared" si="4"/>
        <v>24630</v>
      </c>
      <c r="H29" s="23">
        <f t="shared" si="5"/>
        <v>3349983</v>
      </c>
      <c r="I29" s="25">
        <f t="shared" ref="I29:J29" si="36">IF(G29="","",IFERROR(G29/C29,""))</f>
        <v>0.0821</v>
      </c>
      <c r="J29" s="25">
        <f t="shared" si="36"/>
        <v>0.549177541</v>
      </c>
      <c r="K29" s="23">
        <f t="shared" si="7"/>
        <v>-2750017</v>
      </c>
      <c r="L29" s="33" t="str">
        <f t="shared" si="8"/>
        <v>▲ 遅れ</v>
      </c>
      <c r="M29" s="22">
        <v>1.0</v>
      </c>
      <c r="N29" s="22">
        <v>1.0</v>
      </c>
      <c r="O29" s="22">
        <v>7.0</v>
      </c>
      <c r="P29" s="22">
        <v>2.0</v>
      </c>
      <c r="Q29" s="22">
        <v>5.0</v>
      </c>
      <c r="R29" s="25">
        <f t="shared" si="9"/>
        <v>0.1428571429</v>
      </c>
      <c r="S29" s="23">
        <f t="shared" si="10"/>
        <v>24630</v>
      </c>
      <c r="T29" s="34">
        <f t="shared" si="11"/>
        <v>1</v>
      </c>
      <c r="U29" s="25">
        <f t="shared" si="12"/>
        <v>0.2857142857</v>
      </c>
      <c r="V29" s="22"/>
      <c r="W29" s="22">
        <v>44145.0</v>
      </c>
      <c r="X29" s="18">
        <v>0.0</v>
      </c>
      <c r="Y29" s="26"/>
    </row>
    <row r="30" ht="15.75" customHeight="1">
      <c r="A30" s="16">
        <v>46226.0</v>
      </c>
      <c r="B30" s="13" t="str">
        <f t="shared" si="2"/>
        <v>木</v>
      </c>
      <c r="C30" s="18">
        <v>300000.0</v>
      </c>
      <c r="D30" s="15">
        <f t="shared" si="3"/>
        <v>6400000</v>
      </c>
      <c r="E30" s="18">
        <v>30810.0</v>
      </c>
      <c r="F30" s="18">
        <v>128003.0</v>
      </c>
      <c r="G30" s="15">
        <f t="shared" si="4"/>
        <v>158813</v>
      </c>
      <c r="H30" s="15">
        <f t="shared" si="5"/>
        <v>3508796</v>
      </c>
      <c r="I30" s="17">
        <f t="shared" ref="I30:J30" si="37">IF(G30="","",IFERROR(G30/C30,""))</f>
        <v>0.5293766667</v>
      </c>
      <c r="J30" s="17">
        <f t="shared" si="37"/>
        <v>0.548249375</v>
      </c>
      <c r="K30" s="15">
        <f t="shared" si="7"/>
        <v>-2891204</v>
      </c>
      <c r="L30" s="20" t="str">
        <f t="shared" si="8"/>
        <v>▲ 遅れ</v>
      </c>
      <c r="M30" s="22">
        <v>5.0</v>
      </c>
      <c r="N30" s="22">
        <v>12.0</v>
      </c>
      <c r="O30" s="22">
        <v>9.0</v>
      </c>
      <c r="P30" s="22">
        <v>4.0</v>
      </c>
      <c r="Q30" s="22">
        <v>14.0</v>
      </c>
      <c r="R30" s="17">
        <f t="shared" si="9"/>
        <v>0.5555555556</v>
      </c>
      <c r="S30" s="15">
        <f t="shared" si="10"/>
        <v>31762.6</v>
      </c>
      <c r="T30" s="24">
        <f t="shared" si="11"/>
        <v>2.4</v>
      </c>
      <c r="U30" s="17">
        <f t="shared" si="12"/>
        <v>0.4444444444</v>
      </c>
      <c r="V30" s="22"/>
      <c r="W30" s="22">
        <v>44133.0</v>
      </c>
      <c r="X30" s="18">
        <v>0.0</v>
      </c>
      <c r="Y30" s="26"/>
    </row>
    <row r="31" ht="15.75" customHeight="1">
      <c r="A31" s="32">
        <v>46227.0</v>
      </c>
      <c r="B31" s="21" t="str">
        <f t="shared" si="2"/>
        <v>金</v>
      </c>
      <c r="C31" s="18">
        <v>300000.0</v>
      </c>
      <c r="D31" s="23">
        <f t="shared" si="3"/>
        <v>6700000</v>
      </c>
      <c r="E31" s="18">
        <v>0.0</v>
      </c>
      <c r="F31" s="18">
        <v>23810.0</v>
      </c>
      <c r="G31" s="23">
        <f t="shared" si="4"/>
        <v>23810</v>
      </c>
      <c r="H31" s="23">
        <f t="shared" si="5"/>
        <v>3532606</v>
      </c>
      <c r="I31" s="25">
        <f t="shared" ref="I31:J31" si="38">IF(G31="","",IFERROR(G31/C31,""))</f>
        <v>0.07936666667</v>
      </c>
      <c r="J31" s="25">
        <f t="shared" si="38"/>
        <v>0.5272546269</v>
      </c>
      <c r="K31" s="23">
        <f t="shared" si="7"/>
        <v>-3167394</v>
      </c>
      <c r="L31" s="33" t="str">
        <f t="shared" si="8"/>
        <v>▲ 遅れ</v>
      </c>
      <c r="M31" s="22">
        <v>1.0</v>
      </c>
      <c r="N31" s="22">
        <v>1.0</v>
      </c>
      <c r="O31" s="22">
        <v>11.0</v>
      </c>
      <c r="P31" s="22">
        <v>3.0</v>
      </c>
      <c r="Q31" s="22">
        <v>4.0</v>
      </c>
      <c r="R31" s="25">
        <f t="shared" si="9"/>
        <v>0.09090909091</v>
      </c>
      <c r="S31" s="23">
        <f t="shared" si="10"/>
        <v>23810</v>
      </c>
      <c r="T31" s="34">
        <f t="shared" si="11"/>
        <v>1</v>
      </c>
      <c r="U31" s="25">
        <f t="shared" si="12"/>
        <v>0.2727272727</v>
      </c>
      <c r="V31" s="22"/>
      <c r="W31" s="22"/>
      <c r="X31" s="18">
        <v>0.0</v>
      </c>
      <c r="Y31" s="26"/>
    </row>
    <row r="32" ht="15.75" customHeight="1">
      <c r="A32" s="16">
        <v>46228.0</v>
      </c>
      <c r="B32" s="13" t="str">
        <f t="shared" si="2"/>
        <v>土</v>
      </c>
      <c r="C32" s="18">
        <v>400000.0</v>
      </c>
      <c r="D32" s="15">
        <f t="shared" si="3"/>
        <v>7100000</v>
      </c>
      <c r="E32" s="18">
        <v>16110.0</v>
      </c>
      <c r="F32" s="18">
        <v>267614.0</v>
      </c>
      <c r="G32" s="15">
        <f t="shared" si="4"/>
        <v>283724</v>
      </c>
      <c r="H32" s="15">
        <f t="shared" si="5"/>
        <v>3816330</v>
      </c>
      <c r="I32" s="17">
        <f t="shared" ref="I32:J32" si="39">IF(G32="","",IFERROR(G32/C32,""))</f>
        <v>0.70931</v>
      </c>
      <c r="J32" s="17">
        <f t="shared" si="39"/>
        <v>0.5375112676</v>
      </c>
      <c r="K32" s="15">
        <f t="shared" si="7"/>
        <v>-3283670</v>
      </c>
      <c r="L32" s="20" t="str">
        <f t="shared" si="8"/>
        <v>▲ 遅れ</v>
      </c>
      <c r="M32" s="22">
        <v>13.0</v>
      </c>
      <c r="N32" s="22">
        <v>13.0</v>
      </c>
      <c r="O32" s="22">
        <v>19.0</v>
      </c>
      <c r="P32" s="22">
        <v>16.0</v>
      </c>
      <c r="Q32" s="22">
        <v>22.0</v>
      </c>
      <c r="R32" s="17">
        <f t="shared" si="9"/>
        <v>0.6842105263</v>
      </c>
      <c r="S32" s="15">
        <f t="shared" si="10"/>
        <v>21824.92308</v>
      </c>
      <c r="T32" s="24">
        <f t="shared" si="11"/>
        <v>1</v>
      </c>
      <c r="U32" s="17">
        <f t="shared" si="12"/>
        <v>0.8421052632</v>
      </c>
      <c r="V32" s="22"/>
      <c r="W32" s="22"/>
      <c r="X32" s="18">
        <v>0.0</v>
      </c>
      <c r="Y32" s="26"/>
    </row>
    <row r="33" ht="15.75" customHeight="1">
      <c r="A33" s="32">
        <v>46229.0</v>
      </c>
      <c r="B33" s="21" t="str">
        <f t="shared" si="2"/>
        <v>日</v>
      </c>
      <c r="C33" s="18">
        <v>400000.0</v>
      </c>
      <c r="D33" s="23">
        <f t="shared" si="3"/>
        <v>7500000</v>
      </c>
      <c r="E33" s="18">
        <v>0.0</v>
      </c>
      <c r="F33" s="18">
        <v>92998.0</v>
      </c>
      <c r="G33" s="23">
        <f t="shared" si="4"/>
        <v>92998</v>
      </c>
      <c r="H33" s="23">
        <f t="shared" si="5"/>
        <v>3909328</v>
      </c>
      <c r="I33" s="25">
        <f t="shared" ref="I33:J33" si="40">IF(G33="","",IFERROR(G33/C33,""))</f>
        <v>0.232495</v>
      </c>
      <c r="J33" s="25">
        <f t="shared" si="40"/>
        <v>0.5212437333</v>
      </c>
      <c r="K33" s="23">
        <f t="shared" si="7"/>
        <v>-3590672</v>
      </c>
      <c r="L33" s="33" t="str">
        <f t="shared" si="8"/>
        <v>▲ 遅れ</v>
      </c>
      <c r="M33" s="22">
        <v>4.0</v>
      </c>
      <c r="N33" s="22">
        <v>5.0</v>
      </c>
      <c r="O33" s="22">
        <v>24.0</v>
      </c>
      <c r="P33" s="22">
        <v>6.0</v>
      </c>
      <c r="Q33" s="22">
        <v>15.0</v>
      </c>
      <c r="R33" s="25">
        <f t="shared" si="9"/>
        <v>0.1666666667</v>
      </c>
      <c r="S33" s="23">
        <f t="shared" si="10"/>
        <v>23249.5</v>
      </c>
      <c r="T33" s="34">
        <f t="shared" si="11"/>
        <v>1.25</v>
      </c>
      <c r="U33" s="25">
        <f t="shared" si="12"/>
        <v>0.25</v>
      </c>
      <c r="V33" s="22"/>
      <c r="W33" s="22">
        <v>44124.0</v>
      </c>
      <c r="X33" s="18">
        <v>0.0</v>
      </c>
      <c r="Y33" s="26"/>
    </row>
    <row r="34" ht="15.75" customHeight="1">
      <c r="A34" s="16">
        <v>46230.0</v>
      </c>
      <c r="B34" s="13" t="str">
        <f t="shared" si="2"/>
        <v>月</v>
      </c>
      <c r="C34" s="18">
        <v>300000.0</v>
      </c>
      <c r="D34" s="15">
        <f t="shared" si="3"/>
        <v>7800000</v>
      </c>
      <c r="E34" s="18">
        <v>23810.0</v>
      </c>
      <c r="F34" s="18">
        <v>45310.0</v>
      </c>
      <c r="G34" s="15">
        <f t="shared" si="4"/>
        <v>69120</v>
      </c>
      <c r="H34" s="15">
        <f t="shared" si="5"/>
        <v>3978448</v>
      </c>
      <c r="I34" s="17">
        <f t="shared" ref="I34:J34" si="41">IF(G34="","",IFERROR(G34/C34,""))</f>
        <v>0.2304</v>
      </c>
      <c r="J34" s="17">
        <f t="shared" si="41"/>
        <v>0.5100574359</v>
      </c>
      <c r="K34" s="15">
        <f t="shared" si="7"/>
        <v>-3821552</v>
      </c>
      <c r="L34" s="20" t="str">
        <f t="shared" si="8"/>
        <v>▲ 遅れ</v>
      </c>
      <c r="M34" s="22">
        <v>3.0</v>
      </c>
      <c r="N34" s="22">
        <v>3.0</v>
      </c>
      <c r="O34" s="22">
        <v>21.0</v>
      </c>
      <c r="P34" s="22">
        <v>4.0</v>
      </c>
      <c r="Q34" s="22">
        <v>6.0</v>
      </c>
      <c r="R34" s="17">
        <f t="shared" si="9"/>
        <v>0.1428571429</v>
      </c>
      <c r="S34" s="15">
        <f t="shared" si="10"/>
        <v>23040</v>
      </c>
      <c r="T34" s="24">
        <f t="shared" si="11"/>
        <v>1</v>
      </c>
      <c r="U34" s="17">
        <f t="shared" si="12"/>
        <v>0.1904761905</v>
      </c>
      <c r="V34" s="22"/>
      <c r="W34" s="22">
        <v>44122.0</v>
      </c>
      <c r="X34" s="18">
        <v>0.0</v>
      </c>
      <c r="Y34" s="26"/>
    </row>
    <row r="35" ht="15.75" customHeight="1">
      <c r="A35" s="32">
        <v>46231.0</v>
      </c>
      <c r="B35" s="21" t="str">
        <f t="shared" si="2"/>
        <v>火</v>
      </c>
      <c r="C35" s="18">
        <v>300000.0</v>
      </c>
      <c r="D35" s="23">
        <f t="shared" si="3"/>
        <v>8100000</v>
      </c>
      <c r="E35" s="18">
        <v>24310.0</v>
      </c>
      <c r="F35" s="18">
        <v>108097.0</v>
      </c>
      <c r="G35" s="23">
        <f t="shared" si="4"/>
        <v>132407</v>
      </c>
      <c r="H35" s="23">
        <f t="shared" si="5"/>
        <v>4110855</v>
      </c>
      <c r="I35" s="25">
        <f t="shared" ref="I35:J35" si="42">IF(G35="","",IFERROR(G35/C35,""))</f>
        <v>0.4413566667</v>
      </c>
      <c r="J35" s="25">
        <f t="shared" si="42"/>
        <v>0.507512963</v>
      </c>
      <c r="K35" s="23">
        <f t="shared" si="7"/>
        <v>-3989145</v>
      </c>
      <c r="L35" s="33" t="str">
        <f t="shared" si="8"/>
        <v>▲ 遅れ</v>
      </c>
      <c r="M35" s="22">
        <v>6.0</v>
      </c>
      <c r="N35" s="22">
        <v>6.0</v>
      </c>
      <c r="O35" s="22">
        <v>16.0</v>
      </c>
      <c r="P35" s="22">
        <v>8.0</v>
      </c>
      <c r="Q35" s="22">
        <v>11.0</v>
      </c>
      <c r="R35" s="25">
        <f t="shared" si="9"/>
        <v>0.375</v>
      </c>
      <c r="S35" s="23">
        <f t="shared" si="10"/>
        <v>22067.83333</v>
      </c>
      <c r="T35" s="34">
        <f t="shared" si="11"/>
        <v>1</v>
      </c>
      <c r="U35" s="25">
        <f t="shared" si="12"/>
        <v>0.5</v>
      </c>
      <c r="V35" s="22"/>
      <c r="W35" s="22">
        <v>44096.0</v>
      </c>
      <c r="X35" s="18">
        <v>0.0</v>
      </c>
      <c r="Y35" s="26"/>
    </row>
    <row r="36" ht="15.75" customHeight="1">
      <c r="A36" s="16">
        <v>46232.0</v>
      </c>
      <c r="B36" s="13" t="str">
        <f t="shared" si="2"/>
        <v>水</v>
      </c>
      <c r="C36" s="18">
        <v>300000.0</v>
      </c>
      <c r="D36" s="15">
        <f t="shared" si="3"/>
        <v>8400000</v>
      </c>
      <c r="E36" s="18">
        <v>0.0</v>
      </c>
      <c r="F36" s="18">
        <v>87728.0</v>
      </c>
      <c r="G36" s="15">
        <f t="shared" si="4"/>
        <v>87728</v>
      </c>
      <c r="H36" s="15">
        <f t="shared" si="5"/>
        <v>4198583</v>
      </c>
      <c r="I36" s="17">
        <f t="shared" ref="I36:J36" si="43">IF(G36="","",IFERROR(G36/C36,""))</f>
        <v>0.2924266667</v>
      </c>
      <c r="J36" s="17">
        <f t="shared" si="43"/>
        <v>0.4998313095</v>
      </c>
      <c r="K36" s="15">
        <f t="shared" si="7"/>
        <v>-4201417</v>
      </c>
      <c r="L36" s="20" t="str">
        <f t="shared" si="8"/>
        <v>▲ 遅れ</v>
      </c>
      <c r="M36" s="22">
        <v>4.0</v>
      </c>
      <c r="N36" s="22">
        <v>4.0</v>
      </c>
      <c r="O36" s="22">
        <v>17.0</v>
      </c>
      <c r="P36" s="22">
        <v>6.0</v>
      </c>
      <c r="Q36" s="22">
        <v>9.0</v>
      </c>
      <c r="R36" s="17">
        <f t="shared" si="9"/>
        <v>0.2352941176</v>
      </c>
      <c r="S36" s="15">
        <f t="shared" si="10"/>
        <v>21932</v>
      </c>
      <c r="T36" s="24">
        <f t="shared" si="11"/>
        <v>1</v>
      </c>
      <c r="U36" s="17">
        <f t="shared" si="12"/>
        <v>0.3529411765</v>
      </c>
      <c r="V36" s="22"/>
      <c r="W36" s="22">
        <v>44078.0</v>
      </c>
      <c r="X36" s="18">
        <v>0.0</v>
      </c>
      <c r="Y36" s="26"/>
    </row>
    <row r="37" ht="15.75" customHeight="1">
      <c r="A37" s="32">
        <v>46233.0</v>
      </c>
      <c r="B37" s="21" t="str">
        <f t="shared" si="2"/>
        <v>木</v>
      </c>
      <c r="C37" s="18">
        <v>300000.0</v>
      </c>
      <c r="D37" s="23">
        <f t="shared" si="3"/>
        <v>8700000</v>
      </c>
      <c r="E37" s="18"/>
      <c r="F37" s="18"/>
      <c r="G37" s="23" t="str">
        <f t="shared" si="4"/>
        <v/>
      </c>
      <c r="H37" s="23" t="str">
        <f t="shared" si="5"/>
        <v/>
      </c>
      <c r="I37" s="25" t="str">
        <f t="shared" ref="I37:J37" si="44">IF(G37="","",IFERROR(G37/C37,""))</f>
        <v/>
      </c>
      <c r="J37" s="25" t="str">
        <f t="shared" si="44"/>
        <v/>
      </c>
      <c r="K37" s="23" t="str">
        <f t="shared" si="7"/>
        <v/>
      </c>
      <c r="L37" s="33" t="str">
        <f t="shared" si="8"/>
        <v>—</v>
      </c>
      <c r="M37" s="22"/>
      <c r="N37" s="22"/>
      <c r="O37" s="22"/>
      <c r="P37" s="22"/>
      <c r="Q37" s="22"/>
      <c r="R37" s="25" t="str">
        <f t="shared" si="9"/>
        <v/>
      </c>
      <c r="S37" s="23" t="str">
        <f t="shared" si="10"/>
        <v/>
      </c>
      <c r="T37" s="34" t="str">
        <f t="shared" si="11"/>
        <v/>
      </c>
      <c r="U37" s="25" t="str">
        <f t="shared" si="12"/>
        <v/>
      </c>
      <c r="V37" s="22"/>
      <c r="W37" s="22"/>
      <c r="X37" s="18"/>
      <c r="Y37" s="26"/>
    </row>
    <row r="38" ht="15.75" customHeight="1">
      <c r="A38" s="16">
        <v>46234.0</v>
      </c>
      <c r="B38" s="13" t="str">
        <f t="shared" si="2"/>
        <v>金</v>
      </c>
      <c r="C38" s="18">
        <v>300000.0</v>
      </c>
      <c r="D38" s="15">
        <f t="shared" si="3"/>
        <v>9000000</v>
      </c>
      <c r="E38" s="18"/>
      <c r="F38" s="18"/>
      <c r="G38" s="15" t="str">
        <f t="shared" si="4"/>
        <v/>
      </c>
      <c r="H38" s="15" t="str">
        <f t="shared" si="5"/>
        <v/>
      </c>
      <c r="I38" s="17" t="str">
        <f t="shared" ref="I38:J38" si="45">IF(G38="","",IFERROR(G38/C38,""))</f>
        <v/>
      </c>
      <c r="J38" s="17" t="str">
        <f t="shared" si="45"/>
        <v/>
      </c>
      <c r="K38" s="15" t="str">
        <f t="shared" si="7"/>
        <v/>
      </c>
      <c r="L38" s="20" t="str">
        <f t="shared" si="8"/>
        <v>—</v>
      </c>
      <c r="M38" s="22"/>
      <c r="N38" s="22"/>
      <c r="O38" s="22"/>
      <c r="P38" s="22"/>
      <c r="Q38" s="22"/>
      <c r="R38" s="17" t="str">
        <f t="shared" si="9"/>
        <v/>
      </c>
      <c r="S38" s="15" t="str">
        <f t="shared" si="10"/>
        <v/>
      </c>
      <c r="T38" s="24" t="str">
        <f t="shared" si="11"/>
        <v/>
      </c>
      <c r="U38" s="17" t="str">
        <f t="shared" si="12"/>
        <v/>
      </c>
      <c r="V38" s="22"/>
      <c r="W38" s="22"/>
      <c r="X38" s="18">
        <v>0.0</v>
      </c>
      <c r="Y38" s="26"/>
    </row>
    <row r="39" ht="15.75" customHeight="1">
      <c r="A39" s="45" t="s">
        <v>92</v>
      </c>
      <c r="B39" s="36"/>
      <c r="C39" s="37">
        <f>SUM(C8:C38)</f>
        <v>9000000</v>
      </c>
      <c r="D39" s="37">
        <f>C39</f>
        <v>9000000</v>
      </c>
      <c r="E39" s="37">
        <f t="shared" ref="E39:G39" si="46">SUM(E8:E38)</f>
        <v>839473</v>
      </c>
      <c r="F39" s="37">
        <f t="shared" si="46"/>
        <v>3359110</v>
      </c>
      <c r="G39" s="37">
        <f t="shared" si="46"/>
        <v>4198583</v>
      </c>
      <c r="H39" s="37">
        <f>G39</f>
        <v>4198583</v>
      </c>
      <c r="I39" s="39">
        <f>IFERROR(G39/C39,"")</f>
        <v>0.4665092222</v>
      </c>
      <c r="J39" s="39">
        <f>IFERROR(G39/C39,"")</f>
        <v>0.4665092222</v>
      </c>
      <c r="K39" s="37">
        <f>G39-C39</f>
        <v>-4801417</v>
      </c>
      <c r="L39" s="46"/>
      <c r="M39" s="41">
        <f t="shared" ref="M39:Q39" si="47">SUM(M8:M38)</f>
        <v>180</v>
      </c>
      <c r="N39" s="41">
        <f t="shared" si="47"/>
        <v>194</v>
      </c>
      <c r="O39" s="41">
        <f t="shared" si="47"/>
        <v>572</v>
      </c>
      <c r="P39" s="41">
        <f t="shared" si="47"/>
        <v>236</v>
      </c>
      <c r="Q39" s="41">
        <f t="shared" si="47"/>
        <v>383</v>
      </c>
      <c r="R39" s="39">
        <f t="shared" si="9"/>
        <v>0.3146853147</v>
      </c>
      <c r="S39" s="37">
        <f t="shared" si="10"/>
        <v>23325.46111</v>
      </c>
      <c r="T39" s="47">
        <f t="shared" si="11"/>
        <v>1.077777778</v>
      </c>
      <c r="U39" s="39">
        <f t="shared" si="12"/>
        <v>0.4125874126</v>
      </c>
      <c r="V39" s="41">
        <f>SUM(V8:V38)</f>
        <v>0</v>
      </c>
      <c r="W39" s="41">
        <f>IFERROR(LOOKUP(9.99E+307,W8:W38),"")</f>
        <v>44078</v>
      </c>
      <c r="X39" s="37">
        <f>SUM(X8:X38)</f>
        <v>0</v>
      </c>
      <c r="Y39" s="48" t="s">
        <v>93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103</v>
      </c>
      <c r="H3" s="6"/>
      <c r="I3" s="5" t="s">
        <v>7</v>
      </c>
      <c r="J3" s="6"/>
      <c r="K3" s="5" t="s">
        <v>8</v>
      </c>
      <c r="L3" s="6"/>
    </row>
    <row r="4">
      <c r="A4" s="7">
        <f>IF('設定'!$B$12="",SUM(C8:C38),'設定'!$B$12)</f>
        <v>12100000</v>
      </c>
      <c r="B4" s="6"/>
      <c r="C4" s="8">
        <f>SUM(G8:G38)</f>
        <v>2547510</v>
      </c>
      <c r="D4" s="6"/>
      <c r="E4" s="9">
        <f>IFERROR(C4/A4,0)</f>
        <v>0.2105380165</v>
      </c>
      <c r="F4" s="6"/>
      <c r="G4" s="10">
        <f>COUNTIF(G8:G38,"&gt;0")</f>
        <v>29</v>
      </c>
      <c r="H4" s="6"/>
      <c r="I4" s="8">
        <f>A4-C4</f>
        <v>9552490</v>
      </c>
      <c r="J4" s="6"/>
      <c r="K4" s="8">
        <f>IF((31-G4)&gt;0,(A4-C4)/(31-G4),0)</f>
        <v>4776245</v>
      </c>
      <c r="L4" s="6"/>
    </row>
    <row r="5">
      <c r="A5" s="5" t="s">
        <v>16</v>
      </c>
      <c r="B5" s="6"/>
      <c r="C5" s="5" t="s">
        <v>17</v>
      </c>
      <c r="D5" s="6"/>
      <c r="E5" s="5" t="s">
        <v>18</v>
      </c>
      <c r="F5" s="6"/>
      <c r="G5" s="5" t="s">
        <v>19</v>
      </c>
      <c r="H5" s="6"/>
      <c r="I5" s="5" t="s">
        <v>20</v>
      </c>
      <c r="J5" s="6"/>
      <c r="K5" s="5" t="s">
        <v>21</v>
      </c>
      <c r="L5" s="6"/>
    </row>
    <row r="6">
      <c r="A6" s="8">
        <f>SUM(C8:C38)</f>
        <v>12100000</v>
      </c>
      <c r="B6" s="6"/>
      <c r="C6" s="8">
        <f>IFERROR(C4/G4*31,0)</f>
        <v>2723200.345</v>
      </c>
      <c r="D6" s="6"/>
      <c r="E6" s="9">
        <f>IFERROR(M39/O39,0)</f>
        <v>0.2429149798</v>
      </c>
      <c r="F6" s="6"/>
      <c r="G6" s="8">
        <f>IFERROR(G39/M39,0)</f>
        <v>21229.25</v>
      </c>
      <c r="H6" s="6"/>
      <c r="I6" s="12">
        <f>IFERROR(N39/M39,0)</f>
        <v>1.1</v>
      </c>
      <c r="J6" s="6"/>
      <c r="K6" s="9">
        <f>IFERROR(P39/O39,0)</f>
        <v>0.3765182186</v>
      </c>
      <c r="L6" s="6"/>
    </row>
    <row r="7" ht="30.0" customHeight="1">
      <c r="A7" s="11" t="s">
        <v>32</v>
      </c>
      <c r="B7" s="11" t="s">
        <v>33</v>
      </c>
      <c r="C7" s="11" t="s">
        <v>34</v>
      </c>
      <c r="D7" s="11" t="s">
        <v>28</v>
      </c>
      <c r="E7" s="11" t="s">
        <v>35</v>
      </c>
      <c r="F7" s="11" t="s">
        <v>36</v>
      </c>
      <c r="G7" s="11" t="s">
        <v>37</v>
      </c>
      <c r="H7" s="11" t="s">
        <v>29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26</v>
      </c>
      <c r="N7" s="11" t="s">
        <v>42</v>
      </c>
      <c r="O7" s="11" t="s">
        <v>27</v>
      </c>
      <c r="P7" s="11" t="s">
        <v>43</v>
      </c>
      <c r="Q7" s="11" t="s">
        <v>44</v>
      </c>
      <c r="R7" s="11" t="s">
        <v>18</v>
      </c>
      <c r="S7" s="11" t="s">
        <v>19</v>
      </c>
      <c r="T7" s="11" t="s">
        <v>20</v>
      </c>
      <c r="U7" s="11" t="s">
        <v>21</v>
      </c>
      <c r="V7" s="11" t="s">
        <v>45</v>
      </c>
      <c r="W7" s="11" t="s">
        <v>46</v>
      </c>
      <c r="X7" s="11" t="s">
        <v>47</v>
      </c>
      <c r="Y7" s="11" t="s">
        <v>48</v>
      </c>
      <c r="AA7" s="14" t="s">
        <v>49</v>
      </c>
      <c r="AB7" s="14" t="s">
        <v>50</v>
      </c>
      <c r="AC7" s="14" t="s">
        <v>51</v>
      </c>
      <c r="AD7" s="14" t="s">
        <v>18</v>
      </c>
      <c r="AE7" s="14" t="s">
        <v>19</v>
      </c>
    </row>
    <row r="8">
      <c r="A8" s="16">
        <v>46235.0</v>
      </c>
      <c r="B8" s="13" t="str">
        <f t="shared" ref="B8:B38" si="2">MID("日月火水木金土",WEEKDAY(A8),1)</f>
        <v>土</v>
      </c>
      <c r="C8" s="49">
        <v>460000.0</v>
      </c>
      <c r="D8" s="15">
        <f t="shared" ref="D8:D38" si="3">SUM($C$8:C8)</f>
        <v>460000</v>
      </c>
      <c r="E8" s="49">
        <v>18396.0</v>
      </c>
      <c r="F8" s="49">
        <v>61686.0</v>
      </c>
      <c r="G8" s="15">
        <f t="shared" ref="G8:G37" si="4">IF(COUNT(E8:F8)=0,"",SUM(E8:F8))</f>
        <v>80082</v>
      </c>
      <c r="H8" s="15">
        <f t="shared" ref="H8:H38" si="5">IF(G8="","",SUM($G$8:G8))</f>
        <v>80082</v>
      </c>
      <c r="I8" s="17">
        <f t="shared" ref="I8:J8" si="1">IF(G8="","",IFERROR(G8/C8,""))</f>
        <v>0.1740913043</v>
      </c>
      <c r="J8" s="17">
        <f t="shared" si="1"/>
        <v>0.1740913043</v>
      </c>
      <c r="K8" s="15">
        <f t="shared" ref="K8:K38" si="7">IF(H8="","",IF(D8=0,"",H8-D8))</f>
        <v>-379918</v>
      </c>
      <c r="L8" s="20" t="str">
        <f t="shared" ref="L8:L38" si="8">IF(G8="","—",IF(D8=0,"予算未入力",IF(H8&gt;=D8,"◎ ペース内","▲ 遅れ")))</f>
        <v>▲ 遅れ</v>
      </c>
      <c r="M8" s="50">
        <v>4.0</v>
      </c>
      <c r="N8" s="50">
        <v>4.0</v>
      </c>
      <c r="O8" s="50">
        <v>19.0</v>
      </c>
      <c r="P8" s="50">
        <v>5.0</v>
      </c>
      <c r="Q8" s="50">
        <v>8.0</v>
      </c>
      <c r="R8" s="17">
        <f t="shared" ref="R8:R39" si="9">IFERROR(M8/O8,"")</f>
        <v>0.2105263158</v>
      </c>
      <c r="S8" s="15">
        <f t="shared" ref="S8:S39" si="10">IFERROR(G8/M8,"")</f>
        <v>20020.5</v>
      </c>
      <c r="T8" s="24">
        <f t="shared" ref="T8:T39" si="11">IFERROR(N8/M8,"")</f>
        <v>1</v>
      </c>
      <c r="U8" s="17">
        <f t="shared" ref="U8:U39" si="12">IFERROR(P8/O8,"")</f>
        <v>0.2631578947</v>
      </c>
      <c r="V8" s="50">
        <v>1.0</v>
      </c>
      <c r="W8" s="50">
        <v>44031.0</v>
      </c>
      <c r="X8" s="18"/>
      <c r="Y8" s="26"/>
      <c r="AA8" s="27" t="s">
        <v>22</v>
      </c>
      <c r="AB8" s="29">
        <f t="shared" ref="AB8:AB14" si="13">IFERROR(AVERAGEIFS($G$8:$G$38,$B$8:$B$38,AA8,$G$8:$G$38,"&gt;0"),0)</f>
        <v>64052.8</v>
      </c>
      <c r="AC8" s="30">
        <f t="shared" ref="AC8:AC14" si="14">COUNTIFS($B$8:$B$38,AA8,$G$8:$G$38,"&gt;0")</f>
        <v>5</v>
      </c>
      <c r="AD8" s="31">
        <f t="shared" ref="AD8:AD14" si="15">IFERROR(SUMIF($B$8:$B$38,AA8,$M$8:$M$38)/SUMIF($B$8:$B$38,AA8,$O$8:$O$38),0)</f>
        <v>0.1866666667</v>
      </c>
      <c r="AE8" s="29">
        <f t="shared" ref="AE8:AE14" si="16">IFERROR(SUMIF($B$8:$B$38,AA8,$G$8:$G$38)/SUMIF($B$8:$B$38,AA8,$M$8:$M$38),0)</f>
        <v>22876</v>
      </c>
    </row>
    <row r="9">
      <c r="A9" s="32">
        <v>46236.0</v>
      </c>
      <c r="B9" s="21" t="str">
        <f t="shared" si="2"/>
        <v>日</v>
      </c>
      <c r="C9" s="49">
        <v>460000.0</v>
      </c>
      <c r="D9" s="23">
        <f t="shared" si="3"/>
        <v>920000</v>
      </c>
      <c r="E9" s="49">
        <v>110.0</v>
      </c>
      <c r="F9" s="49">
        <v>207931.0</v>
      </c>
      <c r="G9" s="23">
        <f t="shared" si="4"/>
        <v>208041</v>
      </c>
      <c r="H9" s="23">
        <f t="shared" si="5"/>
        <v>288123</v>
      </c>
      <c r="I9" s="25">
        <f t="shared" ref="I9:J9" si="6">IF(G9="","",IFERROR(G9/C9,""))</f>
        <v>0.4522630435</v>
      </c>
      <c r="J9" s="25">
        <f t="shared" si="6"/>
        <v>0.3131771739</v>
      </c>
      <c r="K9" s="23">
        <f t="shared" si="7"/>
        <v>-631877</v>
      </c>
      <c r="L9" s="33" t="str">
        <f t="shared" si="8"/>
        <v>▲ 遅れ</v>
      </c>
      <c r="M9" s="50">
        <v>10.0</v>
      </c>
      <c r="N9" s="50">
        <v>10.0</v>
      </c>
      <c r="O9" s="50">
        <v>31.0</v>
      </c>
      <c r="P9" s="50">
        <v>18.0</v>
      </c>
      <c r="Q9" s="50">
        <v>25.0</v>
      </c>
      <c r="R9" s="25">
        <f t="shared" si="9"/>
        <v>0.3225806452</v>
      </c>
      <c r="S9" s="23">
        <f t="shared" si="10"/>
        <v>20804.1</v>
      </c>
      <c r="T9" s="34">
        <f t="shared" si="11"/>
        <v>1</v>
      </c>
      <c r="U9" s="25">
        <f t="shared" si="12"/>
        <v>0.5806451613</v>
      </c>
      <c r="V9" s="50">
        <v>3.0</v>
      </c>
      <c r="W9" s="50">
        <v>44028.0</v>
      </c>
      <c r="X9" s="18"/>
      <c r="Y9" s="26"/>
      <c r="AA9" s="27" t="s">
        <v>59</v>
      </c>
      <c r="AB9" s="29">
        <f t="shared" si="13"/>
        <v>55626.33333</v>
      </c>
      <c r="AC9" s="30">
        <f t="shared" si="14"/>
        <v>3</v>
      </c>
      <c r="AD9" s="31">
        <f t="shared" si="15"/>
        <v>0.1216216216</v>
      </c>
      <c r="AE9" s="29">
        <f t="shared" si="16"/>
        <v>18542.11111</v>
      </c>
    </row>
    <row r="10">
      <c r="A10" s="16">
        <v>46237.0</v>
      </c>
      <c r="B10" s="13" t="str">
        <f t="shared" si="2"/>
        <v>月</v>
      </c>
      <c r="C10" s="49">
        <v>300000.0</v>
      </c>
      <c r="D10" s="15">
        <f t="shared" si="3"/>
        <v>1220000</v>
      </c>
      <c r="E10" s="49">
        <v>16454.0</v>
      </c>
      <c r="F10" s="49">
        <v>0.0</v>
      </c>
      <c r="G10" s="15">
        <f t="shared" si="4"/>
        <v>16454</v>
      </c>
      <c r="H10" s="15">
        <f t="shared" si="5"/>
        <v>304577</v>
      </c>
      <c r="I10" s="17">
        <f t="shared" ref="I10:J10" si="17">IF(G10="","",IFERROR(G10/C10,""))</f>
        <v>0.05484666667</v>
      </c>
      <c r="J10" s="17">
        <f t="shared" si="17"/>
        <v>0.2496532787</v>
      </c>
      <c r="K10" s="15">
        <f t="shared" si="7"/>
        <v>-915423</v>
      </c>
      <c r="L10" s="20" t="str">
        <f t="shared" si="8"/>
        <v>▲ 遅れ</v>
      </c>
      <c r="M10" s="50">
        <v>1.0</v>
      </c>
      <c r="N10" s="50">
        <v>1.0</v>
      </c>
      <c r="O10" s="50">
        <v>20.0</v>
      </c>
      <c r="P10" s="50">
        <v>3.0</v>
      </c>
      <c r="Q10" s="50">
        <v>4.0</v>
      </c>
      <c r="R10" s="17">
        <f t="shared" si="9"/>
        <v>0.05</v>
      </c>
      <c r="S10" s="15">
        <f t="shared" si="10"/>
        <v>16454</v>
      </c>
      <c r="T10" s="24">
        <f t="shared" si="11"/>
        <v>1</v>
      </c>
      <c r="U10" s="17">
        <f t="shared" si="12"/>
        <v>0.15</v>
      </c>
      <c r="V10" s="22"/>
      <c r="W10" s="50">
        <v>43992.0</v>
      </c>
      <c r="X10" s="18"/>
      <c r="Y10" s="26"/>
      <c r="AA10" s="27" t="s">
        <v>61</v>
      </c>
      <c r="AB10" s="29">
        <f t="shared" si="13"/>
        <v>98164.25</v>
      </c>
      <c r="AC10" s="30">
        <f t="shared" si="14"/>
        <v>4</v>
      </c>
      <c r="AD10" s="31">
        <f t="shared" si="15"/>
        <v>0.3090909091</v>
      </c>
      <c r="AE10" s="29">
        <f t="shared" si="16"/>
        <v>23097.47059</v>
      </c>
    </row>
    <row r="11">
      <c r="A11" s="32">
        <v>46238.0</v>
      </c>
      <c r="B11" s="21" t="str">
        <f t="shared" si="2"/>
        <v>火</v>
      </c>
      <c r="C11" s="49">
        <v>300000.0</v>
      </c>
      <c r="D11" s="23">
        <f t="shared" si="3"/>
        <v>1520000</v>
      </c>
      <c r="E11" s="49">
        <v>23810.0</v>
      </c>
      <c r="F11" s="49">
        <v>15432.0</v>
      </c>
      <c r="G11" s="23">
        <f t="shared" si="4"/>
        <v>39242</v>
      </c>
      <c r="H11" s="23">
        <f t="shared" si="5"/>
        <v>343819</v>
      </c>
      <c r="I11" s="25">
        <f t="shared" ref="I11:J11" si="18">IF(G11="","",IFERROR(G11/C11,""))</f>
        <v>0.1308066667</v>
      </c>
      <c r="J11" s="25">
        <f t="shared" si="18"/>
        <v>0.2261967105</v>
      </c>
      <c r="K11" s="23">
        <f t="shared" si="7"/>
        <v>-1176181</v>
      </c>
      <c r="L11" s="33" t="str">
        <f t="shared" si="8"/>
        <v>▲ 遅れ</v>
      </c>
      <c r="M11" s="50">
        <v>2.0</v>
      </c>
      <c r="N11" s="50">
        <v>2.0</v>
      </c>
      <c r="O11" s="50">
        <v>18.0</v>
      </c>
      <c r="P11" s="50">
        <v>4.0</v>
      </c>
      <c r="Q11" s="50">
        <v>9.0</v>
      </c>
      <c r="R11" s="25">
        <f t="shared" si="9"/>
        <v>0.1111111111</v>
      </c>
      <c r="S11" s="23">
        <f t="shared" si="10"/>
        <v>19621</v>
      </c>
      <c r="T11" s="34">
        <f t="shared" si="11"/>
        <v>1</v>
      </c>
      <c r="U11" s="25">
        <f t="shared" si="12"/>
        <v>0.2222222222</v>
      </c>
      <c r="V11" s="22"/>
      <c r="W11" s="50">
        <v>43974.0</v>
      </c>
      <c r="X11" s="18"/>
      <c r="Y11" s="26"/>
      <c r="AA11" s="27" t="s">
        <v>63</v>
      </c>
      <c r="AB11" s="29">
        <f t="shared" si="13"/>
        <v>96213</v>
      </c>
      <c r="AC11" s="30">
        <f t="shared" si="14"/>
        <v>4</v>
      </c>
      <c r="AD11" s="31">
        <f t="shared" si="15"/>
        <v>0.2575757576</v>
      </c>
      <c r="AE11" s="29">
        <f t="shared" si="16"/>
        <v>22638.35294</v>
      </c>
    </row>
    <row r="12">
      <c r="A12" s="16">
        <v>46239.0</v>
      </c>
      <c r="B12" s="13" t="str">
        <f t="shared" si="2"/>
        <v>水</v>
      </c>
      <c r="C12" s="49">
        <v>300000.0</v>
      </c>
      <c r="D12" s="15">
        <f t="shared" si="3"/>
        <v>1820000</v>
      </c>
      <c r="E12" s="49">
        <v>22586.0</v>
      </c>
      <c r="F12" s="49">
        <v>135910.0</v>
      </c>
      <c r="G12" s="15">
        <f t="shared" si="4"/>
        <v>158496</v>
      </c>
      <c r="H12" s="15">
        <f t="shared" si="5"/>
        <v>502315</v>
      </c>
      <c r="I12" s="17">
        <f t="shared" ref="I12:J12" si="19">IF(G12="","",IFERROR(G12/C12,""))</f>
        <v>0.52832</v>
      </c>
      <c r="J12" s="17">
        <f t="shared" si="19"/>
        <v>0.2759972527</v>
      </c>
      <c r="K12" s="15">
        <f t="shared" si="7"/>
        <v>-1317685</v>
      </c>
      <c r="L12" s="20" t="str">
        <f t="shared" si="8"/>
        <v>▲ 遅れ</v>
      </c>
      <c r="M12" s="50">
        <v>7.0</v>
      </c>
      <c r="N12" s="50">
        <v>7.0</v>
      </c>
      <c r="O12" s="50">
        <v>18.0</v>
      </c>
      <c r="P12" s="50">
        <v>8.0</v>
      </c>
      <c r="Q12" s="50">
        <v>12.0</v>
      </c>
      <c r="R12" s="17">
        <f t="shared" si="9"/>
        <v>0.3888888889</v>
      </c>
      <c r="S12" s="15">
        <f t="shared" si="10"/>
        <v>22642.28571</v>
      </c>
      <c r="T12" s="24">
        <f t="shared" si="11"/>
        <v>1</v>
      </c>
      <c r="U12" s="17">
        <f t="shared" si="12"/>
        <v>0.4444444444</v>
      </c>
      <c r="V12" s="22"/>
      <c r="W12" s="22"/>
      <c r="X12" s="18"/>
      <c r="Y12" s="26"/>
      <c r="AA12" s="27" t="s">
        <v>65</v>
      </c>
      <c r="AB12" s="29">
        <f t="shared" si="13"/>
        <v>93465.25</v>
      </c>
      <c r="AC12" s="30">
        <f t="shared" si="14"/>
        <v>4</v>
      </c>
      <c r="AD12" s="31">
        <f t="shared" si="15"/>
        <v>0.2857142857</v>
      </c>
      <c r="AE12" s="29">
        <f t="shared" si="16"/>
        <v>20770.05556</v>
      </c>
    </row>
    <row r="13">
      <c r="A13" s="32">
        <v>46240.0</v>
      </c>
      <c r="B13" s="21" t="str">
        <f t="shared" si="2"/>
        <v>木</v>
      </c>
      <c r="C13" s="49">
        <v>300000.0</v>
      </c>
      <c r="D13" s="23">
        <f t="shared" si="3"/>
        <v>2120000</v>
      </c>
      <c r="E13" s="49">
        <v>61121.0</v>
      </c>
      <c r="F13" s="49">
        <v>45070.0</v>
      </c>
      <c r="G13" s="23">
        <f t="shared" si="4"/>
        <v>106191</v>
      </c>
      <c r="H13" s="23">
        <f t="shared" si="5"/>
        <v>608506</v>
      </c>
      <c r="I13" s="25">
        <f t="shared" ref="I13:J13" si="20">IF(G13="","",IFERROR(G13/C13,""))</f>
        <v>0.35397</v>
      </c>
      <c r="J13" s="25">
        <f t="shared" si="20"/>
        <v>0.2870311321</v>
      </c>
      <c r="K13" s="23">
        <f t="shared" si="7"/>
        <v>-1511494</v>
      </c>
      <c r="L13" s="33" t="str">
        <f t="shared" si="8"/>
        <v>▲ 遅れ</v>
      </c>
      <c r="M13" s="50">
        <v>5.0</v>
      </c>
      <c r="N13" s="50">
        <v>5.0</v>
      </c>
      <c r="O13" s="50">
        <v>19.0</v>
      </c>
      <c r="P13" s="50">
        <v>7.0</v>
      </c>
      <c r="Q13" s="50">
        <v>10.0</v>
      </c>
      <c r="R13" s="25">
        <f t="shared" si="9"/>
        <v>0.2631578947</v>
      </c>
      <c r="S13" s="23">
        <f t="shared" si="10"/>
        <v>21238.2</v>
      </c>
      <c r="T13" s="34">
        <f t="shared" si="11"/>
        <v>1</v>
      </c>
      <c r="U13" s="25">
        <f t="shared" si="12"/>
        <v>0.3684210526</v>
      </c>
      <c r="V13" s="22"/>
      <c r="W13" s="22"/>
      <c r="X13" s="18"/>
      <c r="Y13" s="26"/>
      <c r="AA13" s="27" t="s">
        <v>67</v>
      </c>
      <c r="AB13" s="29">
        <f t="shared" si="13"/>
        <v>110747.25</v>
      </c>
      <c r="AC13" s="30">
        <f t="shared" si="14"/>
        <v>4</v>
      </c>
      <c r="AD13" s="31">
        <f t="shared" si="15"/>
        <v>0.2911392405</v>
      </c>
      <c r="AE13" s="29">
        <f t="shared" si="16"/>
        <v>19260.3913</v>
      </c>
    </row>
    <row r="14">
      <c r="A14" s="16">
        <v>46241.0</v>
      </c>
      <c r="B14" s="13" t="str">
        <f t="shared" si="2"/>
        <v>金</v>
      </c>
      <c r="C14" s="49">
        <v>300000.0</v>
      </c>
      <c r="D14" s="15">
        <f t="shared" si="3"/>
        <v>2420000</v>
      </c>
      <c r="E14" s="49">
        <v>26010.0</v>
      </c>
      <c r="F14" s="49">
        <v>66167.0</v>
      </c>
      <c r="G14" s="15">
        <f t="shared" si="4"/>
        <v>92177</v>
      </c>
      <c r="H14" s="15">
        <f t="shared" si="5"/>
        <v>700683</v>
      </c>
      <c r="I14" s="17">
        <f t="shared" ref="I14:J14" si="21">IF(G14="","",IFERROR(G14/C14,""))</f>
        <v>0.3072566667</v>
      </c>
      <c r="J14" s="17">
        <f t="shared" si="21"/>
        <v>0.2895384298</v>
      </c>
      <c r="K14" s="15">
        <f t="shared" si="7"/>
        <v>-1719317</v>
      </c>
      <c r="L14" s="20" t="str">
        <f t="shared" si="8"/>
        <v>▲ 遅れ</v>
      </c>
      <c r="M14" s="50">
        <v>4.0</v>
      </c>
      <c r="N14" s="50">
        <v>4.0</v>
      </c>
      <c r="O14" s="50">
        <v>18.0</v>
      </c>
      <c r="P14" s="50">
        <v>6.0</v>
      </c>
      <c r="Q14" s="50">
        <v>12.0</v>
      </c>
      <c r="R14" s="17">
        <f t="shared" si="9"/>
        <v>0.2222222222</v>
      </c>
      <c r="S14" s="15">
        <f t="shared" si="10"/>
        <v>23044.25</v>
      </c>
      <c r="T14" s="24">
        <f t="shared" si="11"/>
        <v>1</v>
      </c>
      <c r="U14" s="17">
        <f t="shared" si="12"/>
        <v>0.3333333333</v>
      </c>
      <c r="V14" s="22"/>
      <c r="W14" s="50">
        <v>43929.0</v>
      </c>
      <c r="X14" s="18"/>
      <c r="Y14" s="26"/>
      <c r="AA14" s="27" t="s">
        <v>69</v>
      </c>
      <c r="AB14" s="29">
        <f t="shared" si="13"/>
        <v>93201.6</v>
      </c>
      <c r="AC14" s="30">
        <f t="shared" si="14"/>
        <v>5</v>
      </c>
      <c r="AD14" s="31">
        <f t="shared" si="15"/>
        <v>0.2682926829</v>
      </c>
      <c r="AE14" s="29">
        <f t="shared" si="16"/>
        <v>21182.18182</v>
      </c>
    </row>
    <row r="15">
      <c r="A15" s="32">
        <v>46242.0</v>
      </c>
      <c r="B15" s="21" t="str">
        <f t="shared" si="2"/>
        <v>土</v>
      </c>
      <c r="C15" s="49">
        <v>460000.0</v>
      </c>
      <c r="D15" s="23">
        <f t="shared" si="3"/>
        <v>2880000</v>
      </c>
      <c r="E15" s="49">
        <v>0.0</v>
      </c>
      <c r="F15" s="49">
        <v>95041.0</v>
      </c>
      <c r="G15" s="23">
        <f t="shared" si="4"/>
        <v>95041</v>
      </c>
      <c r="H15" s="23">
        <f t="shared" si="5"/>
        <v>795724</v>
      </c>
      <c r="I15" s="25">
        <f t="shared" ref="I15:J15" si="22">IF(G15="","",IFERROR(G15/C15,""))</f>
        <v>0.2066108696</v>
      </c>
      <c r="J15" s="25">
        <f t="shared" si="22"/>
        <v>0.2762930556</v>
      </c>
      <c r="K15" s="23">
        <f t="shared" si="7"/>
        <v>-2084276</v>
      </c>
      <c r="L15" s="33" t="str">
        <f t="shared" si="8"/>
        <v>▲ 遅れ</v>
      </c>
      <c r="M15" s="50">
        <v>5.0</v>
      </c>
      <c r="N15" s="50">
        <v>5.0</v>
      </c>
      <c r="O15" s="50">
        <v>16.0</v>
      </c>
      <c r="P15" s="50">
        <v>4.0</v>
      </c>
      <c r="Q15" s="50">
        <v>7.0</v>
      </c>
      <c r="R15" s="25">
        <f t="shared" si="9"/>
        <v>0.3125</v>
      </c>
      <c r="S15" s="23">
        <f t="shared" si="10"/>
        <v>19008.2</v>
      </c>
      <c r="T15" s="34">
        <f t="shared" si="11"/>
        <v>1</v>
      </c>
      <c r="U15" s="25">
        <f t="shared" si="12"/>
        <v>0.25</v>
      </c>
      <c r="V15" s="22"/>
      <c r="W15" s="50">
        <v>43905.0</v>
      </c>
      <c r="X15" s="18"/>
      <c r="Y15" s="26"/>
    </row>
    <row r="16">
      <c r="A16" s="16">
        <v>46243.0</v>
      </c>
      <c r="B16" s="13" t="str">
        <f t="shared" si="2"/>
        <v>日</v>
      </c>
      <c r="C16" s="49">
        <v>460000.0</v>
      </c>
      <c r="D16" s="15">
        <f t="shared" si="3"/>
        <v>3340000</v>
      </c>
      <c r="E16" s="49">
        <v>19410.0</v>
      </c>
      <c r="F16" s="49">
        <v>41052.0</v>
      </c>
      <c r="G16" s="15">
        <f t="shared" si="4"/>
        <v>60462</v>
      </c>
      <c r="H16" s="15">
        <f t="shared" si="5"/>
        <v>856186</v>
      </c>
      <c r="I16" s="17">
        <f t="shared" ref="I16:J16" si="23">IF(G16="","",IFERROR(G16/C16,""))</f>
        <v>0.1314391304</v>
      </c>
      <c r="J16" s="17">
        <f t="shared" si="23"/>
        <v>0.2563431138</v>
      </c>
      <c r="K16" s="15">
        <f t="shared" si="7"/>
        <v>-2483814</v>
      </c>
      <c r="L16" s="20" t="str">
        <f t="shared" si="8"/>
        <v>▲ 遅れ</v>
      </c>
      <c r="M16" s="50">
        <v>3.0</v>
      </c>
      <c r="N16" s="50">
        <v>3.0</v>
      </c>
      <c r="O16" s="50">
        <v>14.0</v>
      </c>
      <c r="P16" s="50">
        <v>6.0</v>
      </c>
      <c r="Q16" s="50">
        <v>10.0</v>
      </c>
      <c r="R16" s="17">
        <f t="shared" si="9"/>
        <v>0.2142857143</v>
      </c>
      <c r="S16" s="15">
        <f t="shared" si="10"/>
        <v>20154</v>
      </c>
      <c r="T16" s="24">
        <f t="shared" si="11"/>
        <v>1</v>
      </c>
      <c r="U16" s="17">
        <f t="shared" si="12"/>
        <v>0.4285714286</v>
      </c>
      <c r="V16" s="50">
        <v>1.0</v>
      </c>
      <c r="W16" s="22"/>
      <c r="X16" s="18"/>
      <c r="Y16" s="26"/>
      <c r="AA16" s="35" t="s">
        <v>71</v>
      </c>
    </row>
    <row r="17">
      <c r="A17" s="32">
        <v>46244.0</v>
      </c>
      <c r="B17" s="21" t="str">
        <f t="shared" si="2"/>
        <v>月</v>
      </c>
      <c r="C17" s="49">
        <v>300000.0</v>
      </c>
      <c r="D17" s="23">
        <f t="shared" si="3"/>
        <v>3640000</v>
      </c>
      <c r="E17" s="49">
        <v>19910.0</v>
      </c>
      <c r="F17" s="49">
        <v>15432.0</v>
      </c>
      <c r="G17" s="23">
        <f t="shared" si="4"/>
        <v>35342</v>
      </c>
      <c r="H17" s="23">
        <f t="shared" si="5"/>
        <v>891528</v>
      </c>
      <c r="I17" s="25">
        <f t="shared" ref="I17:J17" si="24">IF(G17="","",IFERROR(G17/C17,""))</f>
        <v>0.1178066667</v>
      </c>
      <c r="J17" s="25">
        <f t="shared" si="24"/>
        <v>0.2449252747</v>
      </c>
      <c r="K17" s="23">
        <f t="shared" si="7"/>
        <v>-2748472</v>
      </c>
      <c r="L17" s="33" t="str">
        <f t="shared" si="8"/>
        <v>▲ 遅れ</v>
      </c>
      <c r="M17" s="50">
        <v>2.0</v>
      </c>
      <c r="N17" s="50">
        <v>2.0</v>
      </c>
      <c r="O17" s="50">
        <v>15.0</v>
      </c>
      <c r="P17" s="50">
        <v>4.0</v>
      </c>
      <c r="Q17" s="50">
        <v>7.0</v>
      </c>
      <c r="R17" s="25">
        <f t="shared" si="9"/>
        <v>0.1333333333</v>
      </c>
      <c r="S17" s="23">
        <f t="shared" si="10"/>
        <v>17671</v>
      </c>
      <c r="T17" s="34">
        <f t="shared" si="11"/>
        <v>1</v>
      </c>
      <c r="U17" s="25">
        <f t="shared" si="12"/>
        <v>0.2666666667</v>
      </c>
      <c r="V17" s="22"/>
      <c r="W17" s="50">
        <v>43878.0</v>
      </c>
      <c r="X17" s="18"/>
      <c r="Y17" s="26"/>
    </row>
    <row r="18">
      <c r="A18" s="16">
        <v>46245.0</v>
      </c>
      <c r="B18" s="13" t="str">
        <f t="shared" si="2"/>
        <v>火</v>
      </c>
      <c r="C18" s="49">
        <v>460000.0</v>
      </c>
      <c r="D18" s="15">
        <f t="shared" si="3"/>
        <v>4100000</v>
      </c>
      <c r="E18" s="49">
        <v>0.0</v>
      </c>
      <c r="F18" s="49">
        <v>85170.0</v>
      </c>
      <c r="G18" s="15">
        <f t="shared" si="4"/>
        <v>85170</v>
      </c>
      <c r="H18" s="15">
        <f t="shared" si="5"/>
        <v>976698</v>
      </c>
      <c r="I18" s="17">
        <f t="shared" ref="I18:J18" si="25">IF(G18="","",IFERROR(G18/C18,""))</f>
        <v>0.1851521739</v>
      </c>
      <c r="J18" s="17">
        <f t="shared" si="25"/>
        <v>0.2382190244</v>
      </c>
      <c r="K18" s="15">
        <f t="shared" si="7"/>
        <v>-3123302</v>
      </c>
      <c r="L18" s="20" t="str">
        <f t="shared" si="8"/>
        <v>▲ 遅れ</v>
      </c>
      <c r="M18" s="50">
        <v>4.0</v>
      </c>
      <c r="N18" s="50">
        <v>4.0</v>
      </c>
      <c r="O18" s="50">
        <v>29.0</v>
      </c>
      <c r="P18" s="50">
        <v>8.0</v>
      </c>
      <c r="Q18" s="50">
        <v>11.0</v>
      </c>
      <c r="R18" s="17">
        <f t="shared" si="9"/>
        <v>0.1379310345</v>
      </c>
      <c r="S18" s="15">
        <f t="shared" si="10"/>
        <v>21292.5</v>
      </c>
      <c r="T18" s="24">
        <f t="shared" si="11"/>
        <v>1</v>
      </c>
      <c r="U18" s="17">
        <f t="shared" si="12"/>
        <v>0.275862069</v>
      </c>
      <c r="V18" s="22"/>
      <c r="W18" s="50">
        <v>43858.0</v>
      </c>
      <c r="X18" s="18"/>
      <c r="Y18" s="26"/>
      <c r="AA18" s="38" t="s">
        <v>73</v>
      </c>
      <c r="AH18" s="35" t="s">
        <v>104</v>
      </c>
      <c r="AI18" s="40">
        <f>$A$8+MOD(2-WEEKDAY($A$8,2)+7,7)</f>
        <v>46238</v>
      </c>
    </row>
    <row r="19">
      <c r="A19" s="32">
        <v>46246.0</v>
      </c>
      <c r="B19" s="21" t="str">
        <f t="shared" si="2"/>
        <v>水</v>
      </c>
      <c r="C19" s="49">
        <v>300000.0</v>
      </c>
      <c r="D19" s="23">
        <f t="shared" si="3"/>
        <v>4400000</v>
      </c>
      <c r="E19" s="49">
        <v>57638.0</v>
      </c>
      <c r="F19" s="49">
        <v>19800.0</v>
      </c>
      <c r="G19" s="23">
        <f t="shared" si="4"/>
        <v>77438</v>
      </c>
      <c r="H19" s="23">
        <f t="shared" si="5"/>
        <v>1054136</v>
      </c>
      <c r="I19" s="25">
        <f t="shared" ref="I19:J19" si="26">IF(G19="","",IFERROR(G19/C19,""))</f>
        <v>0.2581266667</v>
      </c>
      <c r="J19" s="25">
        <f t="shared" si="26"/>
        <v>0.2395763636</v>
      </c>
      <c r="K19" s="23">
        <f t="shared" si="7"/>
        <v>-3345864</v>
      </c>
      <c r="L19" s="33" t="str">
        <f t="shared" si="8"/>
        <v>▲ 遅れ</v>
      </c>
      <c r="M19" s="50">
        <v>3.0</v>
      </c>
      <c r="N19" s="50">
        <v>3.0</v>
      </c>
      <c r="O19" s="50">
        <v>15.0</v>
      </c>
      <c r="P19" s="50">
        <v>9.0</v>
      </c>
      <c r="Q19" s="50">
        <v>13.0</v>
      </c>
      <c r="R19" s="25">
        <f t="shared" si="9"/>
        <v>0.2</v>
      </c>
      <c r="S19" s="23">
        <f t="shared" si="10"/>
        <v>25812.66667</v>
      </c>
      <c r="T19" s="34">
        <f t="shared" si="11"/>
        <v>1</v>
      </c>
      <c r="U19" s="25">
        <f t="shared" si="12"/>
        <v>0.6</v>
      </c>
      <c r="V19" s="22"/>
      <c r="W19" s="50">
        <v>43787.0</v>
      </c>
      <c r="X19" s="18"/>
      <c r="Y19" s="26"/>
      <c r="AA19" s="14" t="s">
        <v>76</v>
      </c>
      <c r="AB19" s="14" t="s">
        <v>77</v>
      </c>
      <c r="AC19" s="14" t="s">
        <v>78</v>
      </c>
      <c r="AD19" s="14" t="s">
        <v>18</v>
      </c>
      <c r="AE19" s="14" t="s">
        <v>19</v>
      </c>
      <c r="AF19" s="14" t="s">
        <v>20</v>
      </c>
      <c r="AG19" s="14" t="s">
        <v>21</v>
      </c>
    </row>
    <row r="20">
      <c r="A20" s="16">
        <v>46247.0</v>
      </c>
      <c r="B20" s="13" t="str">
        <f t="shared" si="2"/>
        <v>木</v>
      </c>
      <c r="C20" s="49">
        <v>640000.0</v>
      </c>
      <c r="D20" s="15">
        <f t="shared" si="3"/>
        <v>5040000</v>
      </c>
      <c r="E20" s="49">
        <v>0.0</v>
      </c>
      <c r="F20" s="49">
        <v>61524.0</v>
      </c>
      <c r="G20" s="15">
        <f t="shared" si="4"/>
        <v>61524</v>
      </c>
      <c r="H20" s="15">
        <f t="shared" si="5"/>
        <v>1115660</v>
      </c>
      <c r="I20" s="17">
        <f t="shared" ref="I20:J20" si="27">IF(G20="","",IFERROR(G20/C20,""))</f>
        <v>0.09613125</v>
      </c>
      <c r="J20" s="17">
        <f t="shared" si="27"/>
        <v>0.2213611111</v>
      </c>
      <c r="K20" s="15">
        <f t="shared" si="7"/>
        <v>-3924340</v>
      </c>
      <c r="L20" s="20" t="str">
        <f t="shared" si="8"/>
        <v>▲ 遅れ</v>
      </c>
      <c r="M20" s="50">
        <v>2.0</v>
      </c>
      <c r="N20" s="50">
        <v>3.0</v>
      </c>
      <c r="O20" s="50">
        <v>15.0</v>
      </c>
      <c r="P20" s="50">
        <v>4.0</v>
      </c>
      <c r="Q20" s="50">
        <v>5.0</v>
      </c>
      <c r="R20" s="17">
        <f t="shared" si="9"/>
        <v>0.1333333333</v>
      </c>
      <c r="S20" s="15">
        <f t="shared" si="10"/>
        <v>30762</v>
      </c>
      <c r="T20" s="24">
        <f t="shared" si="11"/>
        <v>1.5</v>
      </c>
      <c r="U20" s="17">
        <f t="shared" si="12"/>
        <v>0.2666666667</v>
      </c>
      <c r="V20" s="22"/>
      <c r="W20" s="50">
        <v>43828.0</v>
      </c>
      <c r="X20" s="18"/>
      <c r="Y20" s="26"/>
      <c r="AA20" s="30">
        <v>1.0</v>
      </c>
      <c r="AB20" s="42" t="str">
        <f>IF($AI$18+7*(1-1)&gt;$A$38,"",TEXT($AI$18+7*(1-1),"m/d")&amp;"-"&amp;TEXT($AI$18+7*(1-1)+6,"m/d"))</f>
        <v>8/4-8/10</v>
      </c>
      <c r="AC20" s="29">
        <f>IF($AB20="","",(SUMIFS($G$8:$G$38,$A$8:$A$38,"&gt;="&amp;$AI$18+7*(1-1),$A$8:$A$38,"&lt;="&amp;$AI$18+7*(1-1)+6)+SUMIFS('2026年09月'!$G$8:$G$37,'2026年09月'!$A$8:$A$37,"&gt;="&amp;$AI$18+7*(1-1),'2026年09月'!$A$8:$A$37,"&lt;="&amp;$AI$18+7*(1-1)+6)))</f>
        <v>586951</v>
      </c>
      <c r="AD20" s="31">
        <f>IF($AB20="","",IFERROR((SUMIFS($M$8:$M$38,$A$8:$A$38,"&gt;="&amp;$AI$18+7*(1-1),$A$8:$A$38,"&lt;="&amp;$AI$18+7*(1-1)+6)+SUMIFS('2026年09月'!$M$8:$M$37,'2026年09月'!$A$8:$A$37,"&gt;="&amp;$AI$18+7*(1-1),'2026年09月'!$A$8:$A$37,"&lt;="&amp;$AI$18+7*(1-1)+6))/(SUMIFS($O$8:$O$38,$A$8:$A$38,"&gt;="&amp;$AI$18+7*(1-1),$A$8:$A$38,"&lt;="&amp;$AI$18+7*(1-1)+6)+SUMIFS('2026年09月'!$O$8:$O$37,'2026年09月'!$A$8:$A$37,"&gt;="&amp;$AI$18+7*(1-1),'2026年09月'!$A$8:$A$37,"&lt;="&amp;$AI$18+7*(1-1)+6)),""))</f>
        <v>0.2372881356</v>
      </c>
      <c r="AE20" s="29">
        <f>IF($AB20="","",IFERROR((SUMIFS($G$8:$G$38,$A$8:$A$38,"&gt;="&amp;$AI$18+7*(1-1),$A$8:$A$38,"&lt;="&amp;$AI$18+7*(1-1)+6)+SUMIFS('2026年09月'!$G$8:$G$37,'2026年09月'!$A$8:$A$37,"&gt;="&amp;$AI$18+7*(1-1),'2026年09月'!$A$8:$A$37,"&lt;="&amp;$AI$18+7*(1-1)+6))/(SUMIFS($M$8:$M$38,$A$8:$A$38,"&gt;="&amp;$AI$18+7*(1-1),$A$8:$A$38,"&lt;="&amp;$AI$18+7*(1-1)+6)+SUMIFS('2026年09月'!$M$8:$M$37,'2026年09月'!$A$8:$A$37,"&gt;="&amp;$AI$18+7*(1-1),'2026年09月'!$A$8:$A$37,"&lt;="&amp;$AI$18+7*(1-1)+6)),""))</f>
        <v>20962.53571</v>
      </c>
      <c r="AF20" s="43">
        <f>IF($AB20="","",IFERROR((SUMIFS($N$8:$N$38,$A$8:$A$38,"&gt;="&amp;$AI$18+7*(1-1),$A$8:$A$38,"&lt;="&amp;$AI$18+7*(1-1)+6)+SUMIFS('2026年09月'!$N$8:$N$37,'2026年09月'!$A$8:$A$37,"&gt;="&amp;$AI$18+7*(1-1),'2026年09月'!$A$8:$A$37,"&lt;="&amp;$AI$18+7*(1-1)+6))/(SUMIFS($M$8:$M$38,$A$8:$A$38,"&gt;="&amp;$AI$18+7*(1-1),$A$8:$A$38,"&lt;="&amp;$AI$18+7*(1-1)+6)+SUMIFS('2026年09月'!$M$8:$M$37,'2026年09月'!$A$8:$A$37,"&gt;="&amp;$AI$18+7*(1-1),'2026年09月'!$A$8:$A$37,"&lt;="&amp;$AI$18+7*(1-1)+6)),""))</f>
        <v>1</v>
      </c>
      <c r="AG20" s="31">
        <f>IF($AB20="","",IFERROR((SUMIFS($P$8:$P$38,$A$8:$A$38,"&gt;="&amp;$AI$18+7*(1-1),$A$8:$A$38,"&lt;="&amp;$AI$18+7*(1-1)+6)+SUMIFS('2026年09月'!$P$8:$P$37,'2026年09月'!$A$8:$A$37,"&gt;="&amp;$AI$18+7*(1-1),'2026年09月'!$A$8:$A$37,"&lt;="&amp;$AI$18+7*(1-1)+6))/(SUMIFS($O$8:$O$38,$A$8:$A$38,"&gt;="&amp;$AI$18+7*(1-1),$A$8:$A$38,"&lt;="&amp;$AI$18+7*(1-1)+6)+SUMIFS('2026年09月'!$O$8:$O$37,'2026年09月'!$A$8:$A$37,"&gt;="&amp;$AI$18+7*(1-1),'2026年09月'!$A$8:$A$37,"&lt;="&amp;$AI$18+7*(1-1)+6)),""))</f>
        <v>0.3305084746</v>
      </c>
    </row>
    <row r="21" ht="15.75" customHeight="1">
      <c r="A21" s="32">
        <v>46248.0</v>
      </c>
      <c r="B21" s="21" t="str">
        <f t="shared" si="2"/>
        <v>金</v>
      </c>
      <c r="C21" s="49">
        <v>640000.0</v>
      </c>
      <c r="D21" s="23">
        <f t="shared" si="3"/>
        <v>5680000</v>
      </c>
      <c r="E21" s="49">
        <v>46687.0</v>
      </c>
      <c r="F21" s="49">
        <v>98261.0</v>
      </c>
      <c r="G21" s="23">
        <f t="shared" si="4"/>
        <v>144948</v>
      </c>
      <c r="H21" s="23">
        <f t="shared" si="5"/>
        <v>1260608</v>
      </c>
      <c r="I21" s="25">
        <f t="shared" ref="I21:J21" si="28">IF(G21="","",IFERROR(G21/C21,""))</f>
        <v>0.22648125</v>
      </c>
      <c r="J21" s="25">
        <f t="shared" si="28"/>
        <v>0.2219380282</v>
      </c>
      <c r="K21" s="23">
        <f t="shared" si="7"/>
        <v>-4419392</v>
      </c>
      <c r="L21" s="33" t="str">
        <f t="shared" si="8"/>
        <v>▲ 遅れ</v>
      </c>
      <c r="M21" s="50">
        <v>8.0</v>
      </c>
      <c r="N21" s="50">
        <v>8.0</v>
      </c>
      <c r="O21" s="50">
        <v>21.0</v>
      </c>
      <c r="P21" s="50">
        <v>10.0</v>
      </c>
      <c r="Q21" s="50">
        <v>15.0</v>
      </c>
      <c r="R21" s="25">
        <f t="shared" si="9"/>
        <v>0.380952381</v>
      </c>
      <c r="S21" s="23">
        <f t="shared" si="10"/>
        <v>18118.5</v>
      </c>
      <c r="T21" s="34">
        <f t="shared" si="11"/>
        <v>1</v>
      </c>
      <c r="U21" s="25">
        <f t="shared" si="12"/>
        <v>0.4761904762</v>
      </c>
      <c r="V21" s="22"/>
      <c r="W21" s="50">
        <v>43824.0</v>
      </c>
      <c r="X21" s="18"/>
      <c r="Y21" s="26"/>
      <c r="AA21" s="30">
        <v>2.0</v>
      </c>
      <c r="AB21" s="42" t="str">
        <f>IF($AI$18+7*(2-1)&gt;$A$38,"",TEXT($AI$18+7*(2-1),"m/d")&amp;"-"&amp;TEXT($AI$18+7*(2-1)+6,"m/d"))</f>
        <v>8/11-8/17</v>
      </c>
      <c r="AC21" s="29">
        <f>IF($AB21="","",(SUMIFS($G$8:$G$38,$A$8:$A$38,"&gt;="&amp;$AI$18+7*(2-1),$A$8:$A$38,"&lt;="&amp;$AI$18+7*(2-1)+6)+SUMIFS('2026年09月'!$G$8:$G$37,'2026年09月'!$A$8:$A$37,"&gt;="&amp;$AI$18+7*(2-1),'2026年09月'!$A$8:$A$37,"&lt;="&amp;$AI$18+7*(2-1)+6)))</f>
        <v>685611</v>
      </c>
      <c r="AD21" s="31">
        <f>IF($AB21="","",IFERROR((SUMIFS($M$8:$M$38,$A$8:$A$38,"&gt;="&amp;$AI$18+7*(2-1),$A$8:$A$38,"&lt;="&amp;$AI$18+7*(2-1)+6)+SUMIFS('2026年09月'!$M$8:$M$37,'2026年09月'!$A$8:$A$37,"&gt;="&amp;$AI$18+7*(2-1),'2026年09月'!$A$8:$A$37,"&lt;="&amp;$AI$18+7*(2-1)+6))/(SUMIFS($O$8:$O$38,$A$8:$A$38,"&gt;="&amp;$AI$18+7*(2-1),$A$8:$A$38,"&lt;="&amp;$AI$18+7*(2-1)+6)+SUMIFS('2026年09月'!$O$8:$O$37,'2026年09月'!$A$8:$A$37,"&gt;="&amp;$AI$18+7*(2-1),'2026年09月'!$A$8:$A$37,"&lt;="&amp;$AI$18+7*(2-1)+6)),""))</f>
        <v>0.2384615385</v>
      </c>
      <c r="AE21" s="29">
        <f>IF($AB21="","",IFERROR((SUMIFS($G$8:$G$38,$A$8:$A$38,"&gt;="&amp;$AI$18+7*(2-1),$A$8:$A$38,"&lt;="&amp;$AI$18+7*(2-1)+6)+SUMIFS('2026年09月'!$G$8:$G$37,'2026年09月'!$A$8:$A$37,"&gt;="&amp;$AI$18+7*(2-1),'2026年09月'!$A$8:$A$37,"&lt;="&amp;$AI$18+7*(2-1)+6))/(SUMIFS($M$8:$M$38,$A$8:$A$38,"&gt;="&amp;$AI$18+7*(2-1),$A$8:$A$38,"&lt;="&amp;$AI$18+7*(2-1)+6)+SUMIFS('2026年09月'!$M$8:$M$37,'2026年09月'!$A$8:$A$37,"&gt;="&amp;$AI$18+7*(2-1),'2026年09月'!$A$8:$A$37,"&lt;="&amp;$AI$18+7*(2-1)+6)),""))</f>
        <v>22116.48387</v>
      </c>
      <c r="AF21" s="43">
        <f>IF($AB21="","",IFERROR((SUMIFS($N$8:$N$38,$A$8:$A$38,"&gt;="&amp;$AI$18+7*(2-1),$A$8:$A$38,"&lt;="&amp;$AI$18+7*(2-1)+6)+SUMIFS('2026年09月'!$N$8:$N$37,'2026年09月'!$A$8:$A$37,"&gt;="&amp;$AI$18+7*(2-1),'2026年09月'!$A$8:$A$37,"&lt;="&amp;$AI$18+7*(2-1)+6))/(SUMIFS($M$8:$M$38,$A$8:$A$38,"&gt;="&amp;$AI$18+7*(2-1),$A$8:$A$38,"&lt;="&amp;$AI$18+7*(2-1)+6)+SUMIFS('2026年09月'!$M$8:$M$37,'2026年09月'!$A$8:$A$37,"&gt;="&amp;$AI$18+7*(2-1),'2026年09月'!$A$8:$A$37,"&lt;="&amp;$AI$18+7*(2-1)+6)),""))</f>
        <v>1.096774194</v>
      </c>
      <c r="AG21" s="31">
        <f>IF($AB21="","",IFERROR((SUMIFS($P$8:$P$38,$A$8:$A$38,"&gt;="&amp;$AI$18+7*(2-1),$A$8:$A$38,"&lt;="&amp;$AI$18+7*(2-1)+6)+SUMIFS('2026年09月'!$P$8:$P$37,'2026年09月'!$A$8:$A$37,"&gt;="&amp;$AI$18+7*(2-1),'2026年09月'!$A$8:$A$37,"&lt;="&amp;$AI$18+7*(2-1)+6))/(SUMIFS($O$8:$O$38,$A$8:$A$38,"&gt;="&amp;$AI$18+7*(2-1),$A$8:$A$38,"&lt;="&amp;$AI$18+7*(2-1)+6)+SUMIFS('2026年09月'!$O$8:$O$37,'2026年09月'!$A$8:$A$37,"&gt;="&amp;$AI$18+7*(2-1),'2026年09月'!$A$8:$A$37,"&lt;="&amp;$AI$18+7*(2-1)+6)),""))</f>
        <v>0.4</v>
      </c>
    </row>
    <row r="22" ht="15.75" customHeight="1">
      <c r="A22" s="16">
        <v>46249.0</v>
      </c>
      <c r="B22" s="13" t="str">
        <f t="shared" si="2"/>
        <v>土</v>
      </c>
      <c r="C22" s="49">
        <v>640000.0</v>
      </c>
      <c r="D22" s="15">
        <f t="shared" si="3"/>
        <v>6320000</v>
      </c>
      <c r="E22" s="49">
        <v>19910.0</v>
      </c>
      <c r="F22" s="49">
        <v>53730.0</v>
      </c>
      <c r="G22" s="15">
        <f t="shared" si="4"/>
        <v>73640</v>
      </c>
      <c r="H22" s="15">
        <f t="shared" si="5"/>
        <v>1334248</v>
      </c>
      <c r="I22" s="17">
        <f t="shared" ref="I22:J22" si="29">IF(G22="","",IFERROR(G22/C22,""))</f>
        <v>0.1150625</v>
      </c>
      <c r="J22" s="17">
        <f t="shared" si="29"/>
        <v>0.2111151899</v>
      </c>
      <c r="K22" s="15">
        <f t="shared" si="7"/>
        <v>-4985752</v>
      </c>
      <c r="L22" s="20" t="str">
        <f t="shared" si="8"/>
        <v>▲ 遅れ</v>
      </c>
      <c r="M22" s="50">
        <v>5.0</v>
      </c>
      <c r="N22" s="50">
        <v>6.0</v>
      </c>
      <c r="O22" s="50">
        <v>19.0</v>
      </c>
      <c r="P22" s="50">
        <v>6.0</v>
      </c>
      <c r="Q22" s="50">
        <v>9.0</v>
      </c>
      <c r="R22" s="17">
        <f t="shared" si="9"/>
        <v>0.2631578947</v>
      </c>
      <c r="S22" s="15">
        <f t="shared" si="10"/>
        <v>14728</v>
      </c>
      <c r="T22" s="24">
        <f t="shared" si="11"/>
        <v>1.2</v>
      </c>
      <c r="U22" s="17">
        <f t="shared" si="12"/>
        <v>0.3157894737</v>
      </c>
      <c r="V22" s="22"/>
      <c r="W22" s="50">
        <v>43805.0</v>
      </c>
      <c r="X22" s="18"/>
      <c r="Y22" s="26"/>
      <c r="AA22" s="30">
        <v>3.0</v>
      </c>
      <c r="AB22" s="42" t="str">
        <f>IF($AI$18+7*(3-1)&gt;$A$38,"",TEXT($AI$18+7*(3-1),"m/d")&amp;"-"&amp;TEXT($AI$18+7*(3-1)+6,"m/d"))</f>
        <v>8/18-8/24</v>
      </c>
      <c r="AC22" s="29">
        <f>IF($AB22="","",(SUMIFS($G$8:$G$38,$A$8:$A$38,"&gt;="&amp;$AI$18+7*(3-1),$A$8:$A$38,"&lt;="&amp;$AI$18+7*(3-1)+6)+SUMIFS('2026年09月'!$G$8:$G$37,'2026年09月'!$A$8:$A$37,"&gt;="&amp;$AI$18+7*(3-1),'2026年09月'!$A$8:$A$37,"&lt;="&amp;$AI$18+7*(3-1)+6)))</f>
        <v>738110</v>
      </c>
      <c r="AD22" s="31">
        <f>IF($AB22="","",IFERROR((SUMIFS($M$8:$M$38,$A$8:$A$38,"&gt;="&amp;$AI$18+7*(3-1),$A$8:$A$38,"&lt;="&amp;$AI$18+7*(3-1)+6)+SUMIFS('2026年09月'!$M$8:$M$37,'2026年09月'!$A$8:$A$37,"&gt;="&amp;$AI$18+7*(3-1),'2026年09月'!$A$8:$A$37,"&lt;="&amp;$AI$18+7*(3-1)+6))/(SUMIFS($O$8:$O$38,$A$8:$A$38,"&gt;="&amp;$AI$18+7*(3-1),$A$8:$A$38,"&lt;="&amp;$AI$18+7*(3-1)+6)+SUMIFS('2026年09月'!$O$8:$O$37,'2026年09月'!$A$8:$A$37,"&gt;="&amp;$AI$18+7*(3-1),'2026年09月'!$A$8:$A$37,"&lt;="&amp;$AI$18+7*(3-1)+6)),""))</f>
        <v>0.3119266055</v>
      </c>
      <c r="AE22" s="29">
        <f>IF($AB22="","",IFERROR((SUMIFS($G$8:$G$38,$A$8:$A$38,"&gt;="&amp;$AI$18+7*(3-1),$A$8:$A$38,"&lt;="&amp;$AI$18+7*(3-1)+6)+SUMIFS('2026年09月'!$G$8:$G$37,'2026年09月'!$A$8:$A$37,"&gt;="&amp;$AI$18+7*(3-1),'2026年09月'!$A$8:$A$37,"&lt;="&amp;$AI$18+7*(3-1)+6))/(SUMIFS($M$8:$M$38,$A$8:$A$38,"&gt;="&amp;$AI$18+7*(3-1),$A$8:$A$38,"&lt;="&amp;$AI$18+7*(3-1)+6)+SUMIFS('2026年09月'!$M$8:$M$37,'2026年09月'!$A$8:$A$37,"&gt;="&amp;$AI$18+7*(3-1),'2026年09月'!$A$8:$A$37,"&lt;="&amp;$AI$18+7*(3-1)+6)),""))</f>
        <v>21709.11765</v>
      </c>
      <c r="AF22" s="43">
        <f>IF($AB22="","",IFERROR((SUMIFS($N$8:$N$38,$A$8:$A$38,"&gt;="&amp;$AI$18+7*(3-1),$A$8:$A$38,"&lt;="&amp;$AI$18+7*(3-1)+6)+SUMIFS('2026年09月'!$N$8:$N$37,'2026年09月'!$A$8:$A$37,"&gt;="&amp;$AI$18+7*(3-1),'2026年09月'!$A$8:$A$37,"&lt;="&amp;$AI$18+7*(3-1)+6))/(SUMIFS($M$8:$M$38,$A$8:$A$38,"&gt;="&amp;$AI$18+7*(3-1),$A$8:$A$38,"&lt;="&amp;$AI$18+7*(3-1)+6)+SUMIFS('2026年09月'!$M$8:$M$37,'2026年09月'!$A$8:$A$37,"&gt;="&amp;$AI$18+7*(3-1),'2026年09月'!$A$8:$A$37,"&lt;="&amp;$AI$18+7*(3-1)+6)),""))</f>
        <v>1.264705882</v>
      </c>
      <c r="AG22" s="31">
        <f>IF($AB22="","",IFERROR((SUMIFS($P$8:$P$38,$A$8:$A$38,"&gt;="&amp;$AI$18+7*(3-1),$A$8:$A$38,"&lt;="&amp;$AI$18+7*(3-1)+6)+SUMIFS('2026年09月'!$P$8:$P$37,'2026年09月'!$A$8:$A$37,"&gt;="&amp;$AI$18+7*(3-1),'2026年09月'!$A$8:$A$37,"&lt;="&amp;$AI$18+7*(3-1)+6))/(SUMIFS($O$8:$O$38,$A$8:$A$38,"&gt;="&amp;$AI$18+7*(3-1),$A$8:$A$38,"&lt;="&amp;$AI$18+7*(3-1)+6)+SUMIFS('2026年09月'!$O$8:$O$37,'2026年09月'!$A$8:$A$37,"&gt;="&amp;$AI$18+7*(3-1),'2026年09月'!$A$8:$A$37,"&lt;="&amp;$AI$18+7*(3-1)+6)),""))</f>
        <v>0.4403669725</v>
      </c>
    </row>
    <row r="23" ht="15.75" customHeight="1">
      <c r="A23" s="32">
        <v>46250.0</v>
      </c>
      <c r="B23" s="21" t="str">
        <f t="shared" si="2"/>
        <v>日</v>
      </c>
      <c r="C23" s="49">
        <v>640000.0</v>
      </c>
      <c r="D23" s="23">
        <f t="shared" si="3"/>
        <v>6960000</v>
      </c>
      <c r="E23" s="49">
        <v>0.0</v>
      </c>
      <c r="F23" s="49">
        <v>102411.0</v>
      </c>
      <c r="G23" s="23">
        <f t="shared" si="4"/>
        <v>102411</v>
      </c>
      <c r="H23" s="23">
        <f t="shared" si="5"/>
        <v>1436659</v>
      </c>
      <c r="I23" s="25">
        <f t="shared" ref="I23:J23" si="30">IF(G23="","",IFERROR(G23/C23,""))</f>
        <v>0.1600171875</v>
      </c>
      <c r="J23" s="25">
        <f t="shared" si="30"/>
        <v>0.206416523</v>
      </c>
      <c r="K23" s="23">
        <f t="shared" si="7"/>
        <v>-5523341</v>
      </c>
      <c r="L23" s="33" t="str">
        <f t="shared" si="8"/>
        <v>▲ 遅れ</v>
      </c>
      <c r="M23" s="50">
        <v>4.0</v>
      </c>
      <c r="N23" s="50">
        <v>4.0</v>
      </c>
      <c r="O23" s="50">
        <v>10.0</v>
      </c>
      <c r="P23" s="50">
        <v>6.0</v>
      </c>
      <c r="Q23" s="50">
        <v>10.0</v>
      </c>
      <c r="R23" s="25">
        <f t="shared" si="9"/>
        <v>0.4</v>
      </c>
      <c r="S23" s="23">
        <f t="shared" si="10"/>
        <v>25602.75</v>
      </c>
      <c r="T23" s="34">
        <f t="shared" si="11"/>
        <v>1</v>
      </c>
      <c r="U23" s="25">
        <f t="shared" si="12"/>
        <v>0.6</v>
      </c>
      <c r="V23" s="22"/>
      <c r="W23" s="50">
        <v>43786.0</v>
      </c>
      <c r="X23" s="18"/>
      <c r="Y23" s="26"/>
      <c r="AA23" s="30">
        <v>4.0</v>
      </c>
      <c r="AB23" s="42" t="str">
        <f>IF($AI$18+7*(4-1)&gt;$A$38,"",TEXT($AI$18+7*(4-1),"m/d")&amp;"-"&amp;TEXT($AI$18+7*(4-1)+6,"m/d"))</f>
        <v>8/25-8/31</v>
      </c>
      <c r="AC23" s="29">
        <f>IF($AB23="","",(SUMIFS($G$8:$G$38,$A$8:$A$38,"&gt;="&amp;$AI$18+7*(4-1),$A$8:$A$38,"&lt;="&amp;$AI$18+7*(4-1)+6)+SUMIFS('2026年09月'!$G$8:$G$37,'2026年09月'!$A$8:$A$37,"&gt;="&amp;$AI$18+7*(4-1),'2026年09月'!$A$8:$A$37,"&lt;="&amp;$AI$18+7*(4-1)+6)))</f>
        <v>232261</v>
      </c>
      <c r="AD23" s="31">
        <f>IF($AB23="","",IFERROR((SUMIFS($M$8:$M$38,$A$8:$A$38,"&gt;="&amp;$AI$18+7*(4-1),$A$8:$A$38,"&lt;="&amp;$AI$18+7*(4-1)+6)+SUMIFS('2026年09月'!$M$8:$M$37,'2026年09月'!$A$8:$A$37,"&gt;="&amp;$AI$18+7*(4-1),'2026年09月'!$A$8:$A$37,"&lt;="&amp;$AI$18+7*(4-1)+6))/(SUMIFS($O$8:$O$38,$A$8:$A$38,"&gt;="&amp;$AI$18+7*(4-1),$A$8:$A$38,"&lt;="&amp;$AI$18+7*(4-1)+6)+SUMIFS('2026年09月'!$O$8:$O$37,'2026年09月'!$A$8:$A$37,"&gt;="&amp;$AI$18+7*(4-1),'2026年09月'!$A$8:$A$37,"&lt;="&amp;$AI$18+7*(4-1)+6)),""))</f>
        <v>0.1791044776</v>
      </c>
      <c r="AE23" s="29">
        <f>IF($AB23="","",IFERROR((SUMIFS($G$8:$G$38,$A$8:$A$38,"&gt;="&amp;$AI$18+7*(4-1),$A$8:$A$38,"&lt;="&amp;$AI$18+7*(4-1)+6)+SUMIFS('2026年09月'!$G$8:$G$37,'2026年09月'!$A$8:$A$37,"&gt;="&amp;$AI$18+7*(4-1),'2026年09月'!$A$8:$A$37,"&lt;="&amp;$AI$18+7*(4-1)+6))/(SUMIFS($M$8:$M$38,$A$8:$A$38,"&gt;="&amp;$AI$18+7*(4-1),$A$8:$A$38,"&lt;="&amp;$AI$18+7*(4-1)+6)+SUMIFS('2026年09月'!$M$8:$M$37,'2026年09月'!$A$8:$A$37,"&gt;="&amp;$AI$18+7*(4-1),'2026年09月'!$A$8:$A$37,"&lt;="&amp;$AI$18+7*(4-1)+6)),""))</f>
        <v>19355.08333</v>
      </c>
      <c r="AF23" s="43">
        <f>IF($AB23="","",IFERROR((SUMIFS($N$8:$N$38,$A$8:$A$38,"&gt;="&amp;$AI$18+7*(4-1),$A$8:$A$38,"&lt;="&amp;$AI$18+7*(4-1)+6)+SUMIFS('2026年09月'!$N$8:$N$37,'2026年09月'!$A$8:$A$37,"&gt;="&amp;$AI$18+7*(4-1),'2026年09月'!$A$8:$A$37,"&lt;="&amp;$AI$18+7*(4-1)+6))/(SUMIFS($M$8:$M$38,$A$8:$A$38,"&gt;="&amp;$AI$18+7*(4-1),$A$8:$A$38,"&lt;="&amp;$AI$18+7*(4-1)+6)+SUMIFS('2026年09月'!$M$8:$M$37,'2026年09月'!$A$8:$A$37,"&gt;="&amp;$AI$18+7*(4-1),'2026年09月'!$A$8:$A$37,"&lt;="&amp;$AI$18+7*(4-1)+6)),""))</f>
        <v>1</v>
      </c>
      <c r="AG23" s="31">
        <f>IF($AB23="","",IFERROR((SUMIFS($P$8:$P$38,$A$8:$A$38,"&gt;="&amp;$AI$18+7*(4-1),$A$8:$A$38,"&lt;="&amp;$AI$18+7*(4-1)+6)+SUMIFS('2026年09月'!$P$8:$P$37,'2026年09月'!$A$8:$A$37,"&gt;="&amp;$AI$18+7*(4-1),'2026年09月'!$A$8:$A$37,"&lt;="&amp;$AI$18+7*(4-1)+6))/(SUMIFS($O$8:$O$38,$A$8:$A$38,"&gt;="&amp;$AI$18+7*(4-1),$A$8:$A$38,"&lt;="&amp;$AI$18+7*(4-1)+6)+SUMIFS('2026年09月'!$O$8:$O$37,'2026年09月'!$A$8:$A$37,"&gt;="&amp;$AI$18+7*(4-1),'2026年09月'!$A$8:$A$37,"&lt;="&amp;$AI$18+7*(4-1)+6)),""))</f>
        <v>0.3134328358</v>
      </c>
    </row>
    <row r="24" ht="15.75" customHeight="1">
      <c r="A24" s="16">
        <v>46251.0</v>
      </c>
      <c r="B24" s="13" t="str">
        <f t="shared" si="2"/>
        <v>月</v>
      </c>
      <c r="C24" s="49">
        <v>300000.0</v>
      </c>
      <c r="D24" s="15">
        <f t="shared" si="3"/>
        <v>7260000</v>
      </c>
      <c r="E24" s="49">
        <v>65090.0</v>
      </c>
      <c r="F24" s="49">
        <v>75390.0</v>
      </c>
      <c r="G24" s="15">
        <f t="shared" si="4"/>
        <v>140480</v>
      </c>
      <c r="H24" s="15">
        <f t="shared" si="5"/>
        <v>1577139</v>
      </c>
      <c r="I24" s="17">
        <f t="shared" ref="I24:J24" si="31">IF(G24="","",IFERROR(G24/C24,""))</f>
        <v>0.4682666667</v>
      </c>
      <c r="J24" s="17">
        <f t="shared" si="31"/>
        <v>0.2172367769</v>
      </c>
      <c r="K24" s="15">
        <f t="shared" si="7"/>
        <v>-5682861</v>
      </c>
      <c r="L24" s="20" t="str">
        <f t="shared" si="8"/>
        <v>▲ 遅れ</v>
      </c>
      <c r="M24" s="50">
        <v>5.0</v>
      </c>
      <c r="N24" s="50">
        <v>6.0</v>
      </c>
      <c r="O24" s="50">
        <v>21.0</v>
      </c>
      <c r="P24" s="50">
        <v>9.0</v>
      </c>
      <c r="Q24" s="50">
        <v>15.0</v>
      </c>
      <c r="R24" s="17">
        <f t="shared" si="9"/>
        <v>0.2380952381</v>
      </c>
      <c r="S24" s="15">
        <f t="shared" si="10"/>
        <v>28096</v>
      </c>
      <c r="T24" s="24">
        <f t="shared" si="11"/>
        <v>1.2</v>
      </c>
      <c r="U24" s="17">
        <f t="shared" si="12"/>
        <v>0.4285714286</v>
      </c>
      <c r="V24" s="22"/>
      <c r="W24" s="22"/>
      <c r="X24" s="18"/>
      <c r="Y24" s="26"/>
      <c r="AA24" s="30">
        <v>5.0</v>
      </c>
      <c r="AB24" s="42" t="str">
        <f>IF($AI$18+7*(5-1)&gt;$A$38,"",TEXT($AI$18+7*(5-1),"m/d")&amp;"-"&amp;TEXT($AI$18+7*(5-1)+6,"m/d"))</f>
        <v/>
      </c>
      <c r="AC24" s="29" t="str">
        <f>IF($AB24="","",(SUMIFS($G$8:$G$38,$A$8:$A$38,"&gt;="&amp;$AI$18+7*(5-1),$A$8:$A$38,"&lt;="&amp;$AI$18+7*(5-1)+6)+SUMIFS('2026年09月'!$G$8:$G$37,'2026年09月'!$A$8:$A$37,"&gt;="&amp;$AI$18+7*(5-1),'2026年09月'!$A$8:$A$37,"&lt;="&amp;$AI$18+7*(5-1)+6)))</f>
        <v/>
      </c>
      <c r="AD24" s="31" t="str">
        <f>IF($AB24="","",IFERROR((SUMIFS($M$8:$M$38,$A$8:$A$38,"&gt;="&amp;$AI$18+7*(5-1),$A$8:$A$38,"&lt;="&amp;$AI$18+7*(5-1)+6)+SUMIFS('2026年09月'!$M$8:$M$37,'2026年09月'!$A$8:$A$37,"&gt;="&amp;$AI$18+7*(5-1),'2026年09月'!$A$8:$A$37,"&lt;="&amp;$AI$18+7*(5-1)+6))/(SUMIFS($O$8:$O$38,$A$8:$A$38,"&gt;="&amp;$AI$18+7*(5-1),$A$8:$A$38,"&lt;="&amp;$AI$18+7*(5-1)+6)+SUMIFS('2026年09月'!$O$8:$O$37,'2026年09月'!$A$8:$A$37,"&gt;="&amp;$AI$18+7*(5-1),'2026年09月'!$A$8:$A$37,"&lt;="&amp;$AI$18+7*(5-1)+6)),""))</f>
        <v/>
      </c>
      <c r="AE24" s="29" t="str">
        <f>IF($AB24="","",IFERROR((SUMIFS($G$8:$G$38,$A$8:$A$38,"&gt;="&amp;$AI$18+7*(5-1),$A$8:$A$38,"&lt;="&amp;$AI$18+7*(5-1)+6)+SUMIFS('2026年09月'!$G$8:$G$37,'2026年09月'!$A$8:$A$37,"&gt;="&amp;$AI$18+7*(5-1),'2026年09月'!$A$8:$A$37,"&lt;="&amp;$AI$18+7*(5-1)+6))/(SUMIFS($M$8:$M$38,$A$8:$A$38,"&gt;="&amp;$AI$18+7*(5-1),$A$8:$A$38,"&lt;="&amp;$AI$18+7*(5-1)+6)+SUMIFS('2026年09月'!$M$8:$M$37,'2026年09月'!$A$8:$A$37,"&gt;="&amp;$AI$18+7*(5-1),'2026年09月'!$A$8:$A$37,"&lt;="&amp;$AI$18+7*(5-1)+6)),""))</f>
        <v/>
      </c>
      <c r="AF24" s="43" t="str">
        <f>IF($AB24="","",IFERROR((SUMIFS($N$8:$N$38,$A$8:$A$38,"&gt;="&amp;$AI$18+7*(5-1),$A$8:$A$38,"&lt;="&amp;$AI$18+7*(5-1)+6)+SUMIFS('2026年09月'!$N$8:$N$37,'2026年09月'!$A$8:$A$37,"&gt;="&amp;$AI$18+7*(5-1),'2026年09月'!$A$8:$A$37,"&lt;="&amp;$AI$18+7*(5-1)+6))/(SUMIFS($M$8:$M$38,$A$8:$A$38,"&gt;="&amp;$AI$18+7*(5-1),$A$8:$A$38,"&lt;="&amp;$AI$18+7*(5-1)+6)+SUMIFS('2026年09月'!$M$8:$M$37,'2026年09月'!$A$8:$A$37,"&gt;="&amp;$AI$18+7*(5-1),'2026年09月'!$A$8:$A$37,"&lt;="&amp;$AI$18+7*(5-1)+6)),""))</f>
        <v/>
      </c>
      <c r="AG24" s="31" t="str">
        <f>IF($AB24="","",IFERROR((SUMIFS($P$8:$P$38,$A$8:$A$38,"&gt;="&amp;$AI$18+7*(5-1),$A$8:$A$38,"&lt;="&amp;$AI$18+7*(5-1)+6)+SUMIFS('2026年09月'!$P$8:$P$37,'2026年09月'!$A$8:$A$37,"&gt;="&amp;$AI$18+7*(5-1),'2026年09月'!$A$8:$A$37,"&lt;="&amp;$AI$18+7*(5-1)+6))/(SUMIFS($O$8:$O$38,$A$8:$A$38,"&gt;="&amp;$AI$18+7*(5-1),$A$8:$A$38,"&lt;="&amp;$AI$18+7*(5-1)+6)+SUMIFS('2026年09月'!$O$8:$O$37,'2026年09月'!$A$8:$A$37,"&gt;="&amp;$AI$18+7*(5-1),'2026年09月'!$A$8:$A$37,"&lt;="&amp;$AI$18+7*(5-1)+6)),""))</f>
        <v/>
      </c>
    </row>
    <row r="25" ht="15.75" customHeight="1">
      <c r="A25" s="32">
        <v>46252.0</v>
      </c>
      <c r="B25" s="21" t="str">
        <f t="shared" si="2"/>
        <v>火</v>
      </c>
      <c r="C25" s="49">
        <v>300000.0</v>
      </c>
      <c r="D25" s="23">
        <f t="shared" si="3"/>
        <v>7560000</v>
      </c>
      <c r="E25" s="49">
        <v>0.0</v>
      </c>
      <c r="F25" s="49">
        <v>42467.0</v>
      </c>
      <c r="G25" s="23">
        <f t="shared" si="4"/>
        <v>42467</v>
      </c>
      <c r="H25" s="23">
        <f t="shared" si="5"/>
        <v>1619606</v>
      </c>
      <c r="I25" s="25">
        <f t="shared" ref="I25:J25" si="32">IF(G25="","",IFERROR(G25/C25,""))</f>
        <v>0.1415566667</v>
      </c>
      <c r="J25" s="25">
        <f t="shared" si="32"/>
        <v>0.2142335979</v>
      </c>
      <c r="K25" s="23">
        <f t="shared" si="7"/>
        <v>-5940394</v>
      </c>
      <c r="L25" s="33" t="str">
        <f t="shared" si="8"/>
        <v>▲ 遅れ</v>
      </c>
      <c r="M25" s="50">
        <v>2.0</v>
      </c>
      <c r="N25" s="50">
        <v>3.0</v>
      </c>
      <c r="O25" s="50">
        <v>16.0</v>
      </c>
      <c r="P25" s="50">
        <v>4.0</v>
      </c>
      <c r="Q25" s="50">
        <v>5.0</v>
      </c>
      <c r="R25" s="25">
        <f t="shared" si="9"/>
        <v>0.125</v>
      </c>
      <c r="S25" s="23">
        <f t="shared" si="10"/>
        <v>21233.5</v>
      </c>
      <c r="T25" s="34">
        <f t="shared" si="11"/>
        <v>1.5</v>
      </c>
      <c r="U25" s="25">
        <f t="shared" si="12"/>
        <v>0.25</v>
      </c>
      <c r="V25" s="22"/>
      <c r="W25" s="50">
        <v>43764.0</v>
      </c>
      <c r="X25" s="18"/>
      <c r="Y25" s="26"/>
      <c r="AA25" s="30">
        <v>6.0</v>
      </c>
      <c r="AB25" s="42" t="str">
        <f>IF($AI$18+7*(6-1)&gt;$A$38,"",TEXT($AI$18+7*(6-1),"m/d")&amp;"-"&amp;TEXT($AI$18+7*(6-1)+6,"m/d"))</f>
        <v/>
      </c>
      <c r="AC25" s="29" t="str">
        <f>IF($AB25="","",(SUMIFS($G$8:$G$38,$A$8:$A$38,"&gt;="&amp;$AI$18+7*(6-1),$A$8:$A$38,"&lt;="&amp;$AI$18+7*(6-1)+6)+SUMIFS('2026年09月'!$G$8:$G$37,'2026年09月'!$A$8:$A$37,"&gt;="&amp;$AI$18+7*(6-1),'2026年09月'!$A$8:$A$37,"&lt;="&amp;$AI$18+7*(6-1)+6)))</f>
        <v/>
      </c>
      <c r="AD25" s="31" t="str">
        <f>IF($AB25="","",IFERROR((SUMIFS($M$8:$M$38,$A$8:$A$38,"&gt;="&amp;$AI$18+7*(6-1),$A$8:$A$38,"&lt;="&amp;$AI$18+7*(6-1)+6)+SUMIFS('2026年09月'!$M$8:$M$37,'2026年09月'!$A$8:$A$37,"&gt;="&amp;$AI$18+7*(6-1),'2026年09月'!$A$8:$A$37,"&lt;="&amp;$AI$18+7*(6-1)+6))/(SUMIFS($O$8:$O$38,$A$8:$A$38,"&gt;="&amp;$AI$18+7*(6-1),$A$8:$A$38,"&lt;="&amp;$AI$18+7*(6-1)+6)+SUMIFS('2026年09月'!$O$8:$O$37,'2026年09月'!$A$8:$A$37,"&gt;="&amp;$AI$18+7*(6-1),'2026年09月'!$A$8:$A$37,"&lt;="&amp;$AI$18+7*(6-1)+6)),""))</f>
        <v/>
      </c>
      <c r="AE25" s="29" t="str">
        <f>IF($AB25="","",IFERROR((SUMIFS($G$8:$G$38,$A$8:$A$38,"&gt;="&amp;$AI$18+7*(6-1),$A$8:$A$38,"&lt;="&amp;$AI$18+7*(6-1)+6)+SUMIFS('2026年09月'!$G$8:$G$37,'2026年09月'!$A$8:$A$37,"&gt;="&amp;$AI$18+7*(6-1),'2026年09月'!$A$8:$A$37,"&lt;="&amp;$AI$18+7*(6-1)+6))/(SUMIFS($M$8:$M$38,$A$8:$A$38,"&gt;="&amp;$AI$18+7*(6-1),$A$8:$A$38,"&lt;="&amp;$AI$18+7*(6-1)+6)+SUMIFS('2026年09月'!$M$8:$M$37,'2026年09月'!$A$8:$A$37,"&gt;="&amp;$AI$18+7*(6-1),'2026年09月'!$A$8:$A$37,"&lt;="&amp;$AI$18+7*(6-1)+6)),""))</f>
        <v/>
      </c>
      <c r="AF25" s="43" t="str">
        <f>IF($AB25="","",IFERROR((SUMIFS($N$8:$N$38,$A$8:$A$38,"&gt;="&amp;$AI$18+7*(6-1),$A$8:$A$38,"&lt;="&amp;$AI$18+7*(6-1)+6)+SUMIFS('2026年09月'!$N$8:$N$37,'2026年09月'!$A$8:$A$37,"&gt;="&amp;$AI$18+7*(6-1),'2026年09月'!$A$8:$A$37,"&lt;="&amp;$AI$18+7*(6-1)+6))/(SUMIFS($M$8:$M$38,$A$8:$A$38,"&gt;="&amp;$AI$18+7*(6-1),$A$8:$A$38,"&lt;="&amp;$AI$18+7*(6-1)+6)+SUMIFS('2026年09月'!$M$8:$M$37,'2026年09月'!$A$8:$A$37,"&gt;="&amp;$AI$18+7*(6-1),'2026年09月'!$A$8:$A$37,"&lt;="&amp;$AI$18+7*(6-1)+6)),""))</f>
        <v/>
      </c>
      <c r="AG25" s="31" t="str">
        <f>IF($AB25="","",IFERROR((SUMIFS($P$8:$P$38,$A$8:$A$38,"&gt;="&amp;$AI$18+7*(6-1),$A$8:$A$38,"&lt;="&amp;$AI$18+7*(6-1)+6)+SUMIFS('2026年09月'!$P$8:$P$37,'2026年09月'!$A$8:$A$37,"&gt;="&amp;$AI$18+7*(6-1),'2026年09月'!$A$8:$A$37,"&lt;="&amp;$AI$18+7*(6-1)+6))/(SUMIFS($O$8:$O$38,$A$8:$A$38,"&gt;="&amp;$AI$18+7*(6-1),$A$8:$A$38,"&lt;="&amp;$AI$18+7*(6-1)+6)+SUMIFS('2026年09月'!$O$8:$O$37,'2026年09月'!$A$8:$A$37,"&gt;="&amp;$AI$18+7*(6-1),'2026年09月'!$A$8:$A$37,"&lt;="&amp;$AI$18+7*(6-1)+6)),""))</f>
        <v/>
      </c>
    </row>
    <row r="26" ht="15.75" customHeight="1">
      <c r="A26" s="16">
        <v>46253.0</v>
      </c>
      <c r="B26" s="13" t="str">
        <f t="shared" si="2"/>
        <v>水</v>
      </c>
      <c r="C26" s="49">
        <v>300000.0</v>
      </c>
      <c r="D26" s="15">
        <f t="shared" si="3"/>
        <v>7860000</v>
      </c>
      <c r="E26" s="49">
        <v>72028.0</v>
      </c>
      <c r="F26" s="49">
        <v>65285.0</v>
      </c>
      <c r="G26" s="15">
        <f t="shared" si="4"/>
        <v>137313</v>
      </c>
      <c r="H26" s="15">
        <f t="shared" si="5"/>
        <v>1756919</v>
      </c>
      <c r="I26" s="17">
        <f t="shared" ref="I26:J26" si="33">IF(G26="","",IFERROR(G26/C26,""))</f>
        <v>0.45771</v>
      </c>
      <c r="J26" s="17">
        <f t="shared" si="33"/>
        <v>0.2235265903</v>
      </c>
      <c r="K26" s="15">
        <f t="shared" si="7"/>
        <v>-6103081</v>
      </c>
      <c r="L26" s="20" t="str">
        <f t="shared" si="8"/>
        <v>▲ 遅れ</v>
      </c>
      <c r="M26" s="50">
        <v>6.0</v>
      </c>
      <c r="N26" s="50">
        <v>7.0</v>
      </c>
      <c r="O26" s="50">
        <v>12.0</v>
      </c>
      <c r="P26" s="50">
        <v>7.0</v>
      </c>
      <c r="Q26" s="50">
        <v>10.0</v>
      </c>
      <c r="R26" s="17">
        <f t="shared" si="9"/>
        <v>0.5</v>
      </c>
      <c r="S26" s="15">
        <f t="shared" si="10"/>
        <v>22885.5</v>
      </c>
      <c r="T26" s="24">
        <f t="shared" si="11"/>
        <v>1.166666667</v>
      </c>
      <c r="U26" s="17">
        <f t="shared" si="12"/>
        <v>0.5833333333</v>
      </c>
      <c r="V26" s="22"/>
      <c r="W26" s="50">
        <v>43764.0</v>
      </c>
      <c r="X26" s="18"/>
      <c r="Y26" s="26"/>
      <c r="AA26" s="35" t="s">
        <v>120</v>
      </c>
    </row>
    <row r="27" ht="15.75" customHeight="1">
      <c r="A27" s="32">
        <v>46254.0</v>
      </c>
      <c r="B27" s="21" t="str">
        <f t="shared" si="2"/>
        <v>木</v>
      </c>
      <c r="C27" s="49">
        <v>300000.0</v>
      </c>
      <c r="D27" s="23">
        <f t="shared" si="3"/>
        <v>8160000</v>
      </c>
      <c r="E27" s="49">
        <v>17930.0</v>
      </c>
      <c r="F27" s="49">
        <v>161301.0</v>
      </c>
      <c r="G27" s="23">
        <f t="shared" si="4"/>
        <v>179231</v>
      </c>
      <c r="H27" s="23">
        <f t="shared" si="5"/>
        <v>1936150</v>
      </c>
      <c r="I27" s="25">
        <f t="shared" ref="I27:J27" si="34">IF(G27="","",IFERROR(G27/C27,""))</f>
        <v>0.5974366667</v>
      </c>
      <c r="J27" s="25">
        <f t="shared" si="34"/>
        <v>0.2372732843</v>
      </c>
      <c r="K27" s="23">
        <f t="shared" si="7"/>
        <v>-6223850</v>
      </c>
      <c r="L27" s="33" t="str">
        <f t="shared" si="8"/>
        <v>▲ 遅れ</v>
      </c>
      <c r="M27" s="50">
        <v>8.0</v>
      </c>
      <c r="N27" s="50">
        <v>10.0</v>
      </c>
      <c r="O27" s="50">
        <v>24.0</v>
      </c>
      <c r="P27" s="50">
        <v>12.0</v>
      </c>
      <c r="Q27" s="50">
        <v>15.0</v>
      </c>
      <c r="R27" s="25">
        <f t="shared" si="9"/>
        <v>0.3333333333</v>
      </c>
      <c r="S27" s="23">
        <f t="shared" si="10"/>
        <v>22403.875</v>
      </c>
      <c r="T27" s="34">
        <f t="shared" si="11"/>
        <v>1.25</v>
      </c>
      <c r="U27" s="25">
        <f t="shared" si="12"/>
        <v>0.5</v>
      </c>
      <c r="V27" s="22"/>
      <c r="W27" s="50">
        <v>43747.0</v>
      </c>
      <c r="X27" s="18"/>
      <c r="Y27" s="26"/>
      <c r="AA27" s="35" t="s">
        <v>121</v>
      </c>
    </row>
    <row r="28" ht="15.75" customHeight="1">
      <c r="A28" s="16">
        <v>46255.0</v>
      </c>
      <c r="B28" s="13" t="str">
        <f t="shared" si="2"/>
        <v>金</v>
      </c>
      <c r="C28" s="49">
        <v>300000.0</v>
      </c>
      <c r="D28" s="15">
        <f t="shared" si="3"/>
        <v>8460000</v>
      </c>
      <c r="E28" s="49">
        <v>19910.0</v>
      </c>
      <c r="F28" s="49">
        <v>71540.0</v>
      </c>
      <c r="G28" s="15">
        <f t="shared" si="4"/>
        <v>91450</v>
      </c>
      <c r="H28" s="15">
        <f t="shared" si="5"/>
        <v>2027600</v>
      </c>
      <c r="I28" s="17">
        <f t="shared" ref="I28:J28" si="35">IF(G28="","",IFERROR(G28/C28,""))</f>
        <v>0.3048333333</v>
      </c>
      <c r="J28" s="17">
        <f t="shared" si="35"/>
        <v>0.2396690307</v>
      </c>
      <c r="K28" s="15">
        <f t="shared" si="7"/>
        <v>-6432400</v>
      </c>
      <c r="L28" s="20" t="str">
        <f t="shared" si="8"/>
        <v>▲ 遅れ</v>
      </c>
      <c r="M28" s="50">
        <v>4.0</v>
      </c>
      <c r="N28" s="50">
        <v>5.0</v>
      </c>
      <c r="O28" s="50">
        <v>14.0</v>
      </c>
      <c r="P28" s="50">
        <v>5.0</v>
      </c>
      <c r="Q28" s="50">
        <v>7.0</v>
      </c>
      <c r="R28" s="17">
        <f t="shared" si="9"/>
        <v>0.2857142857</v>
      </c>
      <c r="S28" s="15">
        <f t="shared" si="10"/>
        <v>22862.5</v>
      </c>
      <c r="T28" s="24">
        <f t="shared" si="11"/>
        <v>1.25</v>
      </c>
      <c r="U28" s="17">
        <f t="shared" si="12"/>
        <v>0.3571428571</v>
      </c>
      <c r="V28" s="22"/>
      <c r="W28" s="50">
        <v>43775.0</v>
      </c>
      <c r="X28" s="18"/>
      <c r="Y28" s="26"/>
      <c r="AA28" s="35" t="s">
        <v>122</v>
      </c>
    </row>
    <row r="29" ht="15.75" customHeight="1">
      <c r="A29" s="32">
        <v>46256.0</v>
      </c>
      <c r="B29" s="21" t="str">
        <f t="shared" si="2"/>
        <v>土</v>
      </c>
      <c r="C29" s="49">
        <v>460000.0</v>
      </c>
      <c r="D29" s="23">
        <f t="shared" si="3"/>
        <v>8920000</v>
      </c>
      <c r="E29" s="49">
        <v>81046.0</v>
      </c>
      <c r="F29" s="49">
        <v>113180.0</v>
      </c>
      <c r="G29" s="23">
        <f t="shared" si="4"/>
        <v>194226</v>
      </c>
      <c r="H29" s="23">
        <f t="shared" si="5"/>
        <v>2221826</v>
      </c>
      <c r="I29" s="25">
        <f t="shared" ref="I29:J29" si="36">IF(G29="","",IFERROR(G29/C29,""))</f>
        <v>0.4222304348</v>
      </c>
      <c r="J29" s="25">
        <f t="shared" si="36"/>
        <v>0.2490836323</v>
      </c>
      <c r="K29" s="23">
        <f t="shared" si="7"/>
        <v>-6698174</v>
      </c>
      <c r="L29" s="33" t="str">
        <f t="shared" si="8"/>
        <v>▲ 遅れ</v>
      </c>
      <c r="M29" s="50">
        <v>9.0</v>
      </c>
      <c r="N29" s="50">
        <v>13.0</v>
      </c>
      <c r="O29" s="50">
        <v>18.0</v>
      </c>
      <c r="P29" s="50">
        <v>10.0</v>
      </c>
      <c r="Q29" s="50">
        <v>15.0</v>
      </c>
      <c r="R29" s="25">
        <f t="shared" si="9"/>
        <v>0.5</v>
      </c>
      <c r="S29" s="23">
        <f t="shared" si="10"/>
        <v>21580.66667</v>
      </c>
      <c r="T29" s="34">
        <f t="shared" si="11"/>
        <v>1.444444444</v>
      </c>
      <c r="U29" s="25">
        <f t="shared" si="12"/>
        <v>0.5555555556</v>
      </c>
      <c r="V29" s="22"/>
      <c r="W29" s="50">
        <v>43742.0</v>
      </c>
      <c r="X29" s="18"/>
      <c r="Y29" s="26"/>
    </row>
    <row r="30" ht="15.75" customHeight="1">
      <c r="A30" s="16">
        <v>46257.0</v>
      </c>
      <c r="B30" s="13" t="str">
        <f t="shared" si="2"/>
        <v>日</v>
      </c>
      <c r="C30" s="49">
        <v>460000.0</v>
      </c>
      <c r="D30" s="15">
        <f t="shared" si="3"/>
        <v>9380000</v>
      </c>
      <c r="E30" s="49">
        <v>16454.0</v>
      </c>
      <c r="F30" s="49">
        <v>15950.0</v>
      </c>
      <c r="G30" s="15">
        <f t="shared" si="4"/>
        <v>32404</v>
      </c>
      <c r="H30" s="15">
        <f t="shared" si="5"/>
        <v>2254230</v>
      </c>
      <c r="I30" s="17">
        <f t="shared" ref="I30:J30" si="37">IF(G30="","",IFERROR(G30/C30,""))</f>
        <v>0.07044347826</v>
      </c>
      <c r="J30" s="17">
        <f t="shared" si="37"/>
        <v>0.2403230277</v>
      </c>
      <c r="K30" s="15">
        <f t="shared" si="7"/>
        <v>-7125770</v>
      </c>
      <c r="L30" s="20" t="str">
        <f t="shared" si="8"/>
        <v>▲ 遅れ</v>
      </c>
      <c r="M30" s="50">
        <v>2.0</v>
      </c>
      <c r="N30" s="50">
        <v>2.0</v>
      </c>
      <c r="O30" s="50">
        <v>16.0</v>
      </c>
      <c r="P30" s="50">
        <v>5.0</v>
      </c>
      <c r="Q30" s="50">
        <v>8.0</v>
      </c>
      <c r="R30" s="17">
        <f t="shared" si="9"/>
        <v>0.125</v>
      </c>
      <c r="S30" s="15">
        <f t="shared" si="10"/>
        <v>16202</v>
      </c>
      <c r="T30" s="24">
        <f t="shared" si="11"/>
        <v>1</v>
      </c>
      <c r="U30" s="17">
        <f t="shared" si="12"/>
        <v>0.3125</v>
      </c>
      <c r="V30" s="22"/>
      <c r="W30" s="22"/>
      <c r="X30" s="18"/>
      <c r="Y30" s="26"/>
    </row>
    <row r="31" ht="15.75" customHeight="1">
      <c r="A31" s="32">
        <v>46258.0</v>
      </c>
      <c r="B31" s="21" t="str">
        <f t="shared" si="2"/>
        <v>月</v>
      </c>
      <c r="C31" s="49">
        <v>300000.0</v>
      </c>
      <c r="D31" s="23">
        <f t="shared" si="3"/>
        <v>9680000</v>
      </c>
      <c r="E31" s="49">
        <v>0.0</v>
      </c>
      <c r="F31" s="49">
        <v>61019.0</v>
      </c>
      <c r="G31" s="23">
        <f t="shared" si="4"/>
        <v>61019</v>
      </c>
      <c r="H31" s="23">
        <f t="shared" si="5"/>
        <v>2315249</v>
      </c>
      <c r="I31" s="25">
        <f t="shared" ref="I31:J31" si="38">IF(G31="","",IFERROR(G31/C31,""))</f>
        <v>0.2033966667</v>
      </c>
      <c r="J31" s="25">
        <f t="shared" si="38"/>
        <v>0.2391786157</v>
      </c>
      <c r="K31" s="23">
        <f t="shared" si="7"/>
        <v>-7364751</v>
      </c>
      <c r="L31" s="33" t="str">
        <f t="shared" si="8"/>
        <v>▲ 遅れ</v>
      </c>
      <c r="M31" s="50">
        <v>3.0</v>
      </c>
      <c r="N31" s="50">
        <v>3.0</v>
      </c>
      <c r="O31" s="50">
        <v>9.0</v>
      </c>
      <c r="P31" s="50">
        <v>5.0</v>
      </c>
      <c r="Q31" s="50">
        <v>6.0</v>
      </c>
      <c r="R31" s="25">
        <f t="shared" si="9"/>
        <v>0.3333333333</v>
      </c>
      <c r="S31" s="23">
        <f t="shared" si="10"/>
        <v>20339.66667</v>
      </c>
      <c r="T31" s="34">
        <f t="shared" si="11"/>
        <v>1</v>
      </c>
      <c r="U31" s="25">
        <f t="shared" si="12"/>
        <v>0.5555555556</v>
      </c>
      <c r="V31" s="22"/>
      <c r="W31" s="50">
        <v>43715.0</v>
      </c>
      <c r="X31" s="18"/>
      <c r="Y31" s="26"/>
    </row>
    <row r="32" ht="15.75" customHeight="1">
      <c r="A32" s="16">
        <v>46259.0</v>
      </c>
      <c r="B32" s="13" t="str">
        <f t="shared" si="2"/>
        <v>火</v>
      </c>
      <c r="C32" s="49">
        <v>300000.0</v>
      </c>
      <c r="D32" s="15">
        <f t="shared" si="3"/>
        <v>9980000</v>
      </c>
      <c r="E32" s="49">
        <v>0.0</v>
      </c>
      <c r="F32" s="49">
        <v>0.0</v>
      </c>
      <c r="G32" s="15">
        <f t="shared" si="4"/>
        <v>0</v>
      </c>
      <c r="H32" s="15">
        <f t="shared" si="5"/>
        <v>2315249</v>
      </c>
      <c r="I32" s="17">
        <f t="shared" ref="I32:J32" si="39">IF(G32="","",IFERROR(G32/C32,""))</f>
        <v>0</v>
      </c>
      <c r="J32" s="17">
        <f t="shared" si="39"/>
        <v>0.2319888778</v>
      </c>
      <c r="K32" s="15">
        <f t="shared" si="7"/>
        <v>-7664751</v>
      </c>
      <c r="L32" s="20" t="str">
        <f t="shared" si="8"/>
        <v>▲ 遅れ</v>
      </c>
      <c r="M32" s="50">
        <v>1.0</v>
      </c>
      <c r="N32" s="50">
        <v>1.0</v>
      </c>
      <c r="O32" s="50">
        <v>11.0</v>
      </c>
      <c r="P32" s="50">
        <v>3.0</v>
      </c>
      <c r="Q32" s="50">
        <v>5.0</v>
      </c>
      <c r="R32" s="17">
        <f t="shared" si="9"/>
        <v>0.09090909091</v>
      </c>
      <c r="S32" s="15">
        <f t="shared" si="10"/>
        <v>0</v>
      </c>
      <c r="T32" s="24">
        <f t="shared" si="11"/>
        <v>1</v>
      </c>
      <c r="U32" s="17">
        <f t="shared" si="12"/>
        <v>0.2727272727</v>
      </c>
      <c r="V32" s="22"/>
      <c r="W32" s="50">
        <v>43702.0</v>
      </c>
      <c r="X32" s="18"/>
      <c r="Y32" s="26"/>
    </row>
    <row r="33" ht="15.75" customHeight="1">
      <c r="A33" s="32">
        <v>46260.0</v>
      </c>
      <c r="B33" s="21" t="str">
        <f t="shared" si="2"/>
        <v>水</v>
      </c>
      <c r="C33" s="49">
        <v>300000.0</v>
      </c>
      <c r="D33" s="23">
        <f t="shared" si="3"/>
        <v>10280000</v>
      </c>
      <c r="E33" s="49">
        <v>0.0</v>
      </c>
      <c r="F33" s="49">
        <v>19410.0</v>
      </c>
      <c r="G33" s="23">
        <f t="shared" si="4"/>
        <v>19410</v>
      </c>
      <c r="H33" s="23">
        <f t="shared" si="5"/>
        <v>2334659</v>
      </c>
      <c r="I33" s="25">
        <f t="shared" ref="I33:J33" si="40">IF(G33="","",IFERROR(G33/C33,""))</f>
        <v>0.0647</v>
      </c>
      <c r="J33" s="25">
        <f t="shared" si="40"/>
        <v>0.2271069066</v>
      </c>
      <c r="K33" s="23">
        <f t="shared" si="7"/>
        <v>-7945341</v>
      </c>
      <c r="L33" s="33" t="str">
        <f t="shared" si="8"/>
        <v>▲ 遅れ</v>
      </c>
      <c r="M33" s="50">
        <v>1.0</v>
      </c>
      <c r="N33" s="50">
        <v>1.0</v>
      </c>
      <c r="O33" s="50">
        <v>10.0</v>
      </c>
      <c r="P33" s="50">
        <v>1.0</v>
      </c>
      <c r="Q33" s="50">
        <v>5.0</v>
      </c>
      <c r="R33" s="25">
        <f t="shared" si="9"/>
        <v>0.1</v>
      </c>
      <c r="S33" s="23">
        <f t="shared" si="10"/>
        <v>19410</v>
      </c>
      <c r="T33" s="34">
        <f t="shared" si="11"/>
        <v>1</v>
      </c>
      <c r="U33" s="25">
        <f t="shared" si="12"/>
        <v>0.1</v>
      </c>
      <c r="V33" s="22"/>
      <c r="W33" s="50">
        <v>43692.0</v>
      </c>
      <c r="X33" s="18"/>
      <c r="Y33" s="26"/>
    </row>
    <row r="34" ht="15.75" customHeight="1">
      <c r="A34" s="16">
        <v>46261.0</v>
      </c>
      <c r="B34" s="13" t="str">
        <f t="shared" si="2"/>
        <v>木</v>
      </c>
      <c r="C34" s="49">
        <v>300000.0</v>
      </c>
      <c r="D34" s="15">
        <f t="shared" si="3"/>
        <v>10580000</v>
      </c>
      <c r="E34" s="49">
        <v>22000.0</v>
      </c>
      <c r="F34" s="49">
        <v>15906.0</v>
      </c>
      <c r="G34" s="15">
        <f t="shared" si="4"/>
        <v>37906</v>
      </c>
      <c r="H34" s="15">
        <f t="shared" si="5"/>
        <v>2372565</v>
      </c>
      <c r="I34" s="17">
        <f t="shared" ref="I34:J34" si="41">IF(G34="","",IFERROR(G34/C34,""))</f>
        <v>0.1263533333</v>
      </c>
      <c r="J34" s="17">
        <f t="shared" si="41"/>
        <v>0.22425</v>
      </c>
      <c r="K34" s="15">
        <f t="shared" si="7"/>
        <v>-8207435</v>
      </c>
      <c r="L34" s="20" t="str">
        <f t="shared" si="8"/>
        <v>▲ 遅れ</v>
      </c>
      <c r="M34" s="50">
        <v>2.0</v>
      </c>
      <c r="N34" s="50">
        <v>2.0</v>
      </c>
      <c r="O34" s="50">
        <v>8.0</v>
      </c>
      <c r="P34" s="50">
        <v>2.0</v>
      </c>
      <c r="Q34" s="50">
        <v>2.0</v>
      </c>
      <c r="R34" s="17">
        <f t="shared" si="9"/>
        <v>0.25</v>
      </c>
      <c r="S34" s="15">
        <f t="shared" si="10"/>
        <v>18953</v>
      </c>
      <c r="T34" s="24">
        <f t="shared" si="11"/>
        <v>1</v>
      </c>
      <c r="U34" s="17">
        <f t="shared" si="12"/>
        <v>0.25</v>
      </c>
      <c r="V34" s="22"/>
      <c r="W34" s="50">
        <v>43684.0</v>
      </c>
      <c r="X34" s="18"/>
      <c r="Y34" s="26"/>
    </row>
    <row r="35" ht="15.75" customHeight="1">
      <c r="A35" s="32">
        <v>46262.0</v>
      </c>
      <c r="B35" s="21" t="str">
        <f t="shared" si="2"/>
        <v>金</v>
      </c>
      <c r="C35" s="49">
        <v>300000.0</v>
      </c>
      <c r="D35" s="23">
        <f t="shared" si="3"/>
        <v>10880000</v>
      </c>
      <c r="E35" s="49">
        <v>0.0</v>
      </c>
      <c r="F35" s="49">
        <v>45286.0</v>
      </c>
      <c r="G35" s="23">
        <f t="shared" si="4"/>
        <v>45286</v>
      </c>
      <c r="H35" s="23">
        <f t="shared" si="5"/>
        <v>2417851</v>
      </c>
      <c r="I35" s="25">
        <f t="shared" ref="I35:J35" si="42">IF(G35="","",IFERROR(G35/C35,""))</f>
        <v>0.1509533333</v>
      </c>
      <c r="J35" s="25">
        <f t="shared" si="42"/>
        <v>0.2222289522</v>
      </c>
      <c r="K35" s="23">
        <f t="shared" si="7"/>
        <v>-8462149</v>
      </c>
      <c r="L35" s="33" t="str">
        <f t="shared" si="8"/>
        <v>▲ 遅れ</v>
      </c>
      <c r="M35" s="50">
        <v>2.0</v>
      </c>
      <c r="N35" s="50">
        <v>2.0</v>
      </c>
      <c r="O35" s="50">
        <v>10.0</v>
      </c>
      <c r="P35" s="50">
        <v>4.0</v>
      </c>
      <c r="Q35" s="50">
        <v>7.0</v>
      </c>
      <c r="R35" s="25">
        <f t="shared" si="9"/>
        <v>0.2</v>
      </c>
      <c r="S35" s="23">
        <f t="shared" si="10"/>
        <v>22643</v>
      </c>
      <c r="T35" s="34">
        <f t="shared" si="11"/>
        <v>1</v>
      </c>
      <c r="U35" s="25">
        <f t="shared" si="12"/>
        <v>0.4</v>
      </c>
      <c r="V35" s="22"/>
      <c r="W35" s="22"/>
      <c r="X35" s="18"/>
      <c r="Y35" s="26"/>
    </row>
    <row r="36" ht="15.75" customHeight="1">
      <c r="A36" s="16">
        <v>46263.0</v>
      </c>
      <c r="B36" s="13" t="str">
        <f t="shared" si="2"/>
        <v>土</v>
      </c>
      <c r="C36" s="49">
        <v>460000.0</v>
      </c>
      <c r="D36" s="15">
        <f t="shared" si="3"/>
        <v>11340000</v>
      </c>
      <c r="E36" s="49">
        <v>0.0</v>
      </c>
      <c r="F36" s="49">
        <v>0.0</v>
      </c>
      <c r="G36" s="52">
        <f t="shared" si="4"/>
        <v>0</v>
      </c>
      <c r="H36" s="15">
        <f t="shared" si="5"/>
        <v>2417851</v>
      </c>
      <c r="I36" s="17">
        <f t="shared" ref="I36:J36" si="43">IF(G36="","",IFERROR(G36/C36,""))</f>
        <v>0</v>
      </c>
      <c r="J36" s="17">
        <f t="shared" si="43"/>
        <v>0.2132143739</v>
      </c>
      <c r="K36" s="15">
        <f t="shared" si="7"/>
        <v>-8922149</v>
      </c>
      <c r="L36" s="20" t="str">
        <f t="shared" si="8"/>
        <v>▲ 遅れ</v>
      </c>
      <c r="M36" s="50">
        <v>0.0</v>
      </c>
      <c r="N36" s="50">
        <v>0.0</v>
      </c>
      <c r="O36" s="50">
        <v>7.0</v>
      </c>
      <c r="P36" s="50">
        <v>0.0</v>
      </c>
      <c r="Q36" s="50">
        <v>0.0</v>
      </c>
      <c r="R36" s="17">
        <f t="shared" si="9"/>
        <v>0</v>
      </c>
      <c r="S36" s="15" t="str">
        <f t="shared" si="10"/>
        <v/>
      </c>
      <c r="T36" s="24" t="str">
        <f t="shared" si="11"/>
        <v/>
      </c>
      <c r="U36" s="17">
        <f t="shared" si="12"/>
        <v>0</v>
      </c>
      <c r="V36" s="22"/>
      <c r="W36" s="50">
        <v>43662.0</v>
      </c>
      <c r="X36" s="18"/>
      <c r="Y36" s="26"/>
    </row>
    <row r="37" ht="15.75" customHeight="1">
      <c r="A37" s="32">
        <v>46264.0</v>
      </c>
      <c r="B37" s="21" t="str">
        <f t="shared" si="2"/>
        <v>日</v>
      </c>
      <c r="C37" s="49">
        <v>460000.0</v>
      </c>
      <c r="D37" s="23">
        <f t="shared" si="3"/>
        <v>11800000</v>
      </c>
      <c r="E37" s="49">
        <v>20400.0</v>
      </c>
      <c r="F37" s="49">
        <v>42290.0</v>
      </c>
      <c r="G37" s="23">
        <f t="shared" si="4"/>
        <v>62690</v>
      </c>
      <c r="H37" s="23">
        <f t="shared" si="5"/>
        <v>2480541</v>
      </c>
      <c r="I37" s="25">
        <f t="shared" ref="I37:J37" si="44">IF(G37="","",IFERROR(G37/C37,""))</f>
        <v>0.1362826087</v>
      </c>
      <c r="J37" s="25">
        <f t="shared" si="44"/>
        <v>0.210215339</v>
      </c>
      <c r="K37" s="23">
        <f t="shared" si="7"/>
        <v>-9319459</v>
      </c>
      <c r="L37" s="33" t="str">
        <f t="shared" si="8"/>
        <v>▲ 遅れ</v>
      </c>
      <c r="M37" s="50">
        <v>3.0</v>
      </c>
      <c r="N37" s="50">
        <v>3.0</v>
      </c>
      <c r="O37" s="50">
        <v>11.0</v>
      </c>
      <c r="P37" s="50">
        <v>5.0</v>
      </c>
      <c r="Q37" s="50">
        <v>10.0</v>
      </c>
      <c r="R37" s="25">
        <f t="shared" si="9"/>
        <v>0.2727272727</v>
      </c>
      <c r="S37" s="23">
        <f t="shared" si="10"/>
        <v>20896.66667</v>
      </c>
      <c r="T37" s="34">
        <f t="shared" si="11"/>
        <v>1</v>
      </c>
      <c r="U37" s="25">
        <f t="shared" si="12"/>
        <v>0.4545454545</v>
      </c>
      <c r="V37" s="22"/>
      <c r="W37" s="50">
        <v>43651.0</v>
      </c>
      <c r="X37" s="18"/>
      <c r="Y37" s="26"/>
    </row>
    <row r="38" ht="15.75" customHeight="1">
      <c r="A38" s="16">
        <v>46265.0</v>
      </c>
      <c r="B38" s="13" t="str">
        <f t="shared" si="2"/>
        <v>月</v>
      </c>
      <c r="C38" s="49">
        <v>300000.0</v>
      </c>
      <c r="D38" s="15">
        <f t="shared" si="3"/>
        <v>12100000</v>
      </c>
      <c r="E38" s="49">
        <v>45969.0</v>
      </c>
      <c r="F38" s="49">
        <v>21000.0</v>
      </c>
      <c r="G38" s="53">
        <v>66969.0</v>
      </c>
      <c r="H38" s="15">
        <f t="shared" si="5"/>
        <v>2547510</v>
      </c>
      <c r="I38" s="17">
        <f t="shared" ref="I38:J38" si="45">IF(G38="","",IFERROR(G38/C38,""))</f>
        <v>0.22323</v>
      </c>
      <c r="J38" s="17">
        <f t="shared" si="45"/>
        <v>0.2105380165</v>
      </c>
      <c r="K38" s="15">
        <f t="shared" si="7"/>
        <v>-9552490</v>
      </c>
      <c r="L38" s="20" t="str">
        <f t="shared" si="8"/>
        <v>▲ 遅れ</v>
      </c>
      <c r="M38" s="50">
        <v>3.0</v>
      </c>
      <c r="N38" s="50">
        <v>3.0</v>
      </c>
      <c r="O38" s="50">
        <v>10.0</v>
      </c>
      <c r="P38" s="50">
        <v>6.0</v>
      </c>
      <c r="Q38" s="50">
        <v>12.0</v>
      </c>
      <c r="R38" s="17">
        <f t="shared" si="9"/>
        <v>0.3</v>
      </c>
      <c r="S38" s="15">
        <f t="shared" si="10"/>
        <v>22323</v>
      </c>
      <c r="T38" s="24">
        <f t="shared" si="11"/>
        <v>1</v>
      </c>
      <c r="U38" s="17">
        <f t="shared" si="12"/>
        <v>0.6</v>
      </c>
      <c r="V38" s="22"/>
      <c r="W38" s="50">
        <v>43638.0</v>
      </c>
      <c r="X38" s="18"/>
      <c r="Y38" s="26"/>
    </row>
    <row r="39" ht="15.75" customHeight="1">
      <c r="A39" s="45" t="s">
        <v>92</v>
      </c>
      <c r="B39" s="36"/>
      <c r="C39" s="37">
        <f>SUM(C8:C38)</f>
        <v>12100000</v>
      </c>
      <c r="D39" s="37">
        <f>C39</f>
        <v>12100000</v>
      </c>
      <c r="E39" s="37">
        <f t="shared" ref="E39:G39" si="46">SUM(E8:E38)</f>
        <v>692869</v>
      </c>
      <c r="F39" s="37">
        <f t="shared" si="46"/>
        <v>1854641</v>
      </c>
      <c r="G39" s="37">
        <f t="shared" si="46"/>
        <v>2547510</v>
      </c>
      <c r="H39" s="37">
        <f>G39</f>
        <v>2547510</v>
      </c>
      <c r="I39" s="39">
        <f>IFERROR(G39/C39,"")</f>
        <v>0.2105380165</v>
      </c>
      <c r="J39" s="39">
        <f>IFERROR(G39/C39,"")</f>
        <v>0.2105380165</v>
      </c>
      <c r="K39" s="37">
        <f>G39-C39</f>
        <v>-9552490</v>
      </c>
      <c r="L39" s="46"/>
      <c r="M39" s="41">
        <f t="shared" ref="M39:Q39" si="47">SUM(M8:M38)</f>
        <v>120</v>
      </c>
      <c r="N39" s="41">
        <f t="shared" si="47"/>
        <v>132</v>
      </c>
      <c r="O39" s="41">
        <f t="shared" si="47"/>
        <v>494</v>
      </c>
      <c r="P39" s="41">
        <f t="shared" si="47"/>
        <v>186</v>
      </c>
      <c r="Q39" s="41">
        <f t="shared" si="47"/>
        <v>289</v>
      </c>
      <c r="R39" s="39">
        <f t="shared" si="9"/>
        <v>0.2429149798</v>
      </c>
      <c r="S39" s="37">
        <f t="shared" si="10"/>
        <v>21229.25</v>
      </c>
      <c r="T39" s="47">
        <f t="shared" si="11"/>
        <v>1.1</v>
      </c>
      <c r="U39" s="39">
        <f t="shared" si="12"/>
        <v>0.3765182186</v>
      </c>
      <c r="V39" s="41">
        <f>SUM(V8:V38)</f>
        <v>5</v>
      </c>
      <c r="W39" s="41">
        <f>IFERROR(LOOKUP(9.99E+307,W8:W38),"")</f>
        <v>43638</v>
      </c>
      <c r="X39" s="37">
        <f>SUM(X8:X38)</f>
        <v>0</v>
      </c>
      <c r="Y39" s="48" t="s">
        <v>93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8.29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102</v>
      </c>
      <c r="H3" s="6"/>
      <c r="I3" s="5" t="s">
        <v>7</v>
      </c>
      <c r="J3" s="6"/>
      <c r="K3" s="5" t="s">
        <v>8</v>
      </c>
      <c r="L3" s="6"/>
    </row>
    <row r="4">
      <c r="A4" s="7">
        <f>IF('設定'!$B$13="",SUM(C8:C37),'設定'!$B$13)</f>
        <v>9000000</v>
      </c>
      <c r="B4" s="6"/>
      <c r="C4" s="8">
        <f>SUM(G8:G37)</f>
        <v>2580671</v>
      </c>
      <c r="D4" s="6"/>
      <c r="E4" s="9">
        <f>IFERROR(C4/A4,0)</f>
        <v>0.2867412222</v>
      </c>
      <c r="F4" s="6"/>
      <c r="G4" s="10">
        <f>COUNTIF(G8:G37,"&gt;0")</f>
        <v>30</v>
      </c>
      <c r="H4" s="6"/>
      <c r="I4" s="8">
        <f>A4-C4</f>
        <v>6419329</v>
      </c>
      <c r="J4" s="6"/>
      <c r="K4" s="8">
        <f>IF((30-G4)&gt;0,(A4-C4)/(30-G4),0)</f>
        <v>0</v>
      </c>
      <c r="L4" s="6"/>
    </row>
    <row r="5">
      <c r="A5" s="5" t="s">
        <v>16</v>
      </c>
      <c r="B5" s="6"/>
      <c r="C5" s="5" t="s">
        <v>17</v>
      </c>
      <c r="D5" s="6"/>
      <c r="E5" s="5" t="s">
        <v>18</v>
      </c>
      <c r="F5" s="6"/>
      <c r="G5" s="5" t="s">
        <v>19</v>
      </c>
      <c r="H5" s="6"/>
      <c r="I5" s="5" t="s">
        <v>20</v>
      </c>
      <c r="J5" s="6"/>
      <c r="K5" s="5" t="s">
        <v>21</v>
      </c>
      <c r="L5" s="6"/>
    </row>
    <row r="6">
      <c r="A6" s="8">
        <f>SUM(C8:C37)</f>
        <v>10600000</v>
      </c>
      <c r="B6" s="6"/>
      <c r="C6" s="8">
        <f>IFERROR(C4/G4*30,0)</f>
        <v>2580671</v>
      </c>
      <c r="D6" s="6"/>
      <c r="E6" s="9">
        <f>IFERROR(M38/O38,0)</f>
        <v>0.3527607362</v>
      </c>
      <c r="F6" s="6"/>
      <c r="G6" s="8">
        <f>IFERROR(G38/M38,0)</f>
        <v>22440.61739</v>
      </c>
      <c r="H6" s="6"/>
      <c r="I6" s="12">
        <f>IFERROR(N38/M38,0)</f>
        <v>1.095652174</v>
      </c>
      <c r="J6" s="6"/>
      <c r="K6" s="9">
        <f>IFERROR(P38/O38,0)</f>
        <v>0.5797546012</v>
      </c>
      <c r="L6" s="6"/>
    </row>
    <row r="7" ht="30.0" customHeight="1">
      <c r="A7" s="11" t="s">
        <v>32</v>
      </c>
      <c r="B7" s="11" t="s">
        <v>33</v>
      </c>
      <c r="C7" s="11" t="s">
        <v>34</v>
      </c>
      <c r="D7" s="11" t="s">
        <v>28</v>
      </c>
      <c r="E7" s="11" t="s">
        <v>35</v>
      </c>
      <c r="F7" s="11" t="s">
        <v>36</v>
      </c>
      <c r="G7" s="11" t="s">
        <v>37</v>
      </c>
      <c r="H7" s="11" t="s">
        <v>29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26</v>
      </c>
      <c r="N7" s="11" t="s">
        <v>42</v>
      </c>
      <c r="O7" s="11" t="s">
        <v>27</v>
      </c>
      <c r="P7" s="11" t="s">
        <v>43</v>
      </c>
      <c r="Q7" s="11" t="s">
        <v>44</v>
      </c>
      <c r="R7" s="11" t="s">
        <v>18</v>
      </c>
      <c r="S7" s="11" t="s">
        <v>19</v>
      </c>
      <c r="T7" s="11" t="s">
        <v>20</v>
      </c>
      <c r="U7" s="11" t="s">
        <v>21</v>
      </c>
      <c r="V7" s="11" t="s">
        <v>45</v>
      </c>
      <c r="W7" s="11" t="s">
        <v>46</v>
      </c>
      <c r="X7" s="11" t="s">
        <v>47</v>
      </c>
      <c r="Y7" s="11" t="s">
        <v>48</v>
      </c>
      <c r="AA7" s="14" t="s">
        <v>49</v>
      </c>
      <c r="AB7" s="14" t="s">
        <v>50</v>
      </c>
      <c r="AC7" s="14" t="s">
        <v>51</v>
      </c>
      <c r="AD7" s="14" t="s">
        <v>18</v>
      </c>
      <c r="AE7" s="14" t="s">
        <v>19</v>
      </c>
    </row>
    <row r="8">
      <c r="A8" s="16">
        <v>46266.0</v>
      </c>
      <c r="B8" s="13" t="str">
        <f t="shared" ref="B8:B37" si="2">MID("日月火水木金土",WEEKDAY(A8),1)</f>
        <v>火</v>
      </c>
      <c r="C8" s="49">
        <v>300000.0</v>
      </c>
      <c r="D8" s="15">
        <f t="shared" ref="D8:D37" si="3">SUM($C$8:C8)</f>
        <v>300000</v>
      </c>
      <c r="E8" s="49">
        <v>0.0</v>
      </c>
      <c r="F8" s="49">
        <v>48620.0</v>
      </c>
      <c r="G8" s="15">
        <f t="shared" ref="G8:G37" si="4">IF(COUNT(E8:F8)=0,"",SUM(E8:F8))</f>
        <v>48620</v>
      </c>
      <c r="H8" s="15">
        <f t="shared" ref="H8:H37" si="5">IF(G8="","",SUM($G$8:G8))</f>
        <v>48620</v>
      </c>
      <c r="I8" s="17">
        <f t="shared" ref="I8:J8" si="1">IF(G8="","",IFERROR(G8/C8,""))</f>
        <v>0.1620666667</v>
      </c>
      <c r="J8" s="17">
        <f t="shared" si="1"/>
        <v>0.1620666667</v>
      </c>
      <c r="K8" s="15">
        <f t="shared" ref="K8:K37" si="7">IF(H8="","",IF(D8=0,"",H8-D8))</f>
        <v>-251380</v>
      </c>
      <c r="L8" s="20" t="str">
        <f t="shared" ref="L8:L37" si="8">IF(G8="","—",IF(D8=0,"予算未入力",IF(H8&gt;=D8,"◎ ペース内","▲ 遅れ")))</f>
        <v>▲ 遅れ</v>
      </c>
      <c r="M8" s="50">
        <v>2.0</v>
      </c>
      <c r="N8" s="50">
        <v>2.0</v>
      </c>
      <c r="O8" s="50">
        <v>8.0</v>
      </c>
      <c r="P8" s="50">
        <v>4.0</v>
      </c>
      <c r="Q8" s="50">
        <v>6.0</v>
      </c>
      <c r="R8" s="17">
        <f t="shared" ref="R8:R38" si="9">IFERROR(M8/O8,"")</f>
        <v>0.25</v>
      </c>
      <c r="S8" s="15">
        <f t="shared" ref="S8:S38" si="10">IFERROR(G8/M8,"")</f>
        <v>24310</v>
      </c>
      <c r="T8" s="24">
        <f t="shared" ref="T8:T38" si="11">IFERROR(N8/M8,"")</f>
        <v>1</v>
      </c>
      <c r="U8" s="17">
        <f t="shared" ref="U8:U38" si="12">IFERROR(P8/O8,"")</f>
        <v>0.5</v>
      </c>
      <c r="V8" s="22"/>
      <c r="W8" s="50">
        <v>43625.0</v>
      </c>
      <c r="X8" s="18"/>
      <c r="Y8" s="26"/>
      <c r="AA8" s="27" t="s">
        <v>22</v>
      </c>
      <c r="AB8" s="29">
        <f t="shared" ref="AB8:AB14" si="13">IFERROR(AVERAGEIFS($G$8:$G$37,$B$8:$B$37,AA8,$G$8:$G$37,"&gt;0"),0)</f>
        <v>69577.75</v>
      </c>
      <c r="AC8" s="30">
        <f t="shared" ref="AC8:AC14" si="14">COUNTIFS($B$8:$B$37,AA8,$G$8:$G$37,"&gt;0")</f>
        <v>4</v>
      </c>
      <c r="AD8" s="31">
        <f t="shared" ref="AD8:AD14" si="15">IFERROR(SUMIF($B$8:$B$37,AA8,$M$8:$M$37)/SUMIF($B$8:$B$37,AA8,$O$8:$O$37),0)</f>
        <v>0.3428571429</v>
      </c>
      <c r="AE8" s="29">
        <f t="shared" ref="AE8:AE14" si="16">IFERROR(SUMIF($B$8:$B$37,AA8,$G$8:$G$37)/SUMIF($B$8:$B$37,AA8,$M$8:$M$37),0)</f>
        <v>23192.58333</v>
      </c>
    </row>
    <row r="9">
      <c r="A9" s="32">
        <v>46267.0</v>
      </c>
      <c r="B9" s="21" t="str">
        <f t="shared" si="2"/>
        <v>水</v>
      </c>
      <c r="C9" s="49">
        <v>300000.0</v>
      </c>
      <c r="D9" s="23">
        <f t="shared" si="3"/>
        <v>600000</v>
      </c>
      <c r="E9" s="49">
        <v>26510.0</v>
      </c>
      <c r="F9" s="49">
        <v>135760.0</v>
      </c>
      <c r="G9" s="23">
        <f t="shared" si="4"/>
        <v>162270</v>
      </c>
      <c r="H9" s="23">
        <f t="shared" si="5"/>
        <v>210890</v>
      </c>
      <c r="I9" s="25">
        <f t="shared" ref="I9:J9" si="6">IF(G9="","",IFERROR(G9/C9,""))</f>
        <v>0.5409</v>
      </c>
      <c r="J9" s="25">
        <f t="shared" si="6"/>
        <v>0.3514833333</v>
      </c>
      <c r="K9" s="23">
        <f t="shared" si="7"/>
        <v>-389110</v>
      </c>
      <c r="L9" s="33" t="str">
        <f t="shared" si="8"/>
        <v>▲ 遅れ</v>
      </c>
      <c r="M9" s="50">
        <v>6.0</v>
      </c>
      <c r="N9" s="50">
        <v>9.0</v>
      </c>
      <c r="O9" s="50">
        <v>9.0</v>
      </c>
      <c r="P9" s="50">
        <v>8.0</v>
      </c>
      <c r="Q9" s="50">
        <v>10.0</v>
      </c>
      <c r="R9" s="25">
        <f t="shared" si="9"/>
        <v>0.6666666667</v>
      </c>
      <c r="S9" s="23">
        <f t="shared" si="10"/>
        <v>27045</v>
      </c>
      <c r="T9" s="34">
        <f t="shared" si="11"/>
        <v>1.5</v>
      </c>
      <c r="U9" s="25">
        <f t="shared" si="12"/>
        <v>0.8888888889</v>
      </c>
      <c r="V9" s="22"/>
      <c r="W9" s="50">
        <v>43611.0</v>
      </c>
      <c r="X9" s="18"/>
      <c r="Y9" s="26"/>
      <c r="AA9" s="27" t="s">
        <v>59</v>
      </c>
      <c r="AB9" s="29">
        <f t="shared" si="13"/>
        <v>90928.4</v>
      </c>
      <c r="AC9" s="30">
        <f t="shared" si="14"/>
        <v>5</v>
      </c>
      <c r="AD9" s="31">
        <f t="shared" si="15"/>
        <v>0.4</v>
      </c>
      <c r="AE9" s="29">
        <f t="shared" si="16"/>
        <v>22732.1</v>
      </c>
    </row>
    <row r="10">
      <c r="A10" s="16">
        <v>46268.0</v>
      </c>
      <c r="B10" s="13" t="str">
        <f t="shared" si="2"/>
        <v>木</v>
      </c>
      <c r="C10" s="49">
        <v>300000.0</v>
      </c>
      <c r="D10" s="15">
        <f t="shared" si="3"/>
        <v>900000</v>
      </c>
      <c r="E10" s="49">
        <v>21110.0</v>
      </c>
      <c r="F10" s="49">
        <v>0.0</v>
      </c>
      <c r="G10" s="15">
        <f t="shared" si="4"/>
        <v>21110</v>
      </c>
      <c r="H10" s="15">
        <f t="shared" si="5"/>
        <v>232000</v>
      </c>
      <c r="I10" s="17">
        <f t="shared" ref="I10:J10" si="17">IF(G10="","",IFERROR(G10/C10,""))</f>
        <v>0.07036666667</v>
      </c>
      <c r="J10" s="17">
        <f t="shared" si="17"/>
        <v>0.2577777778</v>
      </c>
      <c r="K10" s="15">
        <f t="shared" si="7"/>
        <v>-668000</v>
      </c>
      <c r="L10" s="20" t="str">
        <f t="shared" si="8"/>
        <v>▲ 遅れ</v>
      </c>
      <c r="M10" s="50">
        <v>2.0</v>
      </c>
      <c r="N10" s="50">
        <v>2.0</v>
      </c>
      <c r="O10" s="50">
        <v>6.0</v>
      </c>
      <c r="P10" s="50">
        <v>4.0</v>
      </c>
      <c r="Q10" s="50">
        <v>6.0</v>
      </c>
      <c r="R10" s="17">
        <f t="shared" si="9"/>
        <v>0.3333333333</v>
      </c>
      <c r="S10" s="15">
        <f t="shared" si="10"/>
        <v>10555</v>
      </c>
      <c r="T10" s="24">
        <f t="shared" si="11"/>
        <v>1</v>
      </c>
      <c r="U10" s="17">
        <f t="shared" si="12"/>
        <v>0.6666666667</v>
      </c>
      <c r="V10" s="22"/>
      <c r="W10" s="50">
        <v>43588.0</v>
      </c>
      <c r="X10" s="18"/>
      <c r="Y10" s="26"/>
      <c r="AA10" s="27" t="s">
        <v>61</v>
      </c>
      <c r="AB10" s="29">
        <f t="shared" si="13"/>
        <v>111411</v>
      </c>
      <c r="AC10" s="30">
        <f t="shared" si="14"/>
        <v>5</v>
      </c>
      <c r="AD10" s="31">
        <f t="shared" si="15"/>
        <v>0.4285714286</v>
      </c>
      <c r="AE10" s="29">
        <f t="shared" si="16"/>
        <v>23210.625</v>
      </c>
    </row>
    <row r="11">
      <c r="A11" s="32">
        <v>46269.0</v>
      </c>
      <c r="B11" s="21" t="str">
        <f t="shared" si="2"/>
        <v>金</v>
      </c>
      <c r="C11" s="49">
        <v>300000.0</v>
      </c>
      <c r="D11" s="23">
        <f t="shared" si="3"/>
        <v>1200000</v>
      </c>
      <c r="E11" s="49">
        <v>18910.0</v>
      </c>
      <c r="F11" s="49">
        <v>95073.0</v>
      </c>
      <c r="G11" s="23">
        <f t="shared" si="4"/>
        <v>113983</v>
      </c>
      <c r="H11" s="23">
        <f t="shared" si="5"/>
        <v>345983</v>
      </c>
      <c r="I11" s="25">
        <f t="shared" ref="I11:J11" si="18">IF(G11="","",IFERROR(G11/C11,""))</f>
        <v>0.3799433333</v>
      </c>
      <c r="J11" s="25">
        <f t="shared" si="18"/>
        <v>0.2883191667</v>
      </c>
      <c r="K11" s="23">
        <f t="shared" si="7"/>
        <v>-854017</v>
      </c>
      <c r="L11" s="33" t="str">
        <f t="shared" si="8"/>
        <v>▲ 遅れ</v>
      </c>
      <c r="M11" s="50">
        <v>6.0</v>
      </c>
      <c r="N11" s="50">
        <v>6.0</v>
      </c>
      <c r="O11" s="50">
        <v>15.0</v>
      </c>
      <c r="P11" s="50">
        <v>7.0</v>
      </c>
      <c r="Q11" s="50">
        <v>10.0</v>
      </c>
      <c r="R11" s="25">
        <f t="shared" si="9"/>
        <v>0.4</v>
      </c>
      <c r="S11" s="23">
        <f t="shared" si="10"/>
        <v>18997.16667</v>
      </c>
      <c r="T11" s="34">
        <f t="shared" si="11"/>
        <v>1</v>
      </c>
      <c r="U11" s="25">
        <f t="shared" si="12"/>
        <v>0.4666666667</v>
      </c>
      <c r="V11" s="22"/>
      <c r="W11" s="22"/>
      <c r="X11" s="18"/>
      <c r="Y11" s="26"/>
      <c r="AA11" s="27" t="s">
        <v>63</v>
      </c>
      <c r="AB11" s="29">
        <f t="shared" si="13"/>
        <v>57724</v>
      </c>
      <c r="AC11" s="30">
        <f t="shared" si="14"/>
        <v>4</v>
      </c>
      <c r="AD11" s="31">
        <f t="shared" si="15"/>
        <v>0.34375</v>
      </c>
      <c r="AE11" s="29">
        <f t="shared" si="16"/>
        <v>20990.54545</v>
      </c>
    </row>
    <row r="12">
      <c r="A12" s="16">
        <v>46270.0</v>
      </c>
      <c r="B12" s="13" t="str">
        <f t="shared" si="2"/>
        <v>土</v>
      </c>
      <c r="C12" s="49">
        <v>400000.0</v>
      </c>
      <c r="D12" s="15">
        <f t="shared" si="3"/>
        <v>1600000</v>
      </c>
      <c r="E12" s="49">
        <v>20020.0</v>
      </c>
      <c r="F12" s="49">
        <v>78938.0</v>
      </c>
      <c r="G12" s="15">
        <f t="shared" si="4"/>
        <v>98958</v>
      </c>
      <c r="H12" s="15">
        <f t="shared" si="5"/>
        <v>444941</v>
      </c>
      <c r="I12" s="17">
        <f t="shared" ref="I12:J12" si="19">IF(G12="","",IFERROR(G12/C12,""))</f>
        <v>0.247395</v>
      </c>
      <c r="J12" s="17">
        <f t="shared" si="19"/>
        <v>0.278088125</v>
      </c>
      <c r="K12" s="15">
        <f t="shared" si="7"/>
        <v>-1155059</v>
      </c>
      <c r="L12" s="20" t="str">
        <f t="shared" si="8"/>
        <v>▲ 遅れ</v>
      </c>
      <c r="M12" s="50">
        <v>5.0</v>
      </c>
      <c r="N12" s="50">
        <v>5.0</v>
      </c>
      <c r="O12" s="50">
        <v>14.0</v>
      </c>
      <c r="P12" s="50">
        <v>8.0</v>
      </c>
      <c r="Q12" s="50">
        <v>12.0</v>
      </c>
      <c r="R12" s="17">
        <f t="shared" si="9"/>
        <v>0.3571428571</v>
      </c>
      <c r="S12" s="15">
        <f t="shared" si="10"/>
        <v>19791.6</v>
      </c>
      <c r="T12" s="24">
        <f t="shared" si="11"/>
        <v>1</v>
      </c>
      <c r="U12" s="17">
        <f t="shared" si="12"/>
        <v>0.5714285714</v>
      </c>
      <c r="V12" s="22"/>
      <c r="W12" s="50">
        <v>43569.0</v>
      </c>
      <c r="X12" s="18"/>
      <c r="Y12" s="26"/>
      <c r="AA12" s="27" t="s">
        <v>65</v>
      </c>
      <c r="AB12" s="29">
        <f t="shared" si="13"/>
        <v>68217.25</v>
      </c>
      <c r="AC12" s="30">
        <f t="shared" si="14"/>
        <v>4</v>
      </c>
      <c r="AD12" s="31">
        <f t="shared" si="15"/>
        <v>0.2978723404</v>
      </c>
      <c r="AE12" s="29">
        <f t="shared" si="16"/>
        <v>19490.64286</v>
      </c>
    </row>
    <row r="13">
      <c r="A13" s="32">
        <v>46271.0</v>
      </c>
      <c r="B13" s="21" t="str">
        <f t="shared" si="2"/>
        <v>日</v>
      </c>
      <c r="C13" s="49">
        <v>400000.0</v>
      </c>
      <c r="D13" s="23">
        <f t="shared" si="3"/>
        <v>2000000</v>
      </c>
      <c r="E13" s="49">
        <v>0.0</v>
      </c>
      <c r="F13" s="49">
        <v>38820.0</v>
      </c>
      <c r="G13" s="23">
        <f t="shared" si="4"/>
        <v>38820</v>
      </c>
      <c r="H13" s="23">
        <f t="shared" si="5"/>
        <v>483761</v>
      </c>
      <c r="I13" s="25">
        <f t="shared" ref="I13:J13" si="20">IF(G13="","",IFERROR(G13/C13,""))</f>
        <v>0.09705</v>
      </c>
      <c r="J13" s="25">
        <f t="shared" si="20"/>
        <v>0.2418805</v>
      </c>
      <c r="K13" s="23">
        <f t="shared" si="7"/>
        <v>-1516239</v>
      </c>
      <c r="L13" s="33" t="str">
        <f t="shared" si="8"/>
        <v>▲ 遅れ</v>
      </c>
      <c r="M13" s="50">
        <v>2.0</v>
      </c>
      <c r="N13" s="50">
        <v>2.0</v>
      </c>
      <c r="O13" s="50">
        <v>12.0</v>
      </c>
      <c r="P13" s="50">
        <v>6.0</v>
      </c>
      <c r="Q13" s="50">
        <v>8.0</v>
      </c>
      <c r="R13" s="25">
        <f t="shared" si="9"/>
        <v>0.1666666667</v>
      </c>
      <c r="S13" s="23">
        <f t="shared" si="10"/>
        <v>19410</v>
      </c>
      <c r="T13" s="34">
        <f t="shared" si="11"/>
        <v>1</v>
      </c>
      <c r="U13" s="25">
        <f t="shared" si="12"/>
        <v>0.5</v>
      </c>
      <c r="V13" s="22"/>
      <c r="W13" s="50">
        <v>43556.0</v>
      </c>
      <c r="X13" s="18"/>
      <c r="Y13" s="26"/>
      <c r="AA13" s="27" t="s">
        <v>67</v>
      </c>
      <c r="AB13" s="29">
        <f t="shared" si="13"/>
        <v>119175.25</v>
      </c>
      <c r="AC13" s="30">
        <f t="shared" si="14"/>
        <v>4</v>
      </c>
      <c r="AD13" s="31">
        <f t="shared" si="15"/>
        <v>0.3389830508</v>
      </c>
      <c r="AE13" s="29">
        <f t="shared" si="16"/>
        <v>23835.05</v>
      </c>
    </row>
    <row r="14">
      <c r="A14" s="16">
        <v>46272.0</v>
      </c>
      <c r="B14" s="13" t="str">
        <f t="shared" si="2"/>
        <v>月</v>
      </c>
      <c r="C14" s="49">
        <v>300000.0</v>
      </c>
      <c r="D14" s="15">
        <f t="shared" si="3"/>
        <v>2300000</v>
      </c>
      <c r="E14" s="49">
        <v>23310.0</v>
      </c>
      <c r="F14" s="49">
        <v>23810.0</v>
      </c>
      <c r="G14" s="15">
        <f t="shared" si="4"/>
        <v>47120</v>
      </c>
      <c r="H14" s="15">
        <f t="shared" si="5"/>
        <v>530881</v>
      </c>
      <c r="I14" s="17">
        <f t="shared" ref="I14:J14" si="21">IF(G14="","",IFERROR(G14/C14,""))</f>
        <v>0.1570666667</v>
      </c>
      <c r="J14" s="17">
        <f t="shared" si="21"/>
        <v>0.2308178261</v>
      </c>
      <c r="K14" s="15">
        <f t="shared" si="7"/>
        <v>-1769119</v>
      </c>
      <c r="L14" s="20" t="str">
        <f t="shared" si="8"/>
        <v>▲ 遅れ</v>
      </c>
      <c r="M14" s="50">
        <v>2.0</v>
      </c>
      <c r="N14" s="50">
        <v>2.0</v>
      </c>
      <c r="O14" s="50">
        <v>8.0</v>
      </c>
      <c r="P14" s="50">
        <v>5.0</v>
      </c>
      <c r="Q14" s="50">
        <v>7.0</v>
      </c>
      <c r="R14" s="17">
        <f t="shared" si="9"/>
        <v>0.25</v>
      </c>
      <c r="S14" s="15">
        <f t="shared" si="10"/>
        <v>23560</v>
      </c>
      <c r="T14" s="24">
        <f t="shared" si="11"/>
        <v>1</v>
      </c>
      <c r="U14" s="17">
        <f t="shared" si="12"/>
        <v>0.625</v>
      </c>
      <c r="V14" s="22"/>
      <c r="W14" s="22"/>
      <c r="X14" s="18"/>
      <c r="Y14" s="26"/>
      <c r="AA14" s="27" t="s">
        <v>69</v>
      </c>
      <c r="AB14" s="29">
        <f t="shared" si="13"/>
        <v>77549.25</v>
      </c>
      <c r="AC14" s="30">
        <f t="shared" si="14"/>
        <v>4</v>
      </c>
      <c r="AD14" s="31">
        <f t="shared" si="15"/>
        <v>0.2978723404</v>
      </c>
      <c r="AE14" s="29">
        <f t="shared" si="16"/>
        <v>22156.92857</v>
      </c>
    </row>
    <row r="15">
      <c r="A15" s="32">
        <v>46273.0</v>
      </c>
      <c r="B15" s="21" t="str">
        <f t="shared" si="2"/>
        <v>火</v>
      </c>
      <c r="C15" s="49">
        <v>300000.0</v>
      </c>
      <c r="D15" s="23">
        <f t="shared" si="3"/>
        <v>2600000</v>
      </c>
      <c r="E15" s="49">
        <v>0.0</v>
      </c>
      <c r="F15" s="49">
        <v>147682.0</v>
      </c>
      <c r="G15" s="23">
        <f t="shared" si="4"/>
        <v>147682</v>
      </c>
      <c r="H15" s="23">
        <f t="shared" si="5"/>
        <v>678563</v>
      </c>
      <c r="I15" s="25">
        <f t="shared" ref="I15:J15" si="22">IF(G15="","",IFERROR(G15/C15,""))</f>
        <v>0.4922733333</v>
      </c>
      <c r="J15" s="25">
        <f t="shared" si="22"/>
        <v>0.2609857692</v>
      </c>
      <c r="K15" s="23">
        <f t="shared" si="7"/>
        <v>-1921437</v>
      </c>
      <c r="L15" s="33" t="str">
        <f t="shared" si="8"/>
        <v>▲ 遅れ</v>
      </c>
      <c r="M15" s="50">
        <v>6.0</v>
      </c>
      <c r="N15" s="50">
        <v>7.0</v>
      </c>
      <c r="O15" s="50">
        <v>12.0</v>
      </c>
      <c r="P15" s="50">
        <v>8.0</v>
      </c>
      <c r="Q15" s="50">
        <v>14.0</v>
      </c>
      <c r="R15" s="25">
        <f t="shared" si="9"/>
        <v>0.5</v>
      </c>
      <c r="S15" s="23">
        <f t="shared" si="10"/>
        <v>24613.66667</v>
      </c>
      <c r="T15" s="34">
        <f t="shared" si="11"/>
        <v>1.166666667</v>
      </c>
      <c r="U15" s="25">
        <f t="shared" si="12"/>
        <v>0.6666666667</v>
      </c>
      <c r="V15" s="22"/>
      <c r="W15" s="50">
        <v>43535.0</v>
      </c>
      <c r="X15" s="18"/>
      <c r="Y15" s="26"/>
    </row>
    <row r="16">
      <c r="A16" s="16">
        <v>46274.0</v>
      </c>
      <c r="B16" s="13" t="str">
        <f t="shared" si="2"/>
        <v>水</v>
      </c>
      <c r="C16" s="49">
        <v>300000.0</v>
      </c>
      <c r="D16" s="15">
        <f t="shared" si="3"/>
        <v>2900000</v>
      </c>
      <c r="E16" s="49">
        <v>0.0</v>
      </c>
      <c r="F16" s="49">
        <v>22586.0</v>
      </c>
      <c r="G16" s="15">
        <f t="shared" si="4"/>
        <v>22586</v>
      </c>
      <c r="H16" s="15">
        <f t="shared" si="5"/>
        <v>701149</v>
      </c>
      <c r="I16" s="17">
        <f t="shared" ref="I16:J16" si="23">IF(G16="","",IFERROR(G16/C16,""))</f>
        <v>0.07528666667</v>
      </c>
      <c r="J16" s="17">
        <f t="shared" si="23"/>
        <v>0.2417755172</v>
      </c>
      <c r="K16" s="15">
        <f t="shared" si="7"/>
        <v>-2198851</v>
      </c>
      <c r="L16" s="20" t="str">
        <f t="shared" si="8"/>
        <v>▲ 遅れ</v>
      </c>
      <c r="M16" s="50">
        <v>1.0</v>
      </c>
      <c r="N16" s="50">
        <v>1.0</v>
      </c>
      <c r="O16" s="50">
        <v>7.0</v>
      </c>
      <c r="P16" s="50">
        <v>2.0</v>
      </c>
      <c r="Q16" s="50">
        <v>5.0</v>
      </c>
      <c r="R16" s="17">
        <f t="shared" si="9"/>
        <v>0.1428571429</v>
      </c>
      <c r="S16" s="15">
        <f t="shared" si="10"/>
        <v>22586</v>
      </c>
      <c r="T16" s="24">
        <f t="shared" si="11"/>
        <v>1</v>
      </c>
      <c r="U16" s="17">
        <f t="shared" si="12"/>
        <v>0.2857142857</v>
      </c>
      <c r="V16" s="22"/>
      <c r="W16" s="50">
        <v>43517.0</v>
      </c>
      <c r="X16" s="18"/>
      <c r="Y16" s="26"/>
      <c r="AA16" s="35" t="s">
        <v>71</v>
      </c>
    </row>
    <row r="17">
      <c r="A17" s="32">
        <v>46275.0</v>
      </c>
      <c r="B17" s="21" t="str">
        <f t="shared" si="2"/>
        <v>木</v>
      </c>
      <c r="C17" s="49">
        <v>300000.0</v>
      </c>
      <c r="D17" s="23">
        <f t="shared" si="3"/>
        <v>3200000</v>
      </c>
      <c r="E17" s="49">
        <v>22110.0</v>
      </c>
      <c r="F17" s="49">
        <v>66618.0</v>
      </c>
      <c r="G17" s="23">
        <f t="shared" si="4"/>
        <v>88728</v>
      </c>
      <c r="H17" s="23">
        <f t="shared" si="5"/>
        <v>789877</v>
      </c>
      <c r="I17" s="25">
        <f t="shared" ref="I17:J17" si="24">IF(G17="","",IFERROR(G17/C17,""))</f>
        <v>0.29576</v>
      </c>
      <c r="J17" s="25">
        <f t="shared" si="24"/>
        <v>0.2468365625</v>
      </c>
      <c r="K17" s="23">
        <f t="shared" si="7"/>
        <v>-2410123</v>
      </c>
      <c r="L17" s="33" t="str">
        <f t="shared" si="8"/>
        <v>▲ 遅れ</v>
      </c>
      <c r="M17" s="50">
        <v>4.0</v>
      </c>
      <c r="N17" s="50">
        <v>4.0</v>
      </c>
      <c r="O17" s="50">
        <v>9.0</v>
      </c>
      <c r="P17" s="50">
        <v>7.0</v>
      </c>
      <c r="Q17" s="50">
        <v>12.0</v>
      </c>
      <c r="R17" s="25">
        <f t="shared" si="9"/>
        <v>0.4444444444</v>
      </c>
      <c r="S17" s="23">
        <f t="shared" si="10"/>
        <v>22182</v>
      </c>
      <c r="T17" s="34">
        <f t="shared" si="11"/>
        <v>1</v>
      </c>
      <c r="U17" s="25">
        <f t="shared" si="12"/>
        <v>0.7777777778</v>
      </c>
      <c r="V17" s="22"/>
      <c r="W17" s="50">
        <v>43506.0</v>
      </c>
      <c r="X17" s="18"/>
      <c r="Y17" s="26"/>
    </row>
    <row r="18">
      <c r="A18" s="16">
        <v>46276.0</v>
      </c>
      <c r="B18" s="13" t="str">
        <f t="shared" si="2"/>
        <v>金</v>
      </c>
      <c r="C18" s="49">
        <v>300000.0</v>
      </c>
      <c r="D18" s="15">
        <f t="shared" si="3"/>
        <v>3500000</v>
      </c>
      <c r="E18" s="49">
        <v>0.0</v>
      </c>
      <c r="F18" s="49">
        <v>46552.0</v>
      </c>
      <c r="G18" s="15">
        <f t="shared" si="4"/>
        <v>46552</v>
      </c>
      <c r="H18" s="15">
        <f t="shared" si="5"/>
        <v>836429</v>
      </c>
      <c r="I18" s="17">
        <f t="shared" ref="I18:J18" si="25">IF(G18="","",IFERROR(G18/C18,""))</f>
        <v>0.1551733333</v>
      </c>
      <c r="J18" s="17">
        <f t="shared" si="25"/>
        <v>0.2389797143</v>
      </c>
      <c r="K18" s="15">
        <f t="shared" si="7"/>
        <v>-2663571</v>
      </c>
      <c r="L18" s="20" t="str">
        <f t="shared" si="8"/>
        <v>▲ 遅れ</v>
      </c>
      <c r="M18" s="50">
        <v>2.0</v>
      </c>
      <c r="N18" s="50">
        <v>2.0</v>
      </c>
      <c r="O18" s="50">
        <v>11.0</v>
      </c>
      <c r="P18" s="50">
        <v>5.0</v>
      </c>
      <c r="Q18" s="50">
        <v>6.0</v>
      </c>
      <c r="R18" s="17">
        <f t="shared" si="9"/>
        <v>0.1818181818</v>
      </c>
      <c r="S18" s="15">
        <f t="shared" si="10"/>
        <v>23276</v>
      </c>
      <c r="T18" s="24">
        <f t="shared" si="11"/>
        <v>1</v>
      </c>
      <c r="U18" s="17">
        <f t="shared" si="12"/>
        <v>0.4545454545</v>
      </c>
      <c r="V18" s="22"/>
      <c r="W18" s="50">
        <v>43495.0</v>
      </c>
      <c r="X18" s="18"/>
      <c r="Y18" s="26"/>
      <c r="AA18" s="38" t="s">
        <v>73</v>
      </c>
      <c r="AH18" s="35" t="s">
        <v>107</v>
      </c>
      <c r="AI18" s="40">
        <f>$A$8+MOD(2-WEEKDAY($A$8,2)+7,7)</f>
        <v>46266</v>
      </c>
    </row>
    <row r="19">
      <c r="A19" s="32">
        <v>46277.0</v>
      </c>
      <c r="B19" s="21" t="str">
        <f t="shared" si="2"/>
        <v>土</v>
      </c>
      <c r="C19" s="49">
        <v>400000.0</v>
      </c>
      <c r="D19" s="23">
        <f t="shared" si="3"/>
        <v>3900000</v>
      </c>
      <c r="E19" s="49">
        <v>0.0</v>
      </c>
      <c r="F19" s="49">
        <v>23810.0</v>
      </c>
      <c r="G19" s="23">
        <f t="shared" si="4"/>
        <v>23810</v>
      </c>
      <c r="H19" s="23">
        <f t="shared" si="5"/>
        <v>860239</v>
      </c>
      <c r="I19" s="25">
        <f t="shared" ref="I19:J19" si="26">IF(G19="","",IFERROR(G19/C19,""))</f>
        <v>0.059525</v>
      </c>
      <c r="J19" s="25">
        <f t="shared" si="26"/>
        <v>0.2205741026</v>
      </c>
      <c r="K19" s="23">
        <f t="shared" si="7"/>
        <v>-3039761</v>
      </c>
      <c r="L19" s="33" t="str">
        <f t="shared" si="8"/>
        <v>▲ 遅れ</v>
      </c>
      <c r="M19" s="50">
        <v>1.0</v>
      </c>
      <c r="N19" s="50">
        <v>1.0</v>
      </c>
      <c r="O19" s="50">
        <v>13.0</v>
      </c>
      <c r="P19" s="50">
        <v>1.0</v>
      </c>
      <c r="Q19" s="50">
        <v>3.0</v>
      </c>
      <c r="R19" s="25">
        <f t="shared" si="9"/>
        <v>0.07692307692</v>
      </c>
      <c r="S19" s="23">
        <f t="shared" si="10"/>
        <v>23810</v>
      </c>
      <c r="T19" s="34">
        <f t="shared" si="11"/>
        <v>1</v>
      </c>
      <c r="U19" s="25">
        <f t="shared" si="12"/>
        <v>0.07692307692</v>
      </c>
      <c r="V19" s="22"/>
      <c r="W19" s="50">
        <v>43472.0</v>
      </c>
      <c r="X19" s="18"/>
      <c r="Y19" s="26"/>
      <c r="AA19" s="14" t="s">
        <v>76</v>
      </c>
      <c r="AB19" s="14" t="s">
        <v>77</v>
      </c>
      <c r="AC19" s="14" t="s">
        <v>78</v>
      </c>
      <c r="AD19" s="14" t="s">
        <v>18</v>
      </c>
      <c r="AE19" s="14" t="s">
        <v>19</v>
      </c>
      <c r="AF19" s="14" t="s">
        <v>20</v>
      </c>
      <c r="AG19" s="14" t="s">
        <v>21</v>
      </c>
    </row>
    <row r="20">
      <c r="A20" s="16">
        <v>46278.0</v>
      </c>
      <c r="B20" s="13" t="str">
        <f t="shared" si="2"/>
        <v>日</v>
      </c>
      <c r="C20" s="49">
        <v>400000.0</v>
      </c>
      <c r="D20" s="15">
        <f t="shared" si="3"/>
        <v>4300000</v>
      </c>
      <c r="E20" s="49">
        <v>67530.0</v>
      </c>
      <c r="F20" s="49">
        <v>0.0</v>
      </c>
      <c r="G20" s="15">
        <f t="shared" si="4"/>
        <v>67530</v>
      </c>
      <c r="H20" s="15">
        <f t="shared" si="5"/>
        <v>927769</v>
      </c>
      <c r="I20" s="17">
        <f t="shared" ref="I20:J20" si="27">IF(G20="","",IFERROR(G20/C20,""))</f>
        <v>0.168825</v>
      </c>
      <c r="J20" s="17">
        <f t="shared" si="27"/>
        <v>0.2157602326</v>
      </c>
      <c r="K20" s="15">
        <f t="shared" si="7"/>
        <v>-3372231</v>
      </c>
      <c r="L20" s="20" t="str">
        <f t="shared" si="8"/>
        <v>▲ 遅れ</v>
      </c>
      <c r="M20" s="50">
        <v>3.0</v>
      </c>
      <c r="N20" s="50">
        <v>3.0</v>
      </c>
      <c r="O20" s="50">
        <v>15.0</v>
      </c>
      <c r="P20" s="50">
        <v>11.0</v>
      </c>
      <c r="Q20" s="50">
        <v>20.0</v>
      </c>
      <c r="R20" s="17">
        <f t="shared" si="9"/>
        <v>0.2</v>
      </c>
      <c r="S20" s="15">
        <f t="shared" si="10"/>
        <v>22510</v>
      </c>
      <c r="T20" s="24">
        <f t="shared" si="11"/>
        <v>1</v>
      </c>
      <c r="U20" s="17">
        <f t="shared" si="12"/>
        <v>0.7333333333</v>
      </c>
      <c r="V20" s="22"/>
      <c r="W20" s="50">
        <v>43468.0</v>
      </c>
      <c r="X20" s="18"/>
      <c r="Y20" s="26"/>
      <c r="AA20" s="30">
        <v>1.0</v>
      </c>
      <c r="AB20" s="42" t="str">
        <f>IF($AI$18+7*(1-1)&gt;$A$37,"",TEXT($AI$18+7*(1-1),"m/d")&amp;"-"&amp;TEXT($AI$18+7*(1-1)+6,"m/d"))</f>
        <v>9/1-9/7</v>
      </c>
      <c r="AC20" s="29">
        <f>IF($AB20="","",(SUMIFS($G$8:$G$37,$A$8:$A$37,"&gt;="&amp;$AI$18+7*(1-1),$A$8:$A$37,"&lt;="&amp;$AI$18+7*(1-1)+6)+SUMIFS('2026年10月'!$G$8:$G$38,'2026年10月'!$A$8:$A$38,"&gt;="&amp;$AI$18+7*(1-1),'2026年10月'!$A$8:$A$38,"&lt;="&amp;$AI$18+7*(1-1)+6)))</f>
        <v>530881</v>
      </c>
      <c r="AD20" s="31">
        <f>IF($AB20="","",IFERROR((SUMIFS($M$8:$M$37,$A$8:$A$37,"&gt;="&amp;$AI$18+7*(1-1),$A$8:$A$37,"&lt;="&amp;$AI$18+7*(1-1)+6)+SUMIFS('2026年10月'!$M$8:$M$38,'2026年10月'!$A$8:$A$38,"&gt;="&amp;$AI$18+7*(1-1),'2026年10月'!$A$8:$A$38,"&lt;="&amp;$AI$18+7*(1-1)+6))/(SUMIFS($O$8:$O$37,$A$8:$A$37,"&gt;="&amp;$AI$18+7*(1-1),$A$8:$A$37,"&lt;="&amp;$AI$18+7*(1-1)+6)+SUMIFS('2026年10月'!$O$8:$O$38,'2026年10月'!$A$8:$A$38,"&gt;="&amp;$AI$18+7*(1-1),'2026年10月'!$A$8:$A$38,"&lt;="&amp;$AI$18+7*(1-1)+6)),""))</f>
        <v>0.3472222222</v>
      </c>
      <c r="AE20" s="29">
        <f>IF($AB20="","",IFERROR((SUMIFS($G$8:$G$37,$A$8:$A$37,"&gt;="&amp;$AI$18+7*(1-1),$A$8:$A$37,"&lt;="&amp;$AI$18+7*(1-1)+6)+SUMIFS('2026年10月'!$G$8:$G$38,'2026年10月'!$A$8:$A$38,"&gt;="&amp;$AI$18+7*(1-1),'2026年10月'!$A$8:$A$38,"&lt;="&amp;$AI$18+7*(1-1)+6))/(SUMIFS($M$8:$M$37,$A$8:$A$37,"&gt;="&amp;$AI$18+7*(1-1),$A$8:$A$37,"&lt;="&amp;$AI$18+7*(1-1)+6)+SUMIFS('2026年10月'!$M$8:$M$38,'2026年10月'!$A$8:$A$38,"&gt;="&amp;$AI$18+7*(1-1),'2026年10月'!$A$8:$A$38,"&lt;="&amp;$AI$18+7*(1-1)+6)),""))</f>
        <v>21235.24</v>
      </c>
      <c r="AF20" s="43">
        <f>IF($AB20="","",IFERROR((SUMIFS($N$8:$N$37,$A$8:$A$37,"&gt;="&amp;$AI$18+7*(1-1),$A$8:$A$37,"&lt;="&amp;$AI$18+7*(1-1)+6)+SUMIFS('2026年10月'!$N$8:$N$38,'2026年10月'!$A$8:$A$38,"&gt;="&amp;$AI$18+7*(1-1),'2026年10月'!$A$8:$A$38,"&lt;="&amp;$AI$18+7*(1-1)+6))/(SUMIFS($M$8:$M$37,$A$8:$A$37,"&gt;="&amp;$AI$18+7*(1-1),$A$8:$A$37,"&lt;="&amp;$AI$18+7*(1-1)+6)+SUMIFS('2026年10月'!$M$8:$M$38,'2026年10月'!$A$8:$A$38,"&gt;="&amp;$AI$18+7*(1-1),'2026年10月'!$A$8:$A$38,"&lt;="&amp;$AI$18+7*(1-1)+6)),""))</f>
        <v>1.12</v>
      </c>
      <c r="AG20" s="31">
        <f>IF($AB20="","",IFERROR((SUMIFS($P$8:$P$37,$A$8:$A$37,"&gt;="&amp;$AI$18+7*(1-1),$A$8:$A$37,"&lt;="&amp;$AI$18+7*(1-1)+6)+SUMIFS('2026年10月'!$P$8:$P$38,'2026年10月'!$A$8:$A$38,"&gt;="&amp;$AI$18+7*(1-1),'2026年10月'!$A$8:$A$38,"&lt;="&amp;$AI$18+7*(1-1)+6))/(SUMIFS($O$8:$O$37,$A$8:$A$37,"&gt;="&amp;$AI$18+7*(1-1),$A$8:$A$37,"&lt;="&amp;$AI$18+7*(1-1)+6)+SUMIFS('2026年10月'!$O$8:$O$38,'2026年10月'!$A$8:$A$38,"&gt;="&amp;$AI$18+7*(1-1),'2026年10月'!$A$8:$A$38,"&lt;="&amp;$AI$18+7*(1-1)+6)),""))</f>
        <v>0.5833333333</v>
      </c>
    </row>
    <row r="21" ht="15.75" customHeight="1">
      <c r="A21" s="32">
        <v>46279.0</v>
      </c>
      <c r="B21" s="21" t="str">
        <f t="shared" si="2"/>
        <v>月</v>
      </c>
      <c r="C21" s="49">
        <v>300000.0</v>
      </c>
      <c r="D21" s="23">
        <f t="shared" si="3"/>
        <v>4600000</v>
      </c>
      <c r="E21" s="49">
        <v>0.0</v>
      </c>
      <c r="F21" s="49">
        <v>42464.0</v>
      </c>
      <c r="G21" s="23">
        <f t="shared" si="4"/>
        <v>42464</v>
      </c>
      <c r="H21" s="23">
        <f t="shared" si="5"/>
        <v>970233</v>
      </c>
      <c r="I21" s="25">
        <f t="shared" ref="I21:J21" si="28">IF(G21="","",IFERROR(G21/C21,""))</f>
        <v>0.1415466667</v>
      </c>
      <c r="J21" s="25">
        <f t="shared" si="28"/>
        <v>0.2109202174</v>
      </c>
      <c r="K21" s="23">
        <f t="shared" si="7"/>
        <v>-3629767</v>
      </c>
      <c r="L21" s="33" t="str">
        <f t="shared" si="8"/>
        <v>▲ 遅れ</v>
      </c>
      <c r="M21" s="50">
        <v>2.0</v>
      </c>
      <c r="N21" s="50">
        <v>2.0</v>
      </c>
      <c r="O21" s="50">
        <v>11.0</v>
      </c>
      <c r="P21" s="50">
        <v>3.0</v>
      </c>
      <c r="Q21" s="50">
        <v>5.0</v>
      </c>
      <c r="R21" s="25">
        <f t="shared" si="9"/>
        <v>0.1818181818</v>
      </c>
      <c r="S21" s="23">
        <f t="shared" si="10"/>
        <v>21232</v>
      </c>
      <c r="T21" s="34">
        <f t="shared" si="11"/>
        <v>1</v>
      </c>
      <c r="U21" s="25">
        <f t="shared" si="12"/>
        <v>0.2727272727</v>
      </c>
      <c r="V21" s="22"/>
      <c r="W21" s="50">
        <v>43430.0</v>
      </c>
      <c r="X21" s="18"/>
      <c r="Y21" s="26"/>
      <c r="AA21" s="30">
        <v>2.0</v>
      </c>
      <c r="AB21" s="42" t="str">
        <f>IF($AI$18+7*(2-1)&gt;$A$37,"",TEXT($AI$18+7*(2-1),"m/d")&amp;"-"&amp;TEXT($AI$18+7*(2-1)+6,"m/d"))</f>
        <v>9/8-9/14</v>
      </c>
      <c r="AC21" s="29">
        <f>IF($AB21="","",(SUMIFS($G$8:$G$37,$A$8:$A$37,"&gt;="&amp;$AI$18+7*(2-1),$A$8:$A$37,"&lt;="&amp;$AI$18+7*(2-1)+6)+SUMIFS('2026年10月'!$G$8:$G$38,'2026年10月'!$A$8:$A$38,"&gt;="&amp;$AI$18+7*(2-1),'2026年10月'!$A$8:$A$38,"&lt;="&amp;$AI$18+7*(2-1)+6)))</f>
        <v>439352</v>
      </c>
      <c r="AD21" s="31">
        <f>IF($AB21="","",IFERROR((SUMIFS($M$8:$M$37,$A$8:$A$37,"&gt;="&amp;$AI$18+7*(2-1),$A$8:$A$37,"&lt;="&amp;$AI$18+7*(2-1)+6)+SUMIFS('2026年10月'!$M$8:$M$38,'2026年10月'!$A$8:$A$38,"&gt;="&amp;$AI$18+7*(2-1),'2026年10月'!$A$8:$A$38,"&lt;="&amp;$AI$18+7*(2-1)+6))/(SUMIFS($O$8:$O$37,$A$8:$A$37,"&gt;="&amp;$AI$18+7*(2-1),$A$8:$A$37,"&lt;="&amp;$AI$18+7*(2-1)+6)+SUMIFS('2026年10月'!$O$8:$O$38,'2026年10月'!$A$8:$A$38,"&gt;="&amp;$AI$18+7*(2-1),'2026年10月'!$A$8:$A$38,"&lt;="&amp;$AI$18+7*(2-1)+6)),""))</f>
        <v>0.2435897436</v>
      </c>
      <c r="AE21" s="29">
        <f>IF($AB21="","",IFERROR((SUMIFS($G$8:$G$37,$A$8:$A$37,"&gt;="&amp;$AI$18+7*(2-1),$A$8:$A$37,"&lt;="&amp;$AI$18+7*(2-1)+6)+SUMIFS('2026年10月'!$G$8:$G$38,'2026年10月'!$A$8:$A$38,"&gt;="&amp;$AI$18+7*(2-1),'2026年10月'!$A$8:$A$38,"&lt;="&amp;$AI$18+7*(2-1)+6))/(SUMIFS($M$8:$M$37,$A$8:$A$37,"&gt;="&amp;$AI$18+7*(2-1),$A$8:$A$37,"&lt;="&amp;$AI$18+7*(2-1)+6)+SUMIFS('2026年10月'!$M$8:$M$38,'2026年10月'!$A$8:$A$38,"&gt;="&amp;$AI$18+7*(2-1),'2026年10月'!$A$8:$A$38,"&lt;="&amp;$AI$18+7*(2-1)+6)),""))</f>
        <v>23123.78947</v>
      </c>
      <c r="AF21" s="43">
        <f>IF($AB21="","",IFERROR((SUMIFS($N$8:$N$37,$A$8:$A$37,"&gt;="&amp;$AI$18+7*(2-1),$A$8:$A$37,"&lt;="&amp;$AI$18+7*(2-1)+6)+SUMIFS('2026年10月'!$N$8:$N$38,'2026年10月'!$A$8:$A$38,"&gt;="&amp;$AI$18+7*(2-1),'2026年10月'!$A$8:$A$38,"&lt;="&amp;$AI$18+7*(2-1)+6))/(SUMIFS($M$8:$M$37,$A$8:$A$37,"&gt;="&amp;$AI$18+7*(2-1),$A$8:$A$37,"&lt;="&amp;$AI$18+7*(2-1)+6)+SUMIFS('2026年10月'!$M$8:$M$38,'2026年10月'!$A$8:$A$38,"&gt;="&amp;$AI$18+7*(2-1),'2026年10月'!$A$8:$A$38,"&lt;="&amp;$AI$18+7*(2-1)+6)),""))</f>
        <v>1.052631579</v>
      </c>
      <c r="AG21" s="31">
        <f>IF($AB21="","",IFERROR((SUMIFS($P$8:$P$37,$A$8:$A$37,"&gt;="&amp;$AI$18+7*(2-1),$A$8:$A$37,"&lt;="&amp;$AI$18+7*(2-1)+6)+SUMIFS('2026年10月'!$P$8:$P$38,'2026年10月'!$A$8:$A$38,"&gt;="&amp;$AI$18+7*(2-1),'2026年10月'!$A$8:$A$38,"&lt;="&amp;$AI$18+7*(2-1)+6))/(SUMIFS($O$8:$O$37,$A$8:$A$37,"&gt;="&amp;$AI$18+7*(2-1),$A$8:$A$37,"&lt;="&amp;$AI$18+7*(2-1)+6)+SUMIFS('2026年10月'!$O$8:$O$38,'2026年10月'!$A$8:$A$38,"&gt;="&amp;$AI$18+7*(2-1),'2026年10月'!$A$8:$A$38,"&lt;="&amp;$AI$18+7*(2-1)+6)),""))</f>
        <v>0.4743589744</v>
      </c>
    </row>
    <row r="22" ht="15.75" customHeight="1">
      <c r="A22" s="16">
        <v>46280.0</v>
      </c>
      <c r="B22" s="13" t="str">
        <f t="shared" si="2"/>
        <v>火</v>
      </c>
      <c r="C22" s="49">
        <v>300000.0</v>
      </c>
      <c r="D22" s="15">
        <f t="shared" si="3"/>
        <v>4900000</v>
      </c>
      <c r="E22" s="18"/>
      <c r="F22" s="49">
        <v>42706.0</v>
      </c>
      <c r="G22" s="15">
        <f t="shared" si="4"/>
        <v>42706</v>
      </c>
      <c r="H22" s="15">
        <f t="shared" si="5"/>
        <v>1012939</v>
      </c>
      <c r="I22" s="17">
        <f t="shared" ref="I22:J22" si="29">IF(G22="","",IFERROR(G22/C22,""))</f>
        <v>0.1423533333</v>
      </c>
      <c r="J22" s="17">
        <f t="shared" si="29"/>
        <v>0.2067222449</v>
      </c>
      <c r="K22" s="15">
        <f t="shared" si="7"/>
        <v>-3887061</v>
      </c>
      <c r="L22" s="20" t="str">
        <f t="shared" si="8"/>
        <v>▲ 遅れ</v>
      </c>
      <c r="M22" s="50">
        <v>2.0</v>
      </c>
      <c r="N22" s="50">
        <v>2.0</v>
      </c>
      <c r="O22" s="50">
        <v>8.0</v>
      </c>
      <c r="P22" s="50">
        <v>5.0</v>
      </c>
      <c r="Q22" s="50">
        <v>9.0</v>
      </c>
      <c r="R22" s="17">
        <f t="shared" si="9"/>
        <v>0.25</v>
      </c>
      <c r="S22" s="15">
        <f t="shared" si="10"/>
        <v>21353</v>
      </c>
      <c r="T22" s="24">
        <f t="shared" si="11"/>
        <v>1</v>
      </c>
      <c r="U22" s="17">
        <f t="shared" si="12"/>
        <v>0.625</v>
      </c>
      <c r="V22" s="22"/>
      <c r="W22" s="50">
        <v>43410.0</v>
      </c>
      <c r="X22" s="18"/>
      <c r="Y22" s="26"/>
      <c r="AA22" s="30">
        <v>3.0</v>
      </c>
      <c r="AB22" s="42" t="str">
        <f>IF($AI$18+7*(3-1)&gt;$A$37,"",TEXT($AI$18+7*(3-1),"m/d")&amp;"-"&amp;TEXT($AI$18+7*(3-1)+6,"m/d"))</f>
        <v>9/15-9/21</v>
      </c>
      <c r="AC22" s="29">
        <f>IF($AB22="","",(SUMIFS($G$8:$G$37,$A$8:$A$37,"&gt;="&amp;$AI$18+7*(3-1),$A$8:$A$37,"&lt;="&amp;$AI$18+7*(3-1)+6)+SUMIFS('2026年10月'!$G$8:$G$38,'2026年10月'!$A$8:$A$38,"&gt;="&amp;$AI$18+7*(3-1),'2026年10月'!$A$8:$A$38,"&lt;="&amp;$AI$18+7*(3-1)+6)))</f>
        <v>701155</v>
      </c>
      <c r="AD22" s="31">
        <f>IF($AB22="","",IFERROR((SUMIFS($M$8:$M$37,$A$8:$A$37,"&gt;="&amp;$AI$18+7*(3-1),$A$8:$A$37,"&lt;="&amp;$AI$18+7*(3-1)+6)+SUMIFS('2026年10月'!$M$8:$M$38,'2026年10月'!$A$8:$A$38,"&gt;="&amp;$AI$18+7*(3-1),'2026年10月'!$A$8:$A$38,"&lt;="&amp;$AI$18+7*(3-1)+6))/(SUMIFS($O$8:$O$37,$A$8:$A$37,"&gt;="&amp;$AI$18+7*(3-1),$A$8:$A$37,"&lt;="&amp;$AI$18+7*(3-1)+6)+SUMIFS('2026年10月'!$O$8:$O$38,'2026年10月'!$A$8:$A$38,"&gt;="&amp;$AI$18+7*(3-1),'2026年10月'!$A$8:$A$38,"&lt;="&amp;$AI$18+7*(3-1)+6)),""))</f>
        <v>0.447761194</v>
      </c>
      <c r="AE22" s="29">
        <f>IF($AB22="","",IFERROR((SUMIFS($G$8:$G$37,$A$8:$A$37,"&gt;="&amp;$AI$18+7*(3-1),$A$8:$A$37,"&lt;="&amp;$AI$18+7*(3-1)+6)+SUMIFS('2026年10月'!$G$8:$G$38,'2026年10月'!$A$8:$A$38,"&gt;="&amp;$AI$18+7*(3-1),'2026年10月'!$A$8:$A$38,"&lt;="&amp;$AI$18+7*(3-1)+6))/(SUMIFS($M$8:$M$37,$A$8:$A$37,"&gt;="&amp;$AI$18+7*(3-1),$A$8:$A$37,"&lt;="&amp;$AI$18+7*(3-1)+6)+SUMIFS('2026年10月'!$M$8:$M$38,'2026年10月'!$A$8:$A$38,"&gt;="&amp;$AI$18+7*(3-1),'2026年10月'!$A$8:$A$38,"&lt;="&amp;$AI$18+7*(3-1)+6)),""))</f>
        <v>23371.83333</v>
      </c>
      <c r="AF22" s="43">
        <f>IF($AB22="","",IFERROR((SUMIFS($N$8:$N$37,$A$8:$A$37,"&gt;="&amp;$AI$18+7*(3-1),$A$8:$A$37,"&lt;="&amp;$AI$18+7*(3-1)+6)+SUMIFS('2026年10月'!$N$8:$N$38,'2026年10月'!$A$8:$A$38,"&gt;="&amp;$AI$18+7*(3-1),'2026年10月'!$A$8:$A$38,"&lt;="&amp;$AI$18+7*(3-1)+6))/(SUMIFS($M$8:$M$37,$A$8:$A$37,"&gt;="&amp;$AI$18+7*(3-1),$A$8:$A$37,"&lt;="&amp;$AI$18+7*(3-1)+6)+SUMIFS('2026年10月'!$M$8:$M$38,'2026年10月'!$A$8:$A$38,"&gt;="&amp;$AI$18+7*(3-1),'2026年10月'!$A$8:$A$38,"&lt;="&amp;$AI$18+7*(3-1)+6)),""))</f>
        <v>1.066666667</v>
      </c>
      <c r="AG22" s="31">
        <f>IF($AB22="","",IFERROR((SUMIFS($P$8:$P$37,$A$8:$A$37,"&gt;="&amp;$AI$18+7*(3-1),$A$8:$A$37,"&lt;="&amp;$AI$18+7*(3-1)+6)+SUMIFS('2026年10月'!$P$8:$P$38,'2026年10月'!$A$8:$A$38,"&gt;="&amp;$AI$18+7*(3-1),'2026年10月'!$A$8:$A$38,"&lt;="&amp;$AI$18+7*(3-1)+6))/(SUMIFS($O$8:$O$37,$A$8:$A$37,"&gt;="&amp;$AI$18+7*(3-1),$A$8:$A$37,"&lt;="&amp;$AI$18+7*(3-1)+6)+SUMIFS('2026年10月'!$O$8:$O$38,'2026年10月'!$A$8:$A$38,"&gt;="&amp;$AI$18+7*(3-1),'2026年10月'!$A$8:$A$38,"&lt;="&amp;$AI$18+7*(3-1)+6)),""))</f>
        <v>0.7164179104</v>
      </c>
    </row>
    <row r="23" ht="15.75" customHeight="1">
      <c r="A23" s="32">
        <v>46281.0</v>
      </c>
      <c r="B23" s="21" t="str">
        <f t="shared" si="2"/>
        <v>水</v>
      </c>
      <c r="C23" s="49">
        <v>300000.0</v>
      </c>
      <c r="D23" s="23">
        <f t="shared" si="3"/>
        <v>5200000</v>
      </c>
      <c r="E23" s="49">
        <v>0.0</v>
      </c>
      <c r="F23" s="49">
        <v>60604.0</v>
      </c>
      <c r="G23" s="23">
        <f t="shared" si="4"/>
        <v>60604</v>
      </c>
      <c r="H23" s="23">
        <f t="shared" si="5"/>
        <v>1073543</v>
      </c>
      <c r="I23" s="25">
        <f t="shared" ref="I23:J23" si="30">IF(G23="","",IFERROR(G23/C23,""))</f>
        <v>0.2020133333</v>
      </c>
      <c r="J23" s="25">
        <f t="shared" si="30"/>
        <v>0.2064505769</v>
      </c>
      <c r="K23" s="23">
        <f t="shared" si="7"/>
        <v>-4126457</v>
      </c>
      <c r="L23" s="33" t="str">
        <f t="shared" si="8"/>
        <v>▲ 遅れ</v>
      </c>
      <c r="M23" s="50">
        <v>3.0</v>
      </c>
      <c r="N23" s="50">
        <v>3.0</v>
      </c>
      <c r="O23" s="50">
        <v>7.0</v>
      </c>
      <c r="P23" s="50">
        <v>5.0</v>
      </c>
      <c r="Q23" s="50">
        <v>8.0</v>
      </c>
      <c r="R23" s="25">
        <f t="shared" si="9"/>
        <v>0.4285714286</v>
      </c>
      <c r="S23" s="23">
        <f t="shared" si="10"/>
        <v>20201.33333</v>
      </c>
      <c r="T23" s="34">
        <f t="shared" si="11"/>
        <v>1</v>
      </c>
      <c r="U23" s="25">
        <f t="shared" si="12"/>
        <v>0.7142857143</v>
      </c>
      <c r="V23" s="22"/>
      <c r="W23" s="50">
        <v>43408.0</v>
      </c>
      <c r="X23" s="18"/>
      <c r="Y23" s="26"/>
      <c r="AA23" s="30">
        <v>4.0</v>
      </c>
      <c r="AB23" s="42" t="str">
        <f>IF($AI$18+7*(4-1)&gt;$A$37,"",TEXT($AI$18+7*(4-1),"m/d")&amp;"-"&amp;TEXT($AI$18+7*(4-1)+6,"m/d"))</f>
        <v>9/22-9/28</v>
      </c>
      <c r="AC23" s="29">
        <f>IF($AB23="","",(SUMIFS($G$8:$G$37,$A$8:$A$37,"&gt;="&amp;$AI$18+7*(4-1),$A$8:$A$37,"&lt;="&amp;$AI$18+7*(4-1)+6)+SUMIFS('2026年10月'!$G$8:$G$38,'2026年10月'!$A$8:$A$38,"&gt;="&amp;$AI$18+7*(4-1),'2026年10月'!$A$8:$A$38,"&lt;="&amp;$AI$18+7*(4-1)+6)))</f>
        <v>734960</v>
      </c>
      <c r="AD23" s="31">
        <f>IF($AB23="","",IFERROR((SUMIFS($M$8:$M$37,$A$8:$A$37,"&gt;="&amp;$AI$18+7*(4-1),$A$8:$A$37,"&lt;="&amp;$AI$18+7*(4-1)+6)+SUMIFS('2026年10月'!$M$8:$M$38,'2026年10月'!$A$8:$A$38,"&gt;="&amp;$AI$18+7*(4-1),'2026年10月'!$A$8:$A$38,"&lt;="&amp;$AI$18+7*(4-1)+6))/(SUMIFS($O$8:$O$37,$A$8:$A$37,"&gt;="&amp;$AI$18+7*(4-1),$A$8:$A$37,"&lt;="&amp;$AI$18+7*(4-1)+6)+SUMIFS('2026年10月'!$O$8:$O$38,'2026年10月'!$A$8:$A$38,"&gt;="&amp;$AI$18+7*(4-1),'2026年10月'!$A$8:$A$38,"&lt;="&amp;$AI$18+7*(4-1)+6)),""))</f>
        <v>0.369047619</v>
      </c>
      <c r="AE23" s="29">
        <f>IF($AB23="","",IFERROR((SUMIFS($G$8:$G$37,$A$8:$A$37,"&gt;="&amp;$AI$18+7*(4-1),$A$8:$A$37,"&lt;="&amp;$AI$18+7*(4-1)+6)+SUMIFS('2026年10月'!$G$8:$G$38,'2026年10月'!$A$8:$A$38,"&gt;="&amp;$AI$18+7*(4-1),'2026年10月'!$A$8:$A$38,"&lt;="&amp;$AI$18+7*(4-1)+6))/(SUMIFS($M$8:$M$37,$A$8:$A$37,"&gt;="&amp;$AI$18+7*(4-1),$A$8:$A$37,"&lt;="&amp;$AI$18+7*(4-1)+6)+SUMIFS('2026年10月'!$M$8:$M$38,'2026年10月'!$A$8:$A$38,"&gt;="&amp;$AI$18+7*(4-1),'2026年10月'!$A$8:$A$38,"&lt;="&amp;$AI$18+7*(4-1)+6)),""))</f>
        <v>23708.3871</v>
      </c>
      <c r="AF23" s="43">
        <f>IF($AB23="","",IFERROR((SUMIFS($N$8:$N$37,$A$8:$A$37,"&gt;="&amp;$AI$18+7*(4-1),$A$8:$A$37,"&lt;="&amp;$AI$18+7*(4-1)+6)+SUMIFS('2026年10月'!$N$8:$N$38,'2026年10月'!$A$8:$A$38,"&gt;="&amp;$AI$18+7*(4-1),'2026年10月'!$A$8:$A$38,"&lt;="&amp;$AI$18+7*(4-1)+6))/(SUMIFS($M$8:$M$37,$A$8:$A$37,"&gt;="&amp;$AI$18+7*(4-1),$A$8:$A$37,"&lt;="&amp;$AI$18+7*(4-1)+6)+SUMIFS('2026年10月'!$M$8:$M$38,'2026年10月'!$A$8:$A$38,"&gt;="&amp;$AI$18+7*(4-1),'2026年10月'!$A$8:$A$38,"&lt;="&amp;$AI$18+7*(4-1)+6)),""))</f>
        <v>1.161290323</v>
      </c>
      <c r="AG23" s="31">
        <f>IF($AB23="","",IFERROR((SUMIFS($P$8:$P$37,$A$8:$A$37,"&gt;="&amp;$AI$18+7*(4-1),$A$8:$A$37,"&lt;="&amp;$AI$18+7*(4-1)+6)+SUMIFS('2026年10月'!$P$8:$P$38,'2026年10月'!$A$8:$A$38,"&gt;="&amp;$AI$18+7*(4-1),'2026年10月'!$A$8:$A$38,"&lt;="&amp;$AI$18+7*(4-1)+6))/(SUMIFS($O$8:$O$37,$A$8:$A$37,"&gt;="&amp;$AI$18+7*(4-1),$A$8:$A$37,"&lt;="&amp;$AI$18+7*(4-1)+6)+SUMIFS('2026年10月'!$O$8:$O$38,'2026年10月'!$A$8:$A$38,"&gt;="&amp;$AI$18+7*(4-1),'2026年10月'!$A$8:$A$38,"&lt;="&amp;$AI$18+7*(4-1)+6)),""))</f>
        <v>0.5833333333</v>
      </c>
    </row>
    <row r="24" ht="15.75" customHeight="1">
      <c r="A24" s="16">
        <v>46282.0</v>
      </c>
      <c r="B24" s="13" t="str">
        <f t="shared" si="2"/>
        <v>木</v>
      </c>
      <c r="C24" s="49">
        <v>300000.0</v>
      </c>
      <c r="D24" s="15">
        <f t="shared" si="3"/>
        <v>5500000</v>
      </c>
      <c r="E24" s="49">
        <v>0.0</v>
      </c>
      <c r="F24" s="49">
        <v>98983.0</v>
      </c>
      <c r="G24" s="15">
        <f t="shared" si="4"/>
        <v>98983</v>
      </c>
      <c r="H24" s="15">
        <f t="shared" si="5"/>
        <v>1172526</v>
      </c>
      <c r="I24" s="17">
        <f t="shared" ref="I24:J24" si="31">IF(G24="","",IFERROR(G24/C24,""))</f>
        <v>0.3299433333</v>
      </c>
      <c r="J24" s="17">
        <f t="shared" si="31"/>
        <v>0.2131865455</v>
      </c>
      <c r="K24" s="15">
        <f t="shared" si="7"/>
        <v>-4327474</v>
      </c>
      <c r="L24" s="20" t="str">
        <f t="shared" si="8"/>
        <v>▲ 遅れ</v>
      </c>
      <c r="M24" s="50">
        <v>4.0</v>
      </c>
      <c r="N24" s="50">
        <v>5.0</v>
      </c>
      <c r="O24" s="50">
        <v>10.0</v>
      </c>
      <c r="P24" s="50">
        <v>7.0</v>
      </c>
      <c r="Q24" s="50">
        <v>10.0</v>
      </c>
      <c r="R24" s="17">
        <f t="shared" si="9"/>
        <v>0.4</v>
      </c>
      <c r="S24" s="15">
        <f t="shared" si="10"/>
        <v>24745.75</v>
      </c>
      <c r="T24" s="24">
        <f t="shared" si="11"/>
        <v>1.25</v>
      </c>
      <c r="U24" s="17">
        <f t="shared" si="12"/>
        <v>0.7</v>
      </c>
      <c r="V24" s="22"/>
      <c r="W24" s="50">
        <v>43406.0</v>
      </c>
      <c r="X24" s="18"/>
      <c r="Y24" s="26"/>
      <c r="AA24" s="30">
        <v>5.0</v>
      </c>
      <c r="AB24" s="42" t="str">
        <f>IF($AI$18+7*(5-1)&gt;$A$37,"",TEXT($AI$18+7*(5-1),"m/d")&amp;"-"&amp;TEXT($AI$18+7*(5-1)+6,"m/d"))</f>
        <v>9/29-10/5</v>
      </c>
      <c r="AC24" s="29">
        <f>IF($AB24="","",(SUMIFS($G$8:$G$37,$A$8:$A$37,"&gt;="&amp;$AI$18+7*(5-1),$A$8:$A$37,"&lt;="&amp;$AI$18+7*(5-1)+6)+SUMIFS('2026年10月'!$G$8:$G$38,'2026年10月'!$A$8:$A$38,"&gt;="&amp;$AI$18+7*(5-1),'2026年10月'!$A$8:$A$38,"&lt;="&amp;$AI$18+7*(5-1)+6)))</f>
        <v>625873</v>
      </c>
      <c r="AD24" s="31">
        <f>IF($AB24="","",IFERROR((SUMIFS($M$8:$M$37,$A$8:$A$37,"&gt;="&amp;$AI$18+7*(5-1),$A$8:$A$37,"&lt;="&amp;$AI$18+7*(5-1)+6)+SUMIFS('2026年10月'!$M$8:$M$38,'2026年10月'!$A$8:$A$38,"&gt;="&amp;$AI$18+7*(5-1),'2026年10月'!$A$8:$A$38,"&lt;="&amp;$AI$18+7*(5-1)+6))/(SUMIFS($O$8:$O$37,$A$8:$A$37,"&gt;="&amp;$AI$18+7*(5-1),$A$8:$A$37,"&lt;="&amp;$AI$18+7*(5-1)+6)+SUMIFS('2026年10月'!$O$8:$O$38,'2026年10月'!$A$8:$A$38,"&gt;="&amp;$AI$18+7*(5-1),'2026年10月'!$A$8:$A$38,"&lt;="&amp;$AI$18+7*(5-1)+6)),""))</f>
        <v>0.3142857143</v>
      </c>
      <c r="AE24" s="29">
        <f>IF($AB24="","",IFERROR((SUMIFS($G$8:$G$37,$A$8:$A$37,"&gt;="&amp;$AI$18+7*(5-1),$A$8:$A$37,"&lt;="&amp;$AI$18+7*(5-1)+6)+SUMIFS('2026年10月'!$G$8:$G$38,'2026年10月'!$A$8:$A$38,"&gt;="&amp;$AI$18+7*(5-1),'2026年10月'!$A$8:$A$38,"&lt;="&amp;$AI$18+7*(5-1)+6))/(SUMIFS($M$8:$M$37,$A$8:$A$37,"&gt;="&amp;$AI$18+7*(5-1),$A$8:$A$37,"&lt;="&amp;$AI$18+7*(5-1)+6)+SUMIFS('2026年10月'!$M$8:$M$38,'2026年10月'!$A$8:$A$38,"&gt;="&amp;$AI$18+7*(5-1),'2026年10月'!$A$8:$A$38,"&lt;="&amp;$AI$18+7*(5-1)+6)),""))</f>
        <v>18965.84848</v>
      </c>
      <c r="AF24" s="43">
        <f>IF($AB24="","",IFERROR((SUMIFS($N$8:$N$37,$A$8:$A$37,"&gt;="&amp;$AI$18+7*(5-1),$A$8:$A$37,"&lt;="&amp;$AI$18+7*(5-1)+6)+SUMIFS('2026年10月'!$N$8:$N$38,'2026年10月'!$A$8:$A$38,"&gt;="&amp;$AI$18+7*(5-1),'2026年10月'!$A$8:$A$38,"&lt;="&amp;$AI$18+7*(5-1)+6))/(SUMIFS($M$8:$M$37,$A$8:$A$37,"&gt;="&amp;$AI$18+7*(5-1),$A$8:$A$37,"&lt;="&amp;$AI$18+7*(5-1)+6)+SUMIFS('2026年10月'!$M$8:$M$38,'2026年10月'!$A$8:$A$38,"&gt;="&amp;$AI$18+7*(5-1),'2026年10月'!$A$8:$A$38,"&lt;="&amp;$AI$18+7*(5-1)+6)),""))</f>
        <v>1</v>
      </c>
      <c r="AG24" s="31">
        <f>IF($AB24="","",IFERROR((SUMIFS($P$8:$P$37,$A$8:$A$37,"&gt;="&amp;$AI$18+7*(5-1),$A$8:$A$37,"&lt;="&amp;$AI$18+7*(5-1)+6)+SUMIFS('2026年10月'!$P$8:$P$38,'2026年10月'!$A$8:$A$38,"&gt;="&amp;$AI$18+7*(5-1),'2026年10月'!$A$8:$A$38,"&lt;="&amp;$AI$18+7*(5-1)+6))/(SUMIFS($O$8:$O$37,$A$8:$A$37,"&gt;="&amp;$AI$18+7*(5-1),$A$8:$A$37,"&lt;="&amp;$AI$18+7*(5-1)+6)+SUMIFS('2026年10月'!$O$8:$O$38,'2026年10月'!$A$8:$A$38,"&gt;="&amp;$AI$18+7*(5-1),'2026年10月'!$A$8:$A$38,"&lt;="&amp;$AI$18+7*(5-1)+6)),""))</f>
        <v>0.5428571429</v>
      </c>
    </row>
    <row r="25" ht="15.75" customHeight="1">
      <c r="A25" s="32">
        <v>46283.0</v>
      </c>
      <c r="B25" s="21" t="str">
        <f t="shared" si="2"/>
        <v>金</v>
      </c>
      <c r="C25" s="49">
        <v>300000.0</v>
      </c>
      <c r="D25" s="23">
        <f t="shared" si="3"/>
        <v>5800000</v>
      </c>
      <c r="E25" s="49">
        <v>0.0</v>
      </c>
      <c r="F25" s="49">
        <v>40162.0</v>
      </c>
      <c r="G25" s="23">
        <f t="shared" si="4"/>
        <v>40162</v>
      </c>
      <c r="H25" s="23">
        <f t="shared" si="5"/>
        <v>1212688</v>
      </c>
      <c r="I25" s="25">
        <f t="shared" ref="I25:J25" si="32">IF(G25="","",IFERROR(G25/C25,""))</f>
        <v>0.1338733333</v>
      </c>
      <c r="J25" s="25">
        <f t="shared" si="32"/>
        <v>0.2090841379</v>
      </c>
      <c r="K25" s="23">
        <f t="shared" si="7"/>
        <v>-4587312</v>
      </c>
      <c r="L25" s="33" t="str">
        <f t="shared" si="8"/>
        <v>▲ 遅れ</v>
      </c>
      <c r="M25" s="50">
        <v>2.0</v>
      </c>
      <c r="N25" s="50">
        <v>2.0</v>
      </c>
      <c r="O25" s="50">
        <v>8.0</v>
      </c>
      <c r="P25" s="50">
        <v>4.0</v>
      </c>
      <c r="Q25" s="50">
        <v>2.0</v>
      </c>
      <c r="R25" s="25">
        <f t="shared" si="9"/>
        <v>0.25</v>
      </c>
      <c r="S25" s="23">
        <f t="shared" si="10"/>
        <v>20081</v>
      </c>
      <c r="T25" s="34">
        <f t="shared" si="11"/>
        <v>1</v>
      </c>
      <c r="U25" s="25">
        <f t="shared" si="12"/>
        <v>0.5</v>
      </c>
      <c r="V25" s="22"/>
      <c r="W25" s="50">
        <v>43339.0</v>
      </c>
      <c r="X25" s="18"/>
      <c r="Y25" s="26"/>
      <c r="AA25" s="30">
        <v>6.0</v>
      </c>
      <c r="AB25" s="42" t="str">
        <f>IF($AI$18+7*(6-1)&gt;$A$37,"",TEXT($AI$18+7*(6-1),"m/d")&amp;"-"&amp;TEXT($AI$18+7*(6-1)+6,"m/d"))</f>
        <v/>
      </c>
      <c r="AC25" s="29" t="str">
        <f>IF($AB25="","",(SUMIFS($G$8:$G$37,$A$8:$A$37,"&gt;="&amp;$AI$18+7*(6-1),$A$8:$A$37,"&lt;="&amp;$AI$18+7*(6-1)+6)+SUMIFS('2026年10月'!$G$8:$G$38,'2026年10月'!$A$8:$A$38,"&gt;="&amp;$AI$18+7*(6-1),'2026年10月'!$A$8:$A$38,"&lt;="&amp;$AI$18+7*(6-1)+6)))</f>
        <v/>
      </c>
      <c r="AD25" s="31" t="str">
        <f>IF($AB25="","",IFERROR((SUMIFS($M$8:$M$37,$A$8:$A$37,"&gt;="&amp;$AI$18+7*(6-1),$A$8:$A$37,"&lt;="&amp;$AI$18+7*(6-1)+6)+SUMIFS('2026年10月'!$M$8:$M$38,'2026年10月'!$A$8:$A$38,"&gt;="&amp;$AI$18+7*(6-1),'2026年10月'!$A$8:$A$38,"&lt;="&amp;$AI$18+7*(6-1)+6))/(SUMIFS($O$8:$O$37,$A$8:$A$37,"&gt;="&amp;$AI$18+7*(6-1),$A$8:$A$37,"&lt;="&amp;$AI$18+7*(6-1)+6)+SUMIFS('2026年10月'!$O$8:$O$38,'2026年10月'!$A$8:$A$38,"&gt;="&amp;$AI$18+7*(6-1),'2026年10月'!$A$8:$A$38,"&lt;="&amp;$AI$18+7*(6-1)+6)),""))</f>
        <v/>
      </c>
      <c r="AE25" s="29" t="str">
        <f>IF($AB25="","",IFERROR((SUMIFS($G$8:$G$37,$A$8:$A$37,"&gt;="&amp;$AI$18+7*(6-1),$A$8:$A$37,"&lt;="&amp;$AI$18+7*(6-1)+6)+SUMIFS('2026年10月'!$G$8:$G$38,'2026年10月'!$A$8:$A$38,"&gt;="&amp;$AI$18+7*(6-1),'2026年10月'!$A$8:$A$38,"&lt;="&amp;$AI$18+7*(6-1)+6))/(SUMIFS($M$8:$M$37,$A$8:$A$37,"&gt;="&amp;$AI$18+7*(6-1),$A$8:$A$37,"&lt;="&amp;$AI$18+7*(6-1)+6)+SUMIFS('2026年10月'!$M$8:$M$38,'2026年10月'!$A$8:$A$38,"&gt;="&amp;$AI$18+7*(6-1),'2026年10月'!$A$8:$A$38,"&lt;="&amp;$AI$18+7*(6-1)+6)),""))</f>
        <v/>
      </c>
      <c r="AF25" s="43" t="str">
        <f>IF($AB25="","",IFERROR((SUMIFS($N$8:$N$37,$A$8:$A$37,"&gt;="&amp;$AI$18+7*(6-1),$A$8:$A$37,"&lt;="&amp;$AI$18+7*(6-1)+6)+SUMIFS('2026年10月'!$N$8:$N$38,'2026年10月'!$A$8:$A$38,"&gt;="&amp;$AI$18+7*(6-1),'2026年10月'!$A$8:$A$38,"&lt;="&amp;$AI$18+7*(6-1)+6))/(SUMIFS($M$8:$M$37,$A$8:$A$37,"&gt;="&amp;$AI$18+7*(6-1),$A$8:$A$37,"&lt;="&amp;$AI$18+7*(6-1)+6)+SUMIFS('2026年10月'!$M$8:$M$38,'2026年10月'!$A$8:$A$38,"&gt;="&amp;$AI$18+7*(6-1),'2026年10月'!$A$8:$A$38,"&lt;="&amp;$AI$18+7*(6-1)+6)),""))</f>
        <v/>
      </c>
      <c r="AG25" s="31" t="str">
        <f>IF($AB25="","",IFERROR((SUMIFS($P$8:$P$37,$A$8:$A$37,"&gt;="&amp;$AI$18+7*(6-1),$A$8:$A$37,"&lt;="&amp;$AI$18+7*(6-1)+6)+SUMIFS('2026年10月'!$P$8:$P$38,'2026年10月'!$A$8:$A$38,"&gt;="&amp;$AI$18+7*(6-1),'2026年10月'!$A$8:$A$38,"&lt;="&amp;$AI$18+7*(6-1)+6))/(SUMIFS($O$8:$O$37,$A$8:$A$37,"&gt;="&amp;$AI$18+7*(6-1),$A$8:$A$37,"&lt;="&amp;$AI$18+7*(6-1)+6)+SUMIFS('2026年10月'!$O$8:$O$38,'2026年10月'!$A$8:$A$38,"&gt;="&amp;$AI$18+7*(6-1),'2026年10月'!$A$8:$A$38,"&lt;="&amp;$AI$18+7*(6-1)+6)),""))</f>
        <v/>
      </c>
    </row>
    <row r="26" ht="15.75" customHeight="1">
      <c r="A26" s="16">
        <v>46284.0</v>
      </c>
      <c r="B26" s="13" t="str">
        <f t="shared" si="2"/>
        <v>土</v>
      </c>
      <c r="C26" s="49">
        <v>500000.0</v>
      </c>
      <c r="D26" s="15">
        <f t="shared" si="3"/>
        <v>6300000</v>
      </c>
      <c r="E26" s="49">
        <v>65940.0</v>
      </c>
      <c r="F26" s="49">
        <v>175160.0</v>
      </c>
      <c r="G26" s="15">
        <f t="shared" si="4"/>
        <v>241100</v>
      </c>
      <c r="H26" s="15">
        <f t="shared" si="5"/>
        <v>1453788</v>
      </c>
      <c r="I26" s="17">
        <f t="shared" ref="I26:J26" si="33">IF(G26="","",IFERROR(G26/C26,""))</f>
        <v>0.4822</v>
      </c>
      <c r="J26" s="17">
        <f t="shared" si="33"/>
        <v>0.23076</v>
      </c>
      <c r="K26" s="15">
        <f t="shared" si="7"/>
        <v>-4846212</v>
      </c>
      <c r="L26" s="20" t="str">
        <f t="shared" si="8"/>
        <v>▲ 遅れ</v>
      </c>
      <c r="M26" s="50">
        <v>9.0</v>
      </c>
      <c r="N26" s="50">
        <v>10.0</v>
      </c>
      <c r="O26" s="50">
        <v>17.0</v>
      </c>
      <c r="P26" s="50">
        <v>14.0</v>
      </c>
      <c r="Q26" s="50">
        <v>22.0</v>
      </c>
      <c r="R26" s="17">
        <f t="shared" si="9"/>
        <v>0.5294117647</v>
      </c>
      <c r="S26" s="15">
        <f t="shared" si="10"/>
        <v>26788.88889</v>
      </c>
      <c r="T26" s="24">
        <f t="shared" si="11"/>
        <v>1.111111111</v>
      </c>
      <c r="U26" s="17">
        <f t="shared" si="12"/>
        <v>0.8235294118</v>
      </c>
      <c r="V26" s="22"/>
      <c r="W26" s="22"/>
      <c r="X26" s="18"/>
      <c r="Y26" s="26"/>
      <c r="AA26" s="35" t="s">
        <v>112</v>
      </c>
    </row>
    <row r="27" ht="15.75" customHeight="1">
      <c r="A27" s="32">
        <v>46285.0</v>
      </c>
      <c r="B27" s="21" t="str">
        <f t="shared" si="2"/>
        <v>日</v>
      </c>
      <c r="C27" s="49">
        <v>500000.0</v>
      </c>
      <c r="D27" s="23">
        <f t="shared" si="3"/>
        <v>6800000</v>
      </c>
      <c r="E27" s="49">
        <v>0.0</v>
      </c>
      <c r="F27" s="49">
        <v>155470.0</v>
      </c>
      <c r="G27" s="23">
        <f t="shared" si="4"/>
        <v>155470</v>
      </c>
      <c r="H27" s="23">
        <f t="shared" si="5"/>
        <v>1609258</v>
      </c>
      <c r="I27" s="25">
        <f t="shared" ref="I27:J27" si="34">IF(G27="","",IFERROR(G27/C27,""))</f>
        <v>0.31094</v>
      </c>
      <c r="J27" s="25">
        <f t="shared" si="34"/>
        <v>0.2366555882</v>
      </c>
      <c r="K27" s="23">
        <f t="shared" si="7"/>
        <v>-5190742</v>
      </c>
      <c r="L27" s="33" t="str">
        <f t="shared" si="8"/>
        <v>▲ 遅れ</v>
      </c>
      <c r="M27" s="50">
        <v>7.0</v>
      </c>
      <c r="N27" s="50">
        <v>7.0</v>
      </c>
      <c r="O27" s="50">
        <v>13.0</v>
      </c>
      <c r="P27" s="50">
        <v>10.0</v>
      </c>
      <c r="Q27" s="50">
        <v>15.0</v>
      </c>
      <c r="R27" s="25">
        <f t="shared" si="9"/>
        <v>0.5384615385</v>
      </c>
      <c r="S27" s="23">
        <f t="shared" si="10"/>
        <v>22210</v>
      </c>
      <c r="T27" s="34">
        <f t="shared" si="11"/>
        <v>1</v>
      </c>
      <c r="U27" s="25">
        <f t="shared" si="12"/>
        <v>0.7692307692</v>
      </c>
      <c r="V27" s="22"/>
      <c r="W27" s="22"/>
      <c r="X27" s="18"/>
      <c r="Y27" s="26"/>
      <c r="AA27" s="35" t="s">
        <v>113</v>
      </c>
    </row>
    <row r="28" ht="15.75" customHeight="1">
      <c r="A28" s="16">
        <v>46286.0</v>
      </c>
      <c r="B28" s="13" t="str">
        <f t="shared" si="2"/>
        <v>月</v>
      </c>
      <c r="C28" s="49">
        <v>500000.0</v>
      </c>
      <c r="D28" s="15">
        <f t="shared" si="3"/>
        <v>7300000</v>
      </c>
      <c r="E28" s="49">
        <v>42720.0</v>
      </c>
      <c r="F28" s="49">
        <v>19410.0</v>
      </c>
      <c r="G28" s="15">
        <f t="shared" si="4"/>
        <v>62130</v>
      </c>
      <c r="H28" s="15">
        <f t="shared" si="5"/>
        <v>1671388</v>
      </c>
      <c r="I28" s="17">
        <f t="shared" ref="I28:J28" si="35">IF(G28="","",IFERROR(G28/C28,""))</f>
        <v>0.12426</v>
      </c>
      <c r="J28" s="17">
        <f t="shared" si="35"/>
        <v>0.2289572603</v>
      </c>
      <c r="K28" s="15">
        <f t="shared" si="7"/>
        <v>-5628612</v>
      </c>
      <c r="L28" s="20" t="str">
        <f t="shared" si="8"/>
        <v>▲ 遅れ</v>
      </c>
      <c r="M28" s="50">
        <v>3.0</v>
      </c>
      <c r="N28" s="50">
        <v>3.0</v>
      </c>
      <c r="O28" s="50">
        <v>4.0</v>
      </c>
      <c r="P28" s="50">
        <v>3.0</v>
      </c>
      <c r="Q28" s="50">
        <v>7.0</v>
      </c>
      <c r="R28" s="17">
        <f t="shared" si="9"/>
        <v>0.75</v>
      </c>
      <c r="S28" s="15">
        <f t="shared" si="10"/>
        <v>20710</v>
      </c>
      <c r="T28" s="24">
        <f t="shared" si="11"/>
        <v>1</v>
      </c>
      <c r="U28" s="17">
        <f t="shared" si="12"/>
        <v>0.75</v>
      </c>
      <c r="V28" s="22"/>
      <c r="W28" s="50">
        <v>43305.0</v>
      </c>
      <c r="X28" s="18"/>
      <c r="Y28" s="26"/>
      <c r="AA28" s="35" t="s">
        <v>114</v>
      </c>
    </row>
    <row r="29" ht="15.75" customHeight="1">
      <c r="A29" s="32">
        <v>46287.0</v>
      </c>
      <c r="B29" s="21" t="str">
        <f t="shared" si="2"/>
        <v>火</v>
      </c>
      <c r="C29" s="49">
        <v>500000.0</v>
      </c>
      <c r="D29" s="23">
        <f t="shared" si="3"/>
        <v>7800000</v>
      </c>
      <c r="E29" s="49">
        <v>61810.0</v>
      </c>
      <c r="F29" s="49">
        <v>69162.0</v>
      </c>
      <c r="G29" s="23">
        <f t="shared" si="4"/>
        <v>130972</v>
      </c>
      <c r="H29" s="23">
        <f t="shared" si="5"/>
        <v>1802360</v>
      </c>
      <c r="I29" s="25">
        <f t="shared" ref="I29:J29" si="36">IF(G29="","",IFERROR(G29/C29,""))</f>
        <v>0.261944</v>
      </c>
      <c r="J29" s="25">
        <f t="shared" si="36"/>
        <v>0.2310717949</v>
      </c>
      <c r="K29" s="23">
        <f t="shared" si="7"/>
        <v>-5997640</v>
      </c>
      <c r="L29" s="33" t="str">
        <f t="shared" si="8"/>
        <v>▲ 遅れ</v>
      </c>
      <c r="M29" s="50">
        <v>5.0</v>
      </c>
      <c r="N29" s="50">
        <v>6.0</v>
      </c>
      <c r="O29" s="50">
        <v>13.0</v>
      </c>
      <c r="P29" s="50">
        <v>9.0</v>
      </c>
      <c r="Q29" s="50">
        <v>13.0</v>
      </c>
      <c r="R29" s="25">
        <f t="shared" si="9"/>
        <v>0.3846153846</v>
      </c>
      <c r="S29" s="23">
        <f t="shared" si="10"/>
        <v>26194.4</v>
      </c>
      <c r="T29" s="34">
        <f t="shared" si="11"/>
        <v>1.2</v>
      </c>
      <c r="U29" s="25">
        <f t="shared" si="12"/>
        <v>0.6923076923</v>
      </c>
      <c r="V29" s="22"/>
      <c r="W29" s="50">
        <v>43282.0</v>
      </c>
      <c r="X29" s="18"/>
      <c r="Y29" s="26"/>
    </row>
    <row r="30" ht="15.75" customHeight="1">
      <c r="A30" s="16">
        <v>46288.0</v>
      </c>
      <c r="B30" s="13" t="str">
        <f t="shared" si="2"/>
        <v>水</v>
      </c>
      <c r="C30" s="49">
        <v>500000.0</v>
      </c>
      <c r="D30" s="15">
        <f t="shared" si="3"/>
        <v>8300000</v>
      </c>
      <c r="E30" s="49">
        <v>24067.0</v>
      </c>
      <c r="F30" s="49">
        <v>197867.0</v>
      </c>
      <c r="G30" s="15">
        <f t="shared" si="4"/>
        <v>221934</v>
      </c>
      <c r="H30" s="15">
        <f t="shared" si="5"/>
        <v>2024294</v>
      </c>
      <c r="I30" s="17">
        <f t="shared" ref="I30:J30" si="37">IF(G30="","",IFERROR(G30/C30,""))</f>
        <v>0.443868</v>
      </c>
      <c r="J30" s="17">
        <f t="shared" si="37"/>
        <v>0.2438908434</v>
      </c>
      <c r="K30" s="15">
        <f t="shared" si="7"/>
        <v>-6275706</v>
      </c>
      <c r="L30" s="20" t="str">
        <f t="shared" si="8"/>
        <v>▲ 遅れ</v>
      </c>
      <c r="M30" s="50">
        <v>9.0</v>
      </c>
      <c r="N30" s="50">
        <v>10.0</v>
      </c>
      <c r="O30" s="50">
        <v>17.0</v>
      </c>
      <c r="P30" s="50">
        <v>11.0</v>
      </c>
      <c r="Q30" s="50">
        <v>18.0</v>
      </c>
      <c r="R30" s="17">
        <f t="shared" si="9"/>
        <v>0.5294117647</v>
      </c>
      <c r="S30" s="15">
        <f t="shared" si="10"/>
        <v>24659.33333</v>
      </c>
      <c r="T30" s="24">
        <f t="shared" si="11"/>
        <v>1.111111111</v>
      </c>
      <c r="U30" s="17">
        <f t="shared" si="12"/>
        <v>0.6470588235</v>
      </c>
      <c r="V30" s="22"/>
      <c r="W30" s="22"/>
      <c r="X30" s="18"/>
      <c r="Y30" s="26"/>
    </row>
    <row r="31" ht="15.75" customHeight="1">
      <c r="A31" s="32">
        <v>46289.0</v>
      </c>
      <c r="B31" s="21" t="str">
        <f t="shared" si="2"/>
        <v>木</v>
      </c>
      <c r="C31" s="49">
        <v>300000.0</v>
      </c>
      <c r="D31" s="23">
        <f t="shared" si="3"/>
        <v>8600000</v>
      </c>
      <c r="E31" s="49">
        <v>0.0</v>
      </c>
      <c r="F31" s="49">
        <v>22075.0</v>
      </c>
      <c r="G31" s="23">
        <f t="shared" si="4"/>
        <v>22075</v>
      </c>
      <c r="H31" s="23">
        <f t="shared" si="5"/>
        <v>2046369</v>
      </c>
      <c r="I31" s="25">
        <f t="shared" ref="I31:J31" si="38">IF(G31="","",IFERROR(G31/C31,""))</f>
        <v>0.07358333333</v>
      </c>
      <c r="J31" s="25">
        <f t="shared" si="38"/>
        <v>0.2379498837</v>
      </c>
      <c r="K31" s="23">
        <f t="shared" si="7"/>
        <v>-6553631</v>
      </c>
      <c r="L31" s="33" t="str">
        <f t="shared" si="8"/>
        <v>▲ 遅れ</v>
      </c>
      <c r="M31" s="50">
        <v>1.0</v>
      </c>
      <c r="N31" s="50">
        <v>1.0</v>
      </c>
      <c r="O31" s="50">
        <v>7.0</v>
      </c>
      <c r="P31" s="50">
        <v>3.0</v>
      </c>
      <c r="Q31" s="50">
        <v>5.0</v>
      </c>
      <c r="R31" s="25">
        <f t="shared" si="9"/>
        <v>0.1428571429</v>
      </c>
      <c r="S31" s="23">
        <f t="shared" si="10"/>
        <v>22075</v>
      </c>
      <c r="T31" s="34">
        <f t="shared" si="11"/>
        <v>1</v>
      </c>
      <c r="U31" s="25">
        <f t="shared" si="12"/>
        <v>0.4285714286</v>
      </c>
      <c r="V31" s="22"/>
      <c r="W31" s="50">
        <v>43260.0</v>
      </c>
      <c r="X31" s="18"/>
      <c r="Y31" s="26"/>
    </row>
    <row r="32" ht="15.75" customHeight="1">
      <c r="A32" s="16">
        <v>46290.0</v>
      </c>
      <c r="B32" s="13" t="str">
        <f t="shared" si="2"/>
        <v>金</v>
      </c>
      <c r="C32" s="49">
        <v>300000.0</v>
      </c>
      <c r="D32" s="15">
        <f t="shared" si="3"/>
        <v>8900000</v>
      </c>
      <c r="E32" s="49">
        <v>0.0</v>
      </c>
      <c r="F32" s="49">
        <v>72172.0</v>
      </c>
      <c r="G32" s="15">
        <f t="shared" si="4"/>
        <v>72172</v>
      </c>
      <c r="H32" s="15">
        <f t="shared" si="5"/>
        <v>2118541</v>
      </c>
      <c r="I32" s="17">
        <f t="shared" ref="I32:J32" si="39">IF(G32="","",IFERROR(G32/C32,""))</f>
        <v>0.2405733333</v>
      </c>
      <c r="J32" s="17">
        <f t="shared" si="39"/>
        <v>0.2380383146</v>
      </c>
      <c r="K32" s="15">
        <f t="shared" si="7"/>
        <v>-6781459</v>
      </c>
      <c r="L32" s="20" t="str">
        <f t="shared" si="8"/>
        <v>▲ 遅れ</v>
      </c>
      <c r="M32" s="50">
        <v>4.0</v>
      </c>
      <c r="N32" s="50">
        <v>4.0</v>
      </c>
      <c r="O32" s="50">
        <v>13.0</v>
      </c>
      <c r="P32" s="50">
        <v>7.0</v>
      </c>
      <c r="Q32" s="50">
        <v>7.0</v>
      </c>
      <c r="R32" s="17">
        <f t="shared" si="9"/>
        <v>0.3076923077</v>
      </c>
      <c r="S32" s="15">
        <f t="shared" si="10"/>
        <v>18043</v>
      </c>
      <c r="T32" s="24">
        <f t="shared" si="11"/>
        <v>1</v>
      </c>
      <c r="U32" s="17">
        <f t="shared" si="12"/>
        <v>0.5384615385</v>
      </c>
      <c r="V32" s="22"/>
      <c r="W32" s="50">
        <v>43210.0</v>
      </c>
      <c r="X32" s="18"/>
      <c r="Y32" s="26"/>
    </row>
    <row r="33" ht="15.75" customHeight="1">
      <c r="A33" s="32">
        <v>46291.0</v>
      </c>
      <c r="B33" s="21" t="str">
        <f t="shared" si="2"/>
        <v>土</v>
      </c>
      <c r="C33" s="49">
        <v>400000.0</v>
      </c>
      <c r="D33" s="23">
        <f t="shared" si="3"/>
        <v>9300000</v>
      </c>
      <c r="E33" s="49">
        <v>48375.0</v>
      </c>
      <c r="F33" s="49">
        <v>64458.0</v>
      </c>
      <c r="G33" s="23">
        <f t="shared" si="4"/>
        <v>112833</v>
      </c>
      <c r="H33" s="23">
        <f t="shared" si="5"/>
        <v>2231374</v>
      </c>
      <c r="I33" s="25">
        <f t="shared" ref="I33:J33" si="40">IF(G33="","",IFERROR(G33/C33,""))</f>
        <v>0.2820825</v>
      </c>
      <c r="J33" s="25">
        <f t="shared" si="40"/>
        <v>0.2399326882</v>
      </c>
      <c r="K33" s="23">
        <f t="shared" si="7"/>
        <v>-7068626</v>
      </c>
      <c r="L33" s="33" t="str">
        <f t="shared" si="8"/>
        <v>▲ 遅れ</v>
      </c>
      <c r="M33" s="50">
        <v>5.0</v>
      </c>
      <c r="N33" s="50">
        <v>7.0</v>
      </c>
      <c r="O33" s="50">
        <v>15.0</v>
      </c>
      <c r="P33" s="50">
        <v>7.0</v>
      </c>
      <c r="Q33" s="50">
        <v>9.0</v>
      </c>
      <c r="R33" s="25">
        <f t="shared" si="9"/>
        <v>0.3333333333</v>
      </c>
      <c r="S33" s="23">
        <f t="shared" si="10"/>
        <v>22566.6</v>
      </c>
      <c r="T33" s="34">
        <f t="shared" si="11"/>
        <v>1.4</v>
      </c>
      <c r="U33" s="25">
        <f t="shared" si="12"/>
        <v>0.4666666667</v>
      </c>
      <c r="V33" s="22"/>
      <c r="W33" s="50">
        <v>43244.0</v>
      </c>
      <c r="X33" s="18"/>
      <c r="Y33" s="26"/>
    </row>
    <row r="34" ht="15.75" customHeight="1">
      <c r="A34" s="16">
        <v>46292.0</v>
      </c>
      <c r="B34" s="13" t="str">
        <f t="shared" si="2"/>
        <v>日</v>
      </c>
      <c r="C34" s="49">
        <v>400000.0</v>
      </c>
      <c r="D34" s="15">
        <f t="shared" si="3"/>
        <v>9700000</v>
      </c>
      <c r="E34" s="49">
        <v>26510.0</v>
      </c>
      <c r="F34" s="49">
        <v>21867.0</v>
      </c>
      <c r="G34" s="15">
        <f t="shared" si="4"/>
        <v>48377</v>
      </c>
      <c r="H34" s="15">
        <f t="shared" si="5"/>
        <v>2279751</v>
      </c>
      <c r="I34" s="17">
        <f t="shared" ref="I34:J34" si="41">IF(G34="","",IFERROR(G34/C34,""))</f>
        <v>0.1209425</v>
      </c>
      <c r="J34" s="17">
        <f t="shared" si="41"/>
        <v>0.2350258763</v>
      </c>
      <c r="K34" s="15">
        <f t="shared" si="7"/>
        <v>-7420249</v>
      </c>
      <c r="L34" s="20" t="str">
        <f t="shared" si="8"/>
        <v>▲ 遅れ</v>
      </c>
      <c r="M34" s="50">
        <v>2.0</v>
      </c>
      <c r="N34" s="50">
        <v>2.0</v>
      </c>
      <c r="O34" s="50">
        <v>7.0</v>
      </c>
      <c r="P34" s="50">
        <v>4.0</v>
      </c>
      <c r="Q34" s="50">
        <v>6.0</v>
      </c>
      <c r="R34" s="17">
        <f t="shared" si="9"/>
        <v>0.2857142857</v>
      </c>
      <c r="S34" s="15">
        <f t="shared" si="10"/>
        <v>24188.5</v>
      </c>
      <c r="T34" s="24">
        <f t="shared" si="11"/>
        <v>1</v>
      </c>
      <c r="U34" s="17">
        <f t="shared" si="12"/>
        <v>0.5714285714</v>
      </c>
      <c r="V34" s="22"/>
      <c r="W34" s="22"/>
      <c r="X34" s="18"/>
      <c r="Y34" s="26"/>
    </row>
    <row r="35" ht="15.75" customHeight="1">
      <c r="A35" s="32">
        <v>46293.0</v>
      </c>
      <c r="B35" s="21" t="str">
        <f t="shared" si="2"/>
        <v>月</v>
      </c>
      <c r="C35" s="49">
        <v>300000.0</v>
      </c>
      <c r="D35" s="23">
        <f t="shared" si="3"/>
        <v>10000000</v>
      </c>
      <c r="E35" s="49">
        <v>80007.0</v>
      </c>
      <c r="F35" s="49">
        <v>46590.0</v>
      </c>
      <c r="G35" s="23">
        <f t="shared" si="4"/>
        <v>126597</v>
      </c>
      <c r="H35" s="23">
        <f t="shared" si="5"/>
        <v>2406348</v>
      </c>
      <c r="I35" s="25">
        <f t="shared" ref="I35:J35" si="42">IF(G35="","",IFERROR(G35/C35,""))</f>
        <v>0.42199</v>
      </c>
      <c r="J35" s="25">
        <f t="shared" si="42"/>
        <v>0.2406348</v>
      </c>
      <c r="K35" s="23">
        <f t="shared" si="7"/>
        <v>-7593652</v>
      </c>
      <c r="L35" s="33" t="str">
        <f t="shared" si="8"/>
        <v>▲ 遅れ</v>
      </c>
      <c r="M35" s="50">
        <v>5.0</v>
      </c>
      <c r="N35" s="50">
        <v>6.0</v>
      </c>
      <c r="O35" s="50">
        <v>12.0</v>
      </c>
      <c r="P35" s="50">
        <v>8.0</v>
      </c>
      <c r="Q35" s="50">
        <v>13.0</v>
      </c>
      <c r="R35" s="25">
        <f t="shared" si="9"/>
        <v>0.4166666667</v>
      </c>
      <c r="S35" s="23">
        <f t="shared" si="10"/>
        <v>25319.4</v>
      </c>
      <c r="T35" s="34">
        <f t="shared" si="11"/>
        <v>1.2</v>
      </c>
      <c r="U35" s="25">
        <f t="shared" si="12"/>
        <v>0.6666666667</v>
      </c>
      <c r="V35" s="22"/>
      <c r="W35" s="22"/>
      <c r="X35" s="18"/>
      <c r="Y35" s="26"/>
    </row>
    <row r="36" ht="15.75" customHeight="1">
      <c r="A36" s="16">
        <v>46294.0</v>
      </c>
      <c r="B36" s="13" t="str">
        <f t="shared" si="2"/>
        <v>火</v>
      </c>
      <c r="C36" s="49">
        <v>300000.0</v>
      </c>
      <c r="D36" s="15">
        <f t="shared" si="3"/>
        <v>10300000</v>
      </c>
      <c r="E36" s="49">
        <v>22000.0</v>
      </c>
      <c r="F36" s="49">
        <v>62662.0</v>
      </c>
      <c r="G36" s="15">
        <f t="shared" si="4"/>
        <v>84662</v>
      </c>
      <c r="H36" s="15">
        <f t="shared" si="5"/>
        <v>2491010</v>
      </c>
      <c r="I36" s="17">
        <f t="shared" ref="I36:J36" si="43">IF(G36="","",IFERROR(G36/C36,""))</f>
        <v>0.2822066667</v>
      </c>
      <c r="J36" s="17">
        <f t="shared" si="43"/>
        <v>0.2418456311</v>
      </c>
      <c r="K36" s="15">
        <f t="shared" si="7"/>
        <v>-7808990</v>
      </c>
      <c r="L36" s="20" t="str">
        <f t="shared" si="8"/>
        <v>▲ 遅れ</v>
      </c>
      <c r="M36" s="50">
        <v>5.0</v>
      </c>
      <c r="N36" s="50">
        <v>5.0</v>
      </c>
      <c r="O36" s="50">
        <v>9.0</v>
      </c>
      <c r="P36" s="50">
        <v>6.0</v>
      </c>
      <c r="Q36" s="50">
        <v>9.0</v>
      </c>
      <c r="R36" s="17">
        <f t="shared" si="9"/>
        <v>0.5555555556</v>
      </c>
      <c r="S36" s="15">
        <f t="shared" si="10"/>
        <v>16932.4</v>
      </c>
      <c r="T36" s="24">
        <f t="shared" si="11"/>
        <v>1</v>
      </c>
      <c r="U36" s="17">
        <f t="shared" si="12"/>
        <v>0.6666666667</v>
      </c>
      <c r="V36" s="22"/>
      <c r="W36" s="22"/>
      <c r="X36" s="18"/>
      <c r="Y36" s="26"/>
    </row>
    <row r="37" ht="15.75" customHeight="1">
      <c r="A37" s="32">
        <v>46295.0</v>
      </c>
      <c r="B37" s="21" t="str">
        <f t="shared" si="2"/>
        <v>水</v>
      </c>
      <c r="C37" s="49">
        <v>300000.0</v>
      </c>
      <c r="D37" s="23">
        <f t="shared" si="3"/>
        <v>10600000</v>
      </c>
      <c r="E37" s="49">
        <v>23810.0</v>
      </c>
      <c r="F37" s="49">
        <v>65851.0</v>
      </c>
      <c r="G37" s="23">
        <f t="shared" si="4"/>
        <v>89661</v>
      </c>
      <c r="H37" s="23">
        <f t="shared" si="5"/>
        <v>2580671</v>
      </c>
      <c r="I37" s="25">
        <f t="shared" ref="I37:J37" si="44">IF(G37="","",IFERROR(G37/C37,""))</f>
        <v>0.29887</v>
      </c>
      <c r="J37" s="25">
        <f t="shared" si="44"/>
        <v>0.2434595283</v>
      </c>
      <c r="K37" s="23">
        <f t="shared" si="7"/>
        <v>-8019329</v>
      </c>
      <c r="L37" s="33" t="str">
        <f t="shared" si="8"/>
        <v>▲ 遅れ</v>
      </c>
      <c r="M37" s="50">
        <v>5.0</v>
      </c>
      <c r="N37" s="50">
        <v>5.0</v>
      </c>
      <c r="O37" s="50">
        <v>16.0</v>
      </c>
      <c r="P37" s="50">
        <v>7.0</v>
      </c>
      <c r="Q37" s="50">
        <v>9.0</v>
      </c>
      <c r="R37" s="25">
        <f t="shared" si="9"/>
        <v>0.3125</v>
      </c>
      <c r="S37" s="23">
        <f t="shared" si="10"/>
        <v>17932.2</v>
      </c>
      <c r="T37" s="34">
        <f t="shared" si="11"/>
        <v>1</v>
      </c>
      <c r="U37" s="25">
        <f t="shared" si="12"/>
        <v>0.4375</v>
      </c>
      <c r="V37" s="22"/>
      <c r="W37" s="50">
        <v>43191.0</v>
      </c>
      <c r="X37" s="18"/>
      <c r="Y37" s="26"/>
    </row>
    <row r="38" ht="15.75" customHeight="1">
      <c r="A38" s="45" t="s">
        <v>92</v>
      </c>
      <c r="B38" s="36"/>
      <c r="C38" s="37">
        <f>SUM(C8:C37)</f>
        <v>10600000</v>
      </c>
      <c r="D38" s="37">
        <f>C38</f>
        <v>10600000</v>
      </c>
      <c r="E38" s="37">
        <f t="shared" ref="E38:G38" si="45">SUM(E8:E37)</f>
        <v>594739</v>
      </c>
      <c r="F38" s="37">
        <f t="shared" si="45"/>
        <v>1985932</v>
      </c>
      <c r="G38" s="37">
        <f t="shared" si="45"/>
        <v>2580671</v>
      </c>
      <c r="H38" s="37">
        <f>G38</f>
        <v>2580671</v>
      </c>
      <c r="I38" s="39">
        <f>IFERROR(G38/C38,"")</f>
        <v>0.2434595283</v>
      </c>
      <c r="J38" s="39">
        <f>IFERROR(G38/C38,"")</f>
        <v>0.2434595283</v>
      </c>
      <c r="K38" s="37">
        <f>G38-C38</f>
        <v>-8019329</v>
      </c>
      <c r="L38" s="46"/>
      <c r="M38" s="41">
        <f t="shared" ref="M38:Q38" si="46">SUM(M8:M37)</f>
        <v>115</v>
      </c>
      <c r="N38" s="41">
        <f t="shared" si="46"/>
        <v>126</v>
      </c>
      <c r="O38" s="41">
        <f t="shared" si="46"/>
        <v>326</v>
      </c>
      <c r="P38" s="41">
        <f t="shared" si="46"/>
        <v>189</v>
      </c>
      <c r="Q38" s="41">
        <f t="shared" si="46"/>
        <v>286</v>
      </c>
      <c r="R38" s="39">
        <f t="shared" si="9"/>
        <v>0.3527607362</v>
      </c>
      <c r="S38" s="37">
        <f t="shared" si="10"/>
        <v>22440.61739</v>
      </c>
      <c r="T38" s="47">
        <f t="shared" si="11"/>
        <v>1.095652174</v>
      </c>
      <c r="U38" s="39">
        <f t="shared" si="12"/>
        <v>0.5797546012</v>
      </c>
      <c r="V38" s="41">
        <f>SUM(V8:V37)</f>
        <v>0</v>
      </c>
      <c r="W38" s="41">
        <f>IFERROR(LOOKUP(9.99E+307,W8:W37),"")</f>
        <v>43191</v>
      </c>
      <c r="X38" s="37">
        <f>SUM(X8:X37)</f>
        <v>0</v>
      </c>
      <c r="Y38" s="48" t="s">
        <v>93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51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7">
    <cfRule type="expression" dxfId="0" priority="1">
      <formula>AND($G8&lt;&gt;"",$K8&gt;=0)</formula>
    </cfRule>
  </conditionalFormatting>
  <conditionalFormatting sqref="K8:K37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106</v>
      </c>
      <c r="H3" s="6"/>
      <c r="I3" s="5" t="s">
        <v>7</v>
      </c>
      <c r="J3" s="6"/>
      <c r="K3" s="5" t="s">
        <v>8</v>
      </c>
      <c r="L3" s="6"/>
    </row>
    <row r="4">
      <c r="A4" s="7">
        <f>IF('設定'!$B$14="",SUM(C8:C38),'設定'!$B$14)</f>
        <v>7000000</v>
      </c>
      <c r="B4" s="6"/>
      <c r="C4" s="8">
        <f>SUM(G8:G38)</f>
        <v>1806944</v>
      </c>
      <c r="D4" s="6"/>
      <c r="E4" s="9">
        <f>IFERROR(C4/A4,0)</f>
        <v>0.2581348571</v>
      </c>
      <c r="F4" s="6"/>
      <c r="G4" s="10">
        <f>COUNTIF(G8:G38,"&gt;0")</f>
        <v>16</v>
      </c>
      <c r="H4" s="6"/>
      <c r="I4" s="8">
        <f>A4-C4</f>
        <v>5193056</v>
      </c>
      <c r="J4" s="6"/>
      <c r="K4" s="8">
        <f>IF((31-G4)&gt;0,(A4-C4)/(31-G4),0)</f>
        <v>346203.7333</v>
      </c>
      <c r="L4" s="6"/>
    </row>
    <row r="5">
      <c r="A5" s="5" t="s">
        <v>16</v>
      </c>
      <c r="B5" s="6"/>
      <c r="C5" s="5" t="s">
        <v>17</v>
      </c>
      <c r="D5" s="6"/>
      <c r="E5" s="5" t="s">
        <v>18</v>
      </c>
      <c r="F5" s="6"/>
      <c r="G5" s="5" t="s">
        <v>19</v>
      </c>
      <c r="H5" s="6"/>
      <c r="I5" s="5" t="s">
        <v>20</v>
      </c>
      <c r="J5" s="6"/>
      <c r="K5" s="5" t="s">
        <v>21</v>
      </c>
      <c r="L5" s="6"/>
    </row>
    <row r="6">
      <c r="A6" s="8">
        <f>SUM(C8:C38)</f>
        <v>0</v>
      </c>
      <c r="B6" s="6"/>
      <c r="C6" s="8">
        <f>IFERROR(C4/G4*31,0)</f>
        <v>3500954</v>
      </c>
      <c r="D6" s="6"/>
      <c r="E6" s="9">
        <f>IFERROR(M39/O39,0)</f>
        <v>0.3305084746</v>
      </c>
      <c r="F6" s="6"/>
      <c r="G6" s="8">
        <f>IFERROR(G39/M39,0)</f>
        <v>23165.94872</v>
      </c>
      <c r="H6" s="6"/>
      <c r="I6" s="12">
        <f>IFERROR(N39/M39,0)</f>
        <v>1.038461538</v>
      </c>
      <c r="J6" s="6"/>
      <c r="K6" s="9">
        <f>IFERROR(P39/O39,0)</f>
        <v>0.5805084746</v>
      </c>
      <c r="L6" s="6"/>
    </row>
    <row r="7" ht="30.0" customHeight="1">
      <c r="A7" s="11" t="s">
        <v>32</v>
      </c>
      <c r="B7" s="11" t="s">
        <v>33</v>
      </c>
      <c r="C7" s="11" t="s">
        <v>34</v>
      </c>
      <c r="D7" s="11" t="s">
        <v>28</v>
      </c>
      <c r="E7" s="11" t="s">
        <v>35</v>
      </c>
      <c r="F7" s="11" t="s">
        <v>36</v>
      </c>
      <c r="G7" s="11" t="s">
        <v>37</v>
      </c>
      <c r="H7" s="11" t="s">
        <v>29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26</v>
      </c>
      <c r="N7" s="11" t="s">
        <v>42</v>
      </c>
      <c r="O7" s="11" t="s">
        <v>27</v>
      </c>
      <c r="P7" s="11" t="s">
        <v>43</v>
      </c>
      <c r="Q7" s="11" t="s">
        <v>44</v>
      </c>
      <c r="R7" s="11" t="s">
        <v>18</v>
      </c>
      <c r="S7" s="11" t="s">
        <v>19</v>
      </c>
      <c r="T7" s="11" t="s">
        <v>20</v>
      </c>
      <c r="U7" s="11" t="s">
        <v>21</v>
      </c>
      <c r="V7" s="11" t="s">
        <v>45</v>
      </c>
      <c r="W7" s="11" t="s">
        <v>46</v>
      </c>
      <c r="X7" s="11" t="s">
        <v>47</v>
      </c>
      <c r="Y7" s="11" t="s">
        <v>48</v>
      </c>
      <c r="AA7" s="14" t="s">
        <v>49</v>
      </c>
      <c r="AB7" s="14" t="s">
        <v>50</v>
      </c>
      <c r="AC7" s="14" t="s">
        <v>51</v>
      </c>
      <c r="AD7" s="14" t="s">
        <v>18</v>
      </c>
      <c r="AE7" s="14" t="s">
        <v>19</v>
      </c>
    </row>
    <row r="8">
      <c r="A8" s="16">
        <v>46296.0</v>
      </c>
      <c r="B8" s="13" t="str">
        <f t="shared" ref="B8:B38" si="2">MID("日月火水木金土",WEEKDAY(A8),1)</f>
        <v>木</v>
      </c>
      <c r="C8" s="18"/>
      <c r="D8" s="15">
        <f t="shared" ref="D8:D38" si="3">SUM($C$8:C8)</f>
        <v>0</v>
      </c>
      <c r="E8" s="49">
        <v>0.0</v>
      </c>
      <c r="F8" s="49">
        <v>67054.0</v>
      </c>
      <c r="G8" s="15">
        <f t="shared" ref="G8:G38" si="4">IF(COUNT(E8:F8)=0,"",SUM(E8:F8))</f>
        <v>67054</v>
      </c>
      <c r="H8" s="15">
        <f t="shared" ref="H8:H38" si="5">IF(G8="","",SUM($G$8:G8))</f>
        <v>67054</v>
      </c>
      <c r="I8" s="17" t="str">
        <f t="shared" ref="I8:J8" si="1">IF(G8="","",IFERROR(G8/C8,""))</f>
        <v/>
      </c>
      <c r="J8" s="17" t="str">
        <f t="shared" si="1"/>
        <v/>
      </c>
      <c r="K8" s="15" t="str">
        <f t="shared" ref="K8:K38" si="7">IF(H8="","",IF(D8=0,"",H8-D8))</f>
        <v/>
      </c>
      <c r="L8" s="20" t="str">
        <f t="shared" ref="L8:L38" si="8">IF(G8="","—",IF(D8=0,"予算未入力",IF(H8&gt;=D8,"◎ ペース内","▲ 遅れ")))</f>
        <v>予算未入力</v>
      </c>
      <c r="M8" s="50">
        <v>5.0</v>
      </c>
      <c r="N8" s="50">
        <v>5.0</v>
      </c>
      <c r="O8" s="50">
        <v>13.0</v>
      </c>
      <c r="P8" s="50">
        <v>8.0</v>
      </c>
      <c r="Q8" s="50">
        <v>9.0</v>
      </c>
      <c r="R8" s="17">
        <f t="shared" ref="R8:R39" si="9">IFERROR(M8/O8,"")</f>
        <v>0.3846153846</v>
      </c>
      <c r="S8" s="15">
        <f t="shared" ref="S8:S39" si="10">IFERROR(G8/M8,"")</f>
        <v>13410.8</v>
      </c>
      <c r="T8" s="24">
        <f t="shared" ref="T8:T39" si="11">IFERROR(N8/M8,"")</f>
        <v>1</v>
      </c>
      <c r="U8" s="17">
        <f t="shared" ref="U8:U39" si="12">IFERROR(P8/O8,"")</f>
        <v>0.6153846154</v>
      </c>
      <c r="V8" s="22"/>
      <c r="W8" s="50">
        <v>43183.0</v>
      </c>
      <c r="X8" s="18"/>
      <c r="Y8" s="26"/>
      <c r="AA8" s="27" t="s">
        <v>22</v>
      </c>
      <c r="AB8" s="29">
        <f t="shared" ref="AB8:AB14" si="13">IFERROR(AVERAGEIFS($G$8:$G$38,$B$8:$B$38,AA8,$G$8:$G$38,"&gt;0"),0)</f>
        <v>134937</v>
      </c>
      <c r="AC8" s="30">
        <f t="shared" ref="AC8:AC14" si="14">COUNTIFS($B$8:$B$38,AA8,$G$8:$G$38,"&gt;0")</f>
        <v>2</v>
      </c>
      <c r="AD8" s="31">
        <f t="shared" ref="AD8:AD14" si="15">IFERROR(SUMIF($B$8:$B$38,AA8,$M$8:$M$38)/SUMIF($B$8:$B$38,AA8,$O$8:$O$38),0)</f>
        <v>0.25</v>
      </c>
      <c r="AE8" s="29">
        <f t="shared" ref="AE8:AE14" si="16">IFERROR(SUMIF($B$8:$B$38,AA8,$G$8:$G$38)/SUMIF($B$8:$B$38,AA8,$M$8:$M$38),0)</f>
        <v>22489.5</v>
      </c>
    </row>
    <row r="9">
      <c r="A9" s="32">
        <v>46297.0</v>
      </c>
      <c r="B9" s="21" t="str">
        <f t="shared" si="2"/>
        <v>金</v>
      </c>
      <c r="C9" s="18"/>
      <c r="D9" s="23">
        <f t="shared" si="3"/>
        <v>0</v>
      </c>
      <c r="E9" s="49">
        <v>0.0</v>
      </c>
      <c r="F9" s="49">
        <v>45070.0</v>
      </c>
      <c r="G9" s="23">
        <f t="shared" si="4"/>
        <v>45070</v>
      </c>
      <c r="H9" s="23">
        <f t="shared" si="5"/>
        <v>112124</v>
      </c>
      <c r="I9" s="25" t="str">
        <f t="shared" ref="I9:J9" si="6">IF(G9="","",IFERROR(G9/C9,""))</f>
        <v/>
      </c>
      <c r="J9" s="25" t="str">
        <f t="shared" si="6"/>
        <v/>
      </c>
      <c r="K9" s="23" t="str">
        <f t="shared" si="7"/>
        <v/>
      </c>
      <c r="L9" s="33" t="str">
        <f t="shared" si="8"/>
        <v>予算未入力</v>
      </c>
      <c r="M9" s="50">
        <v>2.0</v>
      </c>
      <c r="N9" s="50">
        <v>2.0</v>
      </c>
      <c r="O9" s="50">
        <v>10.0</v>
      </c>
      <c r="P9" s="50">
        <v>6.0</v>
      </c>
      <c r="Q9" s="50">
        <v>11.0</v>
      </c>
      <c r="R9" s="25">
        <f t="shared" si="9"/>
        <v>0.2</v>
      </c>
      <c r="S9" s="23">
        <f t="shared" si="10"/>
        <v>22535</v>
      </c>
      <c r="T9" s="34">
        <f t="shared" si="11"/>
        <v>1</v>
      </c>
      <c r="U9" s="25">
        <f t="shared" si="12"/>
        <v>0.6</v>
      </c>
      <c r="V9" s="22"/>
      <c r="W9" s="50">
        <v>43148.0</v>
      </c>
      <c r="X9" s="18"/>
      <c r="Y9" s="26"/>
      <c r="AA9" s="27" t="s">
        <v>59</v>
      </c>
      <c r="AB9" s="29">
        <f t="shared" si="13"/>
        <v>78719</v>
      </c>
      <c r="AC9" s="30">
        <f t="shared" si="14"/>
        <v>2</v>
      </c>
      <c r="AD9" s="31">
        <f t="shared" si="15"/>
        <v>0.4545454545</v>
      </c>
      <c r="AE9" s="29">
        <f t="shared" si="16"/>
        <v>31487.6</v>
      </c>
    </row>
    <row r="10">
      <c r="A10" s="16">
        <v>46298.0</v>
      </c>
      <c r="B10" s="13" t="str">
        <f t="shared" si="2"/>
        <v>土</v>
      </c>
      <c r="C10" s="18"/>
      <c r="D10" s="15">
        <f t="shared" si="3"/>
        <v>0</v>
      </c>
      <c r="E10" s="49">
        <v>0.0</v>
      </c>
      <c r="F10" s="49">
        <v>60742.0</v>
      </c>
      <c r="G10" s="15">
        <f t="shared" si="4"/>
        <v>60742</v>
      </c>
      <c r="H10" s="15">
        <f t="shared" si="5"/>
        <v>172866</v>
      </c>
      <c r="I10" s="17" t="str">
        <f t="shared" ref="I10:J10" si="17">IF(G10="","",IFERROR(G10/C10,""))</f>
        <v/>
      </c>
      <c r="J10" s="17" t="str">
        <f t="shared" si="17"/>
        <v/>
      </c>
      <c r="K10" s="15" t="str">
        <f t="shared" si="7"/>
        <v/>
      </c>
      <c r="L10" s="20" t="str">
        <f t="shared" si="8"/>
        <v>予算未入力</v>
      </c>
      <c r="M10" s="50">
        <v>3.0</v>
      </c>
      <c r="N10" s="50">
        <v>3.0</v>
      </c>
      <c r="O10" s="50">
        <v>21.0</v>
      </c>
      <c r="P10" s="50">
        <v>11.0</v>
      </c>
      <c r="Q10" s="50">
        <v>18.0</v>
      </c>
      <c r="R10" s="17">
        <f t="shared" si="9"/>
        <v>0.1428571429</v>
      </c>
      <c r="S10" s="15">
        <f t="shared" si="10"/>
        <v>20247.33333</v>
      </c>
      <c r="T10" s="24">
        <f t="shared" si="11"/>
        <v>1</v>
      </c>
      <c r="U10" s="17">
        <f t="shared" si="12"/>
        <v>0.5238095238</v>
      </c>
      <c r="V10" s="22"/>
      <c r="W10" s="50">
        <v>43148.0</v>
      </c>
      <c r="X10" s="18"/>
      <c r="Y10" s="26"/>
      <c r="AA10" s="27" t="s">
        <v>61</v>
      </c>
      <c r="AB10" s="29">
        <f t="shared" si="13"/>
        <v>78279.5</v>
      </c>
      <c r="AC10" s="30">
        <f t="shared" si="14"/>
        <v>2</v>
      </c>
      <c r="AD10" s="31">
        <f t="shared" si="15"/>
        <v>0.1818181818</v>
      </c>
      <c r="AE10" s="29">
        <f t="shared" si="16"/>
        <v>78279.5</v>
      </c>
    </row>
    <row r="11">
      <c r="A11" s="32">
        <v>46299.0</v>
      </c>
      <c r="B11" s="21" t="str">
        <f t="shared" si="2"/>
        <v>日</v>
      </c>
      <c r="C11" s="18"/>
      <c r="D11" s="23">
        <f t="shared" si="3"/>
        <v>0</v>
      </c>
      <c r="E11" s="49">
        <v>46420.0</v>
      </c>
      <c r="F11" s="49">
        <v>123850.0</v>
      </c>
      <c r="G11" s="23">
        <f t="shared" si="4"/>
        <v>170270</v>
      </c>
      <c r="H11" s="23">
        <f t="shared" si="5"/>
        <v>343136</v>
      </c>
      <c r="I11" s="25" t="str">
        <f t="shared" ref="I11:J11" si="18">IF(G11="","",IFERROR(G11/C11,""))</f>
        <v/>
      </c>
      <c r="J11" s="25" t="str">
        <f t="shared" si="18"/>
        <v/>
      </c>
      <c r="K11" s="23" t="str">
        <f t="shared" si="7"/>
        <v/>
      </c>
      <c r="L11" s="33" t="str">
        <f t="shared" si="8"/>
        <v>予算未入力</v>
      </c>
      <c r="M11" s="50">
        <v>8.0</v>
      </c>
      <c r="N11" s="50">
        <v>8.0</v>
      </c>
      <c r="O11" s="50">
        <v>17.0</v>
      </c>
      <c r="P11" s="50">
        <v>11.0</v>
      </c>
      <c r="Q11" s="50">
        <v>19.0</v>
      </c>
      <c r="R11" s="25">
        <f t="shared" si="9"/>
        <v>0.4705882353</v>
      </c>
      <c r="S11" s="23">
        <f t="shared" si="10"/>
        <v>21283.75</v>
      </c>
      <c r="T11" s="34">
        <f t="shared" si="11"/>
        <v>1</v>
      </c>
      <c r="U11" s="25">
        <f t="shared" si="12"/>
        <v>0.6470588235</v>
      </c>
      <c r="V11" s="22"/>
      <c r="W11" s="50">
        <v>43148.0</v>
      </c>
      <c r="X11" s="18"/>
      <c r="Y11" s="26"/>
      <c r="AA11" s="27" t="s">
        <v>63</v>
      </c>
      <c r="AB11" s="29">
        <f t="shared" si="13"/>
        <v>157046.6667</v>
      </c>
      <c r="AC11" s="30">
        <f t="shared" si="14"/>
        <v>3</v>
      </c>
      <c r="AD11" s="31">
        <f t="shared" si="15"/>
        <v>0.4210526316</v>
      </c>
      <c r="AE11" s="29">
        <f t="shared" si="16"/>
        <v>19630.83333</v>
      </c>
    </row>
    <row r="12">
      <c r="A12" s="16">
        <v>46300.0</v>
      </c>
      <c r="B12" s="13" t="str">
        <f t="shared" si="2"/>
        <v>月</v>
      </c>
      <c r="C12" s="18"/>
      <c r="D12" s="15">
        <f t="shared" si="3"/>
        <v>0</v>
      </c>
      <c r="E12" s="49">
        <v>44962.0</v>
      </c>
      <c r="F12" s="49">
        <v>63452.0</v>
      </c>
      <c r="G12" s="15">
        <f t="shared" si="4"/>
        <v>108414</v>
      </c>
      <c r="H12" s="15">
        <f t="shared" si="5"/>
        <v>451550</v>
      </c>
      <c r="I12" s="17" t="str">
        <f t="shared" ref="I12:J12" si="19">IF(G12="","",IFERROR(G12/C12,""))</f>
        <v/>
      </c>
      <c r="J12" s="17" t="str">
        <f t="shared" si="19"/>
        <v/>
      </c>
      <c r="K12" s="15" t="str">
        <f t="shared" si="7"/>
        <v/>
      </c>
      <c r="L12" s="20" t="str">
        <f t="shared" si="8"/>
        <v>予算未入力</v>
      </c>
      <c r="M12" s="50">
        <v>5.0</v>
      </c>
      <c r="N12" s="50">
        <v>5.0</v>
      </c>
      <c r="O12" s="50">
        <v>19.0</v>
      </c>
      <c r="P12" s="50">
        <v>8.0</v>
      </c>
      <c r="Q12" s="50">
        <v>9.0</v>
      </c>
      <c r="R12" s="17">
        <f t="shared" si="9"/>
        <v>0.2631578947</v>
      </c>
      <c r="S12" s="15">
        <f t="shared" si="10"/>
        <v>21682.8</v>
      </c>
      <c r="T12" s="24">
        <f t="shared" si="11"/>
        <v>1</v>
      </c>
      <c r="U12" s="17">
        <f t="shared" si="12"/>
        <v>0.4210526316</v>
      </c>
      <c r="V12" s="22"/>
      <c r="W12" s="50">
        <v>43142.0</v>
      </c>
      <c r="X12" s="18"/>
      <c r="Y12" s="26"/>
      <c r="AA12" s="27" t="s">
        <v>65</v>
      </c>
      <c r="AB12" s="29">
        <f t="shared" si="13"/>
        <v>45121</v>
      </c>
      <c r="AC12" s="30">
        <f t="shared" si="14"/>
        <v>2</v>
      </c>
      <c r="AD12" s="31">
        <f t="shared" si="15"/>
        <v>0.2105263158</v>
      </c>
      <c r="AE12" s="29">
        <f t="shared" si="16"/>
        <v>22560.5</v>
      </c>
    </row>
    <row r="13">
      <c r="A13" s="32">
        <v>46301.0</v>
      </c>
      <c r="B13" s="21" t="str">
        <f t="shared" si="2"/>
        <v>火</v>
      </c>
      <c r="C13" s="18"/>
      <c r="D13" s="23">
        <f t="shared" si="3"/>
        <v>0</v>
      </c>
      <c r="E13" s="49">
        <v>20000.0</v>
      </c>
      <c r="F13" s="49">
        <v>84921.0</v>
      </c>
      <c r="G13" s="23">
        <f t="shared" si="4"/>
        <v>104921</v>
      </c>
      <c r="H13" s="23">
        <f t="shared" si="5"/>
        <v>556471</v>
      </c>
      <c r="I13" s="25" t="str">
        <f t="shared" ref="I13:J13" si="20">IF(G13="","",IFERROR(G13/C13,""))</f>
        <v/>
      </c>
      <c r="J13" s="25" t="str">
        <f t="shared" si="20"/>
        <v/>
      </c>
      <c r="K13" s="23" t="str">
        <f t="shared" si="7"/>
        <v/>
      </c>
      <c r="L13" s="33" t="str">
        <f t="shared" si="8"/>
        <v>予算未入力</v>
      </c>
      <c r="M13" s="50">
        <v>5.0</v>
      </c>
      <c r="N13" s="50">
        <v>5.0</v>
      </c>
      <c r="O13" s="50">
        <v>11.0</v>
      </c>
      <c r="P13" s="50">
        <v>7.0</v>
      </c>
      <c r="Q13" s="50">
        <v>12.0</v>
      </c>
      <c r="R13" s="25">
        <f t="shared" si="9"/>
        <v>0.4545454545</v>
      </c>
      <c r="S13" s="23">
        <f t="shared" si="10"/>
        <v>20984.2</v>
      </c>
      <c r="T13" s="34">
        <f t="shared" si="11"/>
        <v>1</v>
      </c>
      <c r="U13" s="25">
        <f t="shared" si="12"/>
        <v>0.6363636364</v>
      </c>
      <c r="V13" s="22"/>
      <c r="W13" s="22"/>
      <c r="X13" s="18"/>
      <c r="Y13" s="26"/>
      <c r="AA13" s="27" t="s">
        <v>67</v>
      </c>
      <c r="AB13" s="29">
        <f t="shared" si="13"/>
        <v>101780.3333</v>
      </c>
      <c r="AC13" s="30">
        <f t="shared" si="14"/>
        <v>3</v>
      </c>
      <c r="AD13" s="31">
        <f t="shared" si="15"/>
        <v>0.2692307692</v>
      </c>
      <c r="AE13" s="29">
        <f t="shared" si="16"/>
        <v>21810.07143</v>
      </c>
    </row>
    <row r="14">
      <c r="A14" s="16">
        <v>46302.0</v>
      </c>
      <c r="B14" s="13" t="str">
        <f t="shared" si="2"/>
        <v>水</v>
      </c>
      <c r="C14" s="18"/>
      <c r="D14" s="15">
        <f t="shared" si="3"/>
        <v>0</v>
      </c>
      <c r="E14" s="49">
        <v>0.0</v>
      </c>
      <c r="F14" s="49">
        <v>47398.0</v>
      </c>
      <c r="G14" s="15">
        <f t="shared" si="4"/>
        <v>47398</v>
      </c>
      <c r="H14" s="15">
        <f t="shared" si="5"/>
        <v>603869</v>
      </c>
      <c r="I14" s="17" t="str">
        <f t="shared" ref="I14:J14" si="21">IF(G14="","",IFERROR(G14/C14,""))</f>
        <v/>
      </c>
      <c r="J14" s="17" t="str">
        <f t="shared" si="21"/>
        <v/>
      </c>
      <c r="K14" s="15" t="str">
        <f t="shared" si="7"/>
        <v/>
      </c>
      <c r="L14" s="20" t="str">
        <f t="shared" si="8"/>
        <v>予算未入力</v>
      </c>
      <c r="M14" s="50">
        <v>2.0</v>
      </c>
      <c r="N14" s="50">
        <v>2.0</v>
      </c>
      <c r="O14" s="50">
        <v>11.0</v>
      </c>
      <c r="P14" s="50">
        <v>6.0</v>
      </c>
      <c r="Q14" s="50">
        <v>10.0</v>
      </c>
      <c r="R14" s="17">
        <f t="shared" si="9"/>
        <v>0.1818181818</v>
      </c>
      <c r="S14" s="15">
        <f t="shared" si="10"/>
        <v>23699</v>
      </c>
      <c r="T14" s="24">
        <f t="shared" si="11"/>
        <v>1</v>
      </c>
      <c r="U14" s="17">
        <f t="shared" si="12"/>
        <v>0.5454545455</v>
      </c>
      <c r="V14" s="22"/>
      <c r="W14" s="22"/>
      <c r="X14" s="18"/>
      <c r="Y14" s="26"/>
      <c r="AA14" s="27" t="s">
        <v>69</v>
      </c>
      <c r="AB14" s="29">
        <f t="shared" si="13"/>
        <v>178175</v>
      </c>
      <c r="AC14" s="30">
        <f t="shared" si="14"/>
        <v>2</v>
      </c>
      <c r="AD14" s="31">
        <f t="shared" si="15"/>
        <v>0.4473684211</v>
      </c>
      <c r="AE14" s="29">
        <f t="shared" si="16"/>
        <v>20961.76471</v>
      </c>
    </row>
    <row r="15">
      <c r="A15" s="32">
        <v>46303.0</v>
      </c>
      <c r="B15" s="21" t="str">
        <f t="shared" si="2"/>
        <v>木</v>
      </c>
      <c r="C15" s="18"/>
      <c r="D15" s="23">
        <f t="shared" si="3"/>
        <v>0</v>
      </c>
      <c r="E15" s="49">
        <v>0.0</v>
      </c>
      <c r="F15" s="49">
        <v>39742.0</v>
      </c>
      <c r="G15" s="23">
        <f t="shared" si="4"/>
        <v>39742</v>
      </c>
      <c r="H15" s="23">
        <f t="shared" si="5"/>
        <v>643611</v>
      </c>
      <c r="I15" s="25" t="str">
        <f t="shared" ref="I15:J15" si="22">IF(G15="","",IFERROR(G15/C15,""))</f>
        <v/>
      </c>
      <c r="J15" s="25" t="str">
        <f t="shared" si="22"/>
        <v/>
      </c>
      <c r="K15" s="23" t="str">
        <f t="shared" si="7"/>
        <v/>
      </c>
      <c r="L15" s="33" t="str">
        <f t="shared" si="8"/>
        <v>予算未入力</v>
      </c>
      <c r="M15" s="50">
        <v>2.0</v>
      </c>
      <c r="N15" s="50">
        <v>2.0</v>
      </c>
      <c r="O15" s="50">
        <v>8.0</v>
      </c>
      <c r="P15" s="50">
        <v>3.0</v>
      </c>
      <c r="Q15" s="50">
        <v>3.0</v>
      </c>
      <c r="R15" s="25">
        <f t="shared" si="9"/>
        <v>0.25</v>
      </c>
      <c r="S15" s="23">
        <f t="shared" si="10"/>
        <v>19871</v>
      </c>
      <c r="T15" s="34">
        <f t="shared" si="11"/>
        <v>1</v>
      </c>
      <c r="U15" s="25">
        <f t="shared" si="12"/>
        <v>0.375</v>
      </c>
      <c r="V15" s="22"/>
      <c r="W15" s="50">
        <v>43138.0</v>
      </c>
      <c r="X15" s="18"/>
      <c r="Y15" s="26"/>
    </row>
    <row r="16">
      <c r="A16" s="16">
        <v>46304.0</v>
      </c>
      <c r="B16" s="13" t="str">
        <f t="shared" si="2"/>
        <v>金</v>
      </c>
      <c r="C16" s="18"/>
      <c r="D16" s="15">
        <f t="shared" si="3"/>
        <v>0</v>
      </c>
      <c r="E16" s="49">
        <v>0.0</v>
      </c>
      <c r="F16" s="49">
        <v>45172.0</v>
      </c>
      <c r="G16" s="15">
        <f t="shared" si="4"/>
        <v>45172</v>
      </c>
      <c r="H16" s="15">
        <f t="shared" si="5"/>
        <v>688783</v>
      </c>
      <c r="I16" s="17" t="str">
        <f t="shared" ref="I16:J16" si="23">IF(G16="","",IFERROR(G16/C16,""))</f>
        <v/>
      </c>
      <c r="J16" s="17" t="str">
        <f t="shared" si="23"/>
        <v/>
      </c>
      <c r="K16" s="15" t="str">
        <f t="shared" si="7"/>
        <v/>
      </c>
      <c r="L16" s="20" t="str">
        <f t="shared" si="8"/>
        <v>予算未入力</v>
      </c>
      <c r="M16" s="50">
        <v>2.0</v>
      </c>
      <c r="N16" s="50">
        <v>2.0</v>
      </c>
      <c r="O16" s="50">
        <v>9.0</v>
      </c>
      <c r="P16" s="50">
        <v>6.0</v>
      </c>
      <c r="Q16" s="50">
        <v>9.0</v>
      </c>
      <c r="R16" s="17">
        <f t="shared" si="9"/>
        <v>0.2222222222</v>
      </c>
      <c r="S16" s="15">
        <f t="shared" si="10"/>
        <v>22586</v>
      </c>
      <c r="T16" s="24">
        <f t="shared" si="11"/>
        <v>1</v>
      </c>
      <c r="U16" s="17">
        <f t="shared" si="12"/>
        <v>0.6666666667</v>
      </c>
      <c r="V16" s="22"/>
      <c r="W16" s="50">
        <v>43122.0</v>
      </c>
      <c r="X16" s="18"/>
      <c r="Y16" s="26"/>
      <c r="AA16" s="35" t="s">
        <v>71</v>
      </c>
    </row>
    <row r="17">
      <c r="A17" s="32">
        <v>46305.0</v>
      </c>
      <c r="B17" s="21" t="str">
        <f t="shared" si="2"/>
        <v>土</v>
      </c>
      <c r="C17" s="18"/>
      <c r="D17" s="23">
        <f t="shared" si="3"/>
        <v>0</v>
      </c>
      <c r="E17" s="49">
        <v>0.0</v>
      </c>
      <c r="F17" s="49">
        <v>161761.0</v>
      </c>
      <c r="G17" s="23">
        <f t="shared" si="4"/>
        <v>161761</v>
      </c>
      <c r="H17" s="23">
        <f t="shared" si="5"/>
        <v>850544</v>
      </c>
      <c r="I17" s="25" t="str">
        <f t="shared" ref="I17:J17" si="24">IF(G17="","",IFERROR(G17/C17,""))</f>
        <v/>
      </c>
      <c r="J17" s="25" t="str">
        <f t="shared" si="24"/>
        <v/>
      </c>
      <c r="K17" s="23" t="str">
        <f t="shared" si="7"/>
        <v/>
      </c>
      <c r="L17" s="33" t="str">
        <f t="shared" si="8"/>
        <v>予算未入力</v>
      </c>
      <c r="M17" s="50">
        <v>8.0</v>
      </c>
      <c r="N17" s="50">
        <v>8.0</v>
      </c>
      <c r="O17" s="50">
        <v>18.0</v>
      </c>
      <c r="P17" s="50">
        <v>12.0</v>
      </c>
      <c r="Q17" s="50">
        <v>18.0</v>
      </c>
      <c r="R17" s="25">
        <f t="shared" si="9"/>
        <v>0.4444444444</v>
      </c>
      <c r="S17" s="23">
        <f t="shared" si="10"/>
        <v>20220.125</v>
      </c>
      <c r="T17" s="34">
        <f t="shared" si="11"/>
        <v>1</v>
      </c>
      <c r="U17" s="25">
        <f t="shared" si="12"/>
        <v>0.6666666667</v>
      </c>
      <c r="V17" s="22"/>
      <c r="W17" s="22"/>
      <c r="X17" s="18"/>
      <c r="Y17" s="26"/>
    </row>
    <row r="18">
      <c r="A18" s="16">
        <v>46306.0</v>
      </c>
      <c r="B18" s="13" t="str">
        <f t="shared" si="2"/>
        <v>日</v>
      </c>
      <c r="C18" s="18"/>
      <c r="D18" s="15">
        <f t="shared" si="3"/>
        <v>0</v>
      </c>
      <c r="E18" s="49">
        <v>16610.0</v>
      </c>
      <c r="F18" s="49">
        <v>169470.0</v>
      </c>
      <c r="G18" s="15">
        <f t="shared" si="4"/>
        <v>186080</v>
      </c>
      <c r="H18" s="15">
        <f t="shared" si="5"/>
        <v>1036624</v>
      </c>
      <c r="I18" s="17" t="str">
        <f t="shared" ref="I18:J18" si="25">IF(G18="","",IFERROR(G18/C18,""))</f>
        <v/>
      </c>
      <c r="J18" s="17" t="str">
        <f t="shared" si="25"/>
        <v/>
      </c>
      <c r="K18" s="15" t="str">
        <f t="shared" si="7"/>
        <v/>
      </c>
      <c r="L18" s="20" t="str">
        <f t="shared" si="8"/>
        <v>予算未入力</v>
      </c>
      <c r="M18" s="50">
        <v>9.0</v>
      </c>
      <c r="N18" s="50">
        <v>10.0</v>
      </c>
      <c r="O18" s="50">
        <v>21.0</v>
      </c>
      <c r="P18" s="50">
        <v>14.0</v>
      </c>
      <c r="Q18" s="50">
        <v>25.0</v>
      </c>
      <c r="R18" s="17">
        <f t="shared" si="9"/>
        <v>0.4285714286</v>
      </c>
      <c r="S18" s="15">
        <f t="shared" si="10"/>
        <v>20675.55556</v>
      </c>
      <c r="T18" s="24">
        <f t="shared" si="11"/>
        <v>1.111111111</v>
      </c>
      <c r="U18" s="17">
        <f t="shared" si="12"/>
        <v>0.6666666667</v>
      </c>
      <c r="V18" s="22"/>
      <c r="W18" s="22"/>
      <c r="X18" s="18"/>
      <c r="Y18" s="26"/>
      <c r="AA18" s="38" t="s">
        <v>188</v>
      </c>
      <c r="AH18" s="35" t="s">
        <v>111</v>
      </c>
      <c r="AI18" s="40">
        <f>$A$8+MOD(1-WEEKDAY($A$8,2)+7,7)</f>
        <v>46301</v>
      </c>
    </row>
    <row r="19">
      <c r="A19" s="32">
        <v>46307.0</v>
      </c>
      <c r="B19" s="21" t="str">
        <f t="shared" si="2"/>
        <v>月</v>
      </c>
      <c r="C19" s="18"/>
      <c r="D19" s="23">
        <f t="shared" si="3"/>
        <v>0</v>
      </c>
      <c r="E19" s="49">
        <v>21120.0</v>
      </c>
      <c r="F19" s="49">
        <v>140340.0</v>
      </c>
      <c r="G19" s="23">
        <f t="shared" si="4"/>
        <v>161460</v>
      </c>
      <c r="H19" s="23">
        <f t="shared" si="5"/>
        <v>1198084</v>
      </c>
      <c r="I19" s="25" t="str">
        <f t="shared" ref="I19:J19" si="26">IF(G19="","",IFERROR(G19/C19,""))</f>
        <v/>
      </c>
      <c r="J19" s="25" t="str">
        <f t="shared" si="26"/>
        <v/>
      </c>
      <c r="K19" s="23" t="str">
        <f t="shared" si="7"/>
        <v/>
      </c>
      <c r="L19" s="33" t="str">
        <f t="shared" si="8"/>
        <v>予算未入力</v>
      </c>
      <c r="M19" s="50">
        <v>7.0</v>
      </c>
      <c r="N19" s="50">
        <v>7.0</v>
      </c>
      <c r="O19" s="50">
        <v>29.0</v>
      </c>
      <c r="P19" s="50">
        <v>11.0</v>
      </c>
      <c r="Q19" s="50">
        <v>10.0</v>
      </c>
      <c r="R19" s="25">
        <f t="shared" si="9"/>
        <v>0.2413793103</v>
      </c>
      <c r="S19" s="23">
        <f t="shared" si="10"/>
        <v>23065.71429</v>
      </c>
      <c r="T19" s="34">
        <f t="shared" si="11"/>
        <v>1</v>
      </c>
      <c r="U19" s="25">
        <f t="shared" si="12"/>
        <v>0.3793103448</v>
      </c>
      <c r="V19" s="22"/>
      <c r="W19" s="50">
        <v>43092.0</v>
      </c>
      <c r="X19" s="18"/>
      <c r="Y19" s="26"/>
      <c r="AA19" s="14" t="s">
        <v>76</v>
      </c>
      <c r="AB19" s="14" t="s">
        <v>77</v>
      </c>
      <c r="AC19" s="14" t="s">
        <v>78</v>
      </c>
      <c r="AD19" s="14" t="s">
        <v>18</v>
      </c>
      <c r="AE19" s="14" t="s">
        <v>19</v>
      </c>
      <c r="AF19" s="14" t="s">
        <v>20</v>
      </c>
      <c r="AG19" s="14" t="s">
        <v>21</v>
      </c>
    </row>
    <row r="20">
      <c r="A20" s="16">
        <v>46308.0</v>
      </c>
      <c r="B20" s="13" t="str">
        <f t="shared" si="2"/>
        <v>火</v>
      </c>
      <c r="C20" s="18"/>
      <c r="D20" s="15">
        <f t="shared" si="3"/>
        <v>0</v>
      </c>
      <c r="E20" s="49">
        <v>0.0</v>
      </c>
      <c r="F20" s="49">
        <v>52517.0</v>
      </c>
      <c r="G20" s="15">
        <f t="shared" si="4"/>
        <v>52517</v>
      </c>
      <c r="H20" s="15">
        <f t="shared" si="5"/>
        <v>1250601</v>
      </c>
      <c r="I20" s="17" t="str">
        <f t="shared" ref="I20:J20" si="27">IF(G20="","",IFERROR(G20/C20,""))</f>
        <v/>
      </c>
      <c r="J20" s="17" t="str">
        <f t="shared" si="27"/>
        <v/>
      </c>
      <c r="K20" s="15" t="str">
        <f t="shared" si="7"/>
        <v/>
      </c>
      <c r="L20" s="20" t="str">
        <f t="shared" si="8"/>
        <v>予算未入力</v>
      </c>
      <c r="M20" s="22"/>
      <c r="N20" s="22"/>
      <c r="O20" s="22"/>
      <c r="P20" s="22"/>
      <c r="Q20" s="22"/>
      <c r="R20" s="17" t="str">
        <f t="shared" si="9"/>
        <v/>
      </c>
      <c r="S20" s="15" t="str">
        <f t="shared" si="10"/>
        <v/>
      </c>
      <c r="T20" s="24" t="str">
        <f t="shared" si="11"/>
        <v/>
      </c>
      <c r="U20" s="17" t="str">
        <f t="shared" si="12"/>
        <v/>
      </c>
      <c r="V20" s="22"/>
      <c r="W20" s="22"/>
      <c r="X20" s="18"/>
      <c r="Y20" s="26"/>
      <c r="AA20" s="30">
        <v>1.0</v>
      </c>
      <c r="AB20" s="42" t="str">
        <f>IF($AI$18+7*(1-1)&gt;$A$38,"",TEXT($AI$18+7*(1-1),"m/d")&amp;"-"&amp;TEXT($AI$18+7*(1-1)+6,"m/d"))</f>
        <v>10/6-10/12</v>
      </c>
      <c r="AC20" s="29">
        <f>IF($AB20="","",(SUMIFS($G$8:$G$38,$A$8:$A$38,"&gt;="&amp;$AI$18+7*(1-1),$A$8:$A$38,"&lt;="&amp;$AI$18+7*(1-1)+6)+SUMIFS('2026年11月'!$G$8:$G$37,'2026年11月'!$A$8:$A$37,"&gt;="&amp;$AI$18+7*(1-1),'2026年11月'!$A$8:$A$37,"&lt;="&amp;$AI$18+7*(1-1)+6)))</f>
        <v>746534</v>
      </c>
      <c r="AD20" s="31">
        <f>IF($AB20="","",IFERROR((SUMIFS($M$8:$M$38,$A$8:$A$38,"&gt;="&amp;$AI$18+7*(1-1),$A$8:$A$38,"&lt;="&amp;$AI$18+7*(1-1)+6)+SUMIFS('2026年11月'!$M$8:$M$37,'2026年11月'!$A$8:$A$37,"&gt;="&amp;$AI$18+7*(1-1),'2026年11月'!$A$8:$A$37,"&lt;="&amp;$AI$18+7*(1-1)+6))/(SUMIFS($O$8:$O$38,$A$8:$A$38,"&gt;="&amp;$AI$18+7*(1-1),$A$8:$A$38,"&lt;="&amp;$AI$18+7*(1-1)+6)+SUMIFS('2026年11月'!$O$8:$O$37,'2026年11月'!$A$8:$A$37,"&gt;="&amp;$AI$18+7*(1-1),'2026年11月'!$A$8:$A$37,"&lt;="&amp;$AI$18+7*(1-1)+6)),""))</f>
        <v>0.3271028037</v>
      </c>
      <c r="AE20" s="29">
        <f>IF($AB20="","",IFERROR((SUMIFS($G$8:$G$38,$A$8:$A$38,"&gt;="&amp;$AI$18+7*(1-1),$A$8:$A$38,"&lt;="&amp;$AI$18+7*(1-1)+6)+SUMIFS('2026年11月'!$G$8:$G$37,'2026年11月'!$A$8:$A$37,"&gt;="&amp;$AI$18+7*(1-1),'2026年11月'!$A$8:$A$37,"&lt;="&amp;$AI$18+7*(1-1)+6))/(SUMIFS($M$8:$M$38,$A$8:$A$38,"&gt;="&amp;$AI$18+7*(1-1),$A$8:$A$38,"&lt;="&amp;$AI$18+7*(1-1)+6)+SUMIFS('2026年11月'!$M$8:$M$37,'2026年11月'!$A$8:$A$37,"&gt;="&amp;$AI$18+7*(1-1),'2026年11月'!$A$8:$A$37,"&lt;="&amp;$AI$18+7*(1-1)+6)),""))</f>
        <v>21329.54286</v>
      </c>
      <c r="AF20" s="43">
        <f>IF($AB20="","",IFERROR((SUMIFS($N$8:$N$38,$A$8:$A$38,"&gt;="&amp;$AI$18+7*(1-1),$A$8:$A$38,"&lt;="&amp;$AI$18+7*(1-1)+6)+SUMIFS('2026年11月'!$N$8:$N$37,'2026年11月'!$A$8:$A$37,"&gt;="&amp;$AI$18+7*(1-1),'2026年11月'!$A$8:$A$37,"&lt;="&amp;$AI$18+7*(1-1)+6))/(SUMIFS($M$8:$M$38,$A$8:$A$38,"&gt;="&amp;$AI$18+7*(1-1),$A$8:$A$38,"&lt;="&amp;$AI$18+7*(1-1)+6)+SUMIFS('2026年11月'!$M$8:$M$37,'2026年11月'!$A$8:$A$37,"&gt;="&amp;$AI$18+7*(1-1),'2026年11月'!$A$8:$A$37,"&lt;="&amp;$AI$18+7*(1-1)+6)),""))</f>
        <v>1.028571429</v>
      </c>
      <c r="AG20" s="31">
        <f>IF($AB20="","",IFERROR((SUMIFS($P$8:$P$38,$A$8:$A$38,"&gt;="&amp;$AI$18+7*(1-1),$A$8:$A$38,"&lt;="&amp;$AI$18+7*(1-1)+6)+SUMIFS('2026年11月'!$P$8:$P$37,'2026年11月'!$A$8:$A$37,"&gt;="&amp;$AI$18+7*(1-1),'2026年11月'!$A$8:$A$37,"&lt;="&amp;$AI$18+7*(1-1)+6))/(SUMIFS($O$8:$O$38,$A$8:$A$38,"&gt;="&amp;$AI$18+7*(1-1),$A$8:$A$38,"&lt;="&amp;$AI$18+7*(1-1)+6)+SUMIFS('2026年11月'!$O$8:$O$37,'2026年11月'!$A$8:$A$37,"&gt;="&amp;$AI$18+7*(1-1),'2026年11月'!$A$8:$A$37,"&lt;="&amp;$AI$18+7*(1-1)+6)),""))</f>
        <v>0.5514018692</v>
      </c>
    </row>
    <row r="21" ht="15.75" customHeight="1">
      <c r="A21" s="32">
        <v>46309.0</v>
      </c>
      <c r="B21" s="21" t="str">
        <f t="shared" si="2"/>
        <v>水</v>
      </c>
      <c r="C21" s="18"/>
      <c r="D21" s="23">
        <f t="shared" si="3"/>
        <v>0</v>
      </c>
      <c r="E21" s="49">
        <v>0.0</v>
      </c>
      <c r="F21" s="49">
        <v>109161.0</v>
      </c>
      <c r="G21" s="23">
        <f t="shared" si="4"/>
        <v>109161</v>
      </c>
      <c r="H21" s="23">
        <f t="shared" si="5"/>
        <v>1359762</v>
      </c>
      <c r="I21" s="25" t="str">
        <f t="shared" ref="I21:J21" si="28">IF(G21="","",IFERROR(G21/C21,""))</f>
        <v/>
      </c>
      <c r="J21" s="25" t="str">
        <f t="shared" si="28"/>
        <v/>
      </c>
      <c r="K21" s="23" t="str">
        <f t="shared" si="7"/>
        <v/>
      </c>
      <c r="L21" s="33" t="str">
        <f t="shared" si="8"/>
        <v>予算未入力</v>
      </c>
      <c r="M21" s="22"/>
      <c r="N21" s="22"/>
      <c r="O21" s="22"/>
      <c r="P21" s="22"/>
      <c r="Q21" s="22"/>
      <c r="R21" s="25" t="str">
        <f t="shared" si="9"/>
        <v/>
      </c>
      <c r="S21" s="23" t="str">
        <f t="shared" si="10"/>
        <v/>
      </c>
      <c r="T21" s="34" t="str">
        <f t="shared" si="11"/>
        <v/>
      </c>
      <c r="U21" s="25" t="str">
        <f t="shared" si="12"/>
        <v/>
      </c>
      <c r="V21" s="22"/>
      <c r="W21" s="22"/>
      <c r="X21" s="18"/>
      <c r="Y21" s="26"/>
      <c r="AA21" s="30">
        <v>2.0</v>
      </c>
      <c r="AB21" s="42" t="str">
        <f>IF($AI$18+7*(2-1)&gt;$A$38,"",TEXT($AI$18+7*(2-1),"m/d")&amp;"-"&amp;TEXT($AI$18+7*(2-1)+6,"m/d"))</f>
        <v>10/13-10/19</v>
      </c>
      <c r="AC21" s="29">
        <f>IF($AB21="","",(SUMIFS($G$8:$G$38,$A$8:$A$38,"&gt;="&amp;$AI$18+7*(2-1),$A$8:$A$38,"&lt;="&amp;$AI$18+7*(2-1)+6)+SUMIFS('2026年11月'!$G$8:$G$37,'2026年11月'!$A$8:$A$37,"&gt;="&amp;$AI$18+7*(2-1),'2026年11月'!$A$8:$A$37,"&lt;="&amp;$AI$18+7*(2-1)+6)))</f>
        <v>608860</v>
      </c>
      <c r="AD21" s="31">
        <f>IF($AB21="","",IFERROR((SUMIFS($M$8:$M$38,$A$8:$A$38,"&gt;="&amp;$AI$18+7*(2-1),$A$8:$A$38,"&lt;="&amp;$AI$18+7*(2-1)+6)+SUMIFS('2026年11月'!$M$8:$M$37,'2026年11月'!$A$8:$A$37,"&gt;="&amp;$AI$18+7*(2-1),'2026年11月'!$A$8:$A$37,"&lt;="&amp;$AI$18+7*(2-1)+6))/(SUMIFS($O$8:$O$38,$A$8:$A$38,"&gt;="&amp;$AI$18+7*(2-1),$A$8:$A$38,"&lt;="&amp;$AI$18+7*(2-1)+6)+SUMIFS('2026年11月'!$O$8:$O$37,'2026年11月'!$A$8:$A$37,"&gt;="&amp;$AI$18+7*(2-1),'2026年11月'!$A$8:$A$37,"&lt;="&amp;$AI$18+7*(2-1)+6)),""))</f>
        <v>0.4081632653</v>
      </c>
      <c r="AE21" s="29">
        <f>IF($AB21="","",IFERROR((SUMIFS($G$8:$G$38,$A$8:$A$38,"&gt;="&amp;$AI$18+7*(2-1),$A$8:$A$38,"&lt;="&amp;$AI$18+7*(2-1)+6)+SUMIFS('2026年11月'!$G$8:$G$37,'2026年11月'!$A$8:$A$37,"&gt;="&amp;$AI$18+7*(2-1),'2026年11月'!$A$8:$A$37,"&lt;="&amp;$AI$18+7*(2-1)+6))/(SUMIFS($M$8:$M$38,$A$8:$A$38,"&gt;="&amp;$AI$18+7*(2-1),$A$8:$A$38,"&lt;="&amp;$AI$18+7*(2-1)+6)+SUMIFS('2026年11月'!$M$8:$M$37,'2026年11月'!$A$8:$A$37,"&gt;="&amp;$AI$18+7*(2-1),'2026年11月'!$A$8:$A$37,"&lt;="&amp;$AI$18+7*(2-1)+6)),""))</f>
        <v>30443</v>
      </c>
      <c r="AF21" s="43">
        <f>IF($AB21="","",IFERROR((SUMIFS($N$8:$N$38,$A$8:$A$38,"&gt;="&amp;$AI$18+7*(2-1),$A$8:$A$38,"&lt;="&amp;$AI$18+7*(2-1)+6)+SUMIFS('2026年11月'!$N$8:$N$37,'2026年11月'!$A$8:$A$37,"&gt;="&amp;$AI$18+7*(2-1),'2026年11月'!$A$8:$A$37,"&lt;="&amp;$AI$18+7*(2-1)+6))/(SUMIFS($M$8:$M$38,$A$8:$A$38,"&gt;="&amp;$AI$18+7*(2-1),$A$8:$A$38,"&lt;="&amp;$AI$18+7*(2-1)+6)+SUMIFS('2026年11月'!$M$8:$M$37,'2026年11月'!$A$8:$A$37,"&gt;="&amp;$AI$18+7*(2-1),'2026年11月'!$A$8:$A$37,"&lt;="&amp;$AI$18+7*(2-1)+6)),""))</f>
        <v>1.1</v>
      </c>
      <c r="AG21" s="31">
        <f>IF($AB21="","",IFERROR((SUMIFS($P$8:$P$38,$A$8:$A$38,"&gt;="&amp;$AI$18+7*(2-1),$A$8:$A$38,"&lt;="&amp;$AI$18+7*(2-1)+6)+SUMIFS('2026年11月'!$P$8:$P$37,'2026年11月'!$A$8:$A$37,"&gt;="&amp;$AI$18+7*(2-1),'2026年11月'!$A$8:$A$37,"&lt;="&amp;$AI$18+7*(2-1)+6))/(SUMIFS($O$8:$O$38,$A$8:$A$38,"&gt;="&amp;$AI$18+7*(2-1),$A$8:$A$38,"&lt;="&amp;$AI$18+7*(2-1)+6)+SUMIFS('2026年11月'!$O$8:$O$37,'2026年11月'!$A$8:$A$37,"&gt;="&amp;$AI$18+7*(2-1),'2026年11月'!$A$8:$A$37,"&lt;="&amp;$AI$18+7*(2-1)+6)),""))</f>
        <v>0.693877551</v>
      </c>
    </row>
    <row r="22" ht="15.75" customHeight="1">
      <c r="A22" s="16">
        <v>46310.0</v>
      </c>
      <c r="B22" s="13" t="str">
        <f t="shared" si="2"/>
        <v>木</v>
      </c>
      <c r="C22" s="18"/>
      <c r="D22" s="15">
        <f t="shared" si="3"/>
        <v>0</v>
      </c>
      <c r="E22" s="49">
        <v>46200.0</v>
      </c>
      <c r="F22" s="49">
        <v>318144.0</v>
      </c>
      <c r="G22" s="15">
        <f t="shared" si="4"/>
        <v>364344</v>
      </c>
      <c r="H22" s="15">
        <f t="shared" si="5"/>
        <v>1724106</v>
      </c>
      <c r="I22" s="17" t="str">
        <f t="shared" ref="I22:J22" si="29">IF(G22="","",IFERROR(G22/C22,""))</f>
        <v/>
      </c>
      <c r="J22" s="17" t="str">
        <f t="shared" si="29"/>
        <v/>
      </c>
      <c r="K22" s="15" t="str">
        <f t="shared" si="7"/>
        <v/>
      </c>
      <c r="L22" s="20" t="str">
        <f t="shared" si="8"/>
        <v>予算未入力</v>
      </c>
      <c r="M22" s="50">
        <v>17.0</v>
      </c>
      <c r="N22" s="50">
        <v>18.0</v>
      </c>
      <c r="O22" s="50">
        <v>36.0</v>
      </c>
      <c r="P22" s="50">
        <v>26.0</v>
      </c>
      <c r="Q22" s="50">
        <v>31.0</v>
      </c>
      <c r="R22" s="17">
        <f t="shared" si="9"/>
        <v>0.4722222222</v>
      </c>
      <c r="S22" s="15">
        <f t="shared" si="10"/>
        <v>21432</v>
      </c>
      <c r="T22" s="24">
        <f t="shared" si="11"/>
        <v>1.058823529</v>
      </c>
      <c r="U22" s="17">
        <f t="shared" si="12"/>
        <v>0.7222222222</v>
      </c>
      <c r="V22" s="22"/>
      <c r="W22" s="22"/>
      <c r="X22" s="18"/>
      <c r="Y22" s="26"/>
      <c r="AA22" s="30">
        <v>3.0</v>
      </c>
      <c r="AB22" s="42" t="str">
        <f>IF($AI$18+7*(3-1)&gt;$A$38,"",TEXT($AI$18+7*(3-1),"m/d")&amp;"-"&amp;TEXT($AI$18+7*(3-1)+6,"m/d"))</f>
        <v>10/20-10/26</v>
      </c>
      <c r="AC22" s="29">
        <f>IF($AB22="","",(SUMIFS($G$8:$G$38,$A$8:$A$38,"&gt;="&amp;$AI$18+7*(3-1),$A$8:$A$38,"&lt;="&amp;$AI$18+7*(3-1)+6)+SUMIFS('2026年11月'!$G$8:$G$37,'2026年11月'!$A$8:$A$37,"&gt;="&amp;$AI$18+7*(3-1),'2026年11月'!$A$8:$A$37,"&lt;="&amp;$AI$18+7*(3-1)+6)))</f>
        <v>0</v>
      </c>
      <c r="AD22" s="31" t="str">
        <f>IF($AB22="","",IFERROR((SUMIFS($M$8:$M$38,$A$8:$A$38,"&gt;="&amp;$AI$18+7*(3-1),$A$8:$A$38,"&lt;="&amp;$AI$18+7*(3-1)+6)+SUMIFS('2026年11月'!$M$8:$M$37,'2026年11月'!$A$8:$A$37,"&gt;="&amp;$AI$18+7*(3-1),'2026年11月'!$A$8:$A$37,"&lt;="&amp;$AI$18+7*(3-1)+6))/(SUMIFS($O$8:$O$38,$A$8:$A$38,"&gt;="&amp;$AI$18+7*(3-1),$A$8:$A$38,"&lt;="&amp;$AI$18+7*(3-1)+6)+SUMIFS('2026年11月'!$O$8:$O$37,'2026年11月'!$A$8:$A$37,"&gt;="&amp;$AI$18+7*(3-1),'2026年11月'!$A$8:$A$37,"&lt;="&amp;$AI$18+7*(3-1)+6)),""))</f>
        <v/>
      </c>
      <c r="AE22" s="29" t="str">
        <f>IF($AB22="","",IFERROR((SUMIFS($G$8:$G$38,$A$8:$A$38,"&gt;="&amp;$AI$18+7*(3-1),$A$8:$A$38,"&lt;="&amp;$AI$18+7*(3-1)+6)+SUMIFS('2026年11月'!$G$8:$G$37,'2026年11月'!$A$8:$A$37,"&gt;="&amp;$AI$18+7*(3-1),'2026年11月'!$A$8:$A$37,"&lt;="&amp;$AI$18+7*(3-1)+6))/(SUMIFS($M$8:$M$38,$A$8:$A$38,"&gt;="&amp;$AI$18+7*(3-1),$A$8:$A$38,"&lt;="&amp;$AI$18+7*(3-1)+6)+SUMIFS('2026年11月'!$M$8:$M$37,'2026年11月'!$A$8:$A$37,"&gt;="&amp;$AI$18+7*(3-1),'2026年11月'!$A$8:$A$37,"&lt;="&amp;$AI$18+7*(3-1)+6)),""))</f>
        <v/>
      </c>
      <c r="AF22" s="43" t="str">
        <f>IF($AB22="","",IFERROR((SUMIFS($N$8:$N$38,$A$8:$A$38,"&gt;="&amp;$AI$18+7*(3-1),$A$8:$A$38,"&lt;="&amp;$AI$18+7*(3-1)+6)+SUMIFS('2026年11月'!$N$8:$N$37,'2026年11月'!$A$8:$A$37,"&gt;="&amp;$AI$18+7*(3-1),'2026年11月'!$A$8:$A$37,"&lt;="&amp;$AI$18+7*(3-1)+6))/(SUMIFS($M$8:$M$38,$A$8:$A$38,"&gt;="&amp;$AI$18+7*(3-1),$A$8:$A$38,"&lt;="&amp;$AI$18+7*(3-1)+6)+SUMIFS('2026年11月'!$M$8:$M$37,'2026年11月'!$A$8:$A$37,"&gt;="&amp;$AI$18+7*(3-1),'2026年11月'!$A$8:$A$37,"&lt;="&amp;$AI$18+7*(3-1)+6)),""))</f>
        <v/>
      </c>
      <c r="AG22" s="31" t="str">
        <f>IF($AB22="","",IFERROR((SUMIFS($P$8:$P$38,$A$8:$A$38,"&gt;="&amp;$AI$18+7*(3-1),$A$8:$A$38,"&lt;="&amp;$AI$18+7*(3-1)+6)+SUMIFS('2026年11月'!$P$8:$P$37,'2026年11月'!$A$8:$A$37,"&gt;="&amp;$AI$18+7*(3-1),'2026年11月'!$A$8:$A$37,"&lt;="&amp;$AI$18+7*(3-1)+6))/(SUMIFS($O$8:$O$38,$A$8:$A$38,"&gt;="&amp;$AI$18+7*(3-1),$A$8:$A$38,"&lt;="&amp;$AI$18+7*(3-1)+6)+SUMIFS('2026年11月'!$O$8:$O$37,'2026年11月'!$A$8:$A$37,"&gt;="&amp;$AI$18+7*(3-1),'2026年11月'!$A$8:$A$37,"&lt;="&amp;$AI$18+7*(3-1)+6)),""))</f>
        <v/>
      </c>
    </row>
    <row r="23" ht="15.75" customHeight="1">
      <c r="A23" s="32">
        <v>46311.0</v>
      </c>
      <c r="B23" s="21" t="str">
        <f t="shared" si="2"/>
        <v>金</v>
      </c>
      <c r="C23" s="18"/>
      <c r="D23" s="23">
        <f t="shared" si="3"/>
        <v>0</v>
      </c>
      <c r="E23" s="18"/>
      <c r="F23" s="18"/>
      <c r="G23" s="23" t="str">
        <f t="shared" si="4"/>
        <v/>
      </c>
      <c r="H23" s="23" t="str">
        <f t="shared" si="5"/>
        <v/>
      </c>
      <c r="I23" s="25" t="str">
        <f t="shared" ref="I23:J23" si="30">IF(G23="","",IFERROR(G23/C23,""))</f>
        <v/>
      </c>
      <c r="J23" s="25" t="str">
        <f t="shared" si="30"/>
        <v/>
      </c>
      <c r="K23" s="23" t="str">
        <f t="shared" si="7"/>
        <v/>
      </c>
      <c r="L23" s="33" t="str">
        <f t="shared" si="8"/>
        <v>—</v>
      </c>
      <c r="M23" s="22"/>
      <c r="N23" s="22"/>
      <c r="O23" s="22"/>
      <c r="P23" s="22"/>
      <c r="Q23" s="22"/>
      <c r="R23" s="25" t="str">
        <f t="shared" si="9"/>
        <v/>
      </c>
      <c r="S23" s="23" t="str">
        <f t="shared" si="10"/>
        <v/>
      </c>
      <c r="T23" s="34" t="str">
        <f t="shared" si="11"/>
        <v/>
      </c>
      <c r="U23" s="25" t="str">
        <f t="shared" si="12"/>
        <v/>
      </c>
      <c r="V23" s="22"/>
      <c r="W23" s="22"/>
      <c r="X23" s="18"/>
      <c r="Y23" s="26"/>
      <c r="AA23" s="30">
        <v>4.0</v>
      </c>
      <c r="AB23" s="42" t="str">
        <f>IF($AI$18+7*(4-1)&gt;$A$38,"",TEXT($AI$18+7*(4-1),"m/d")&amp;"-"&amp;TEXT($AI$18+7*(4-1)+6,"m/d"))</f>
        <v>10/27-11/2</v>
      </c>
      <c r="AC23" s="29">
        <f>IF($AB23="","",(SUMIFS($G$8:$G$38,$A$8:$A$38,"&gt;="&amp;$AI$18+7*(4-1),$A$8:$A$38,"&lt;="&amp;$AI$18+7*(4-1)+6)+SUMIFS('2026年11月'!$G$8:$G$37,'2026年11月'!$A$8:$A$37,"&gt;="&amp;$AI$18+7*(4-1),'2026年11月'!$A$8:$A$37,"&lt;="&amp;$AI$18+7*(4-1)+6)))</f>
        <v>0</v>
      </c>
      <c r="AD23" s="31" t="str">
        <f>IF($AB23="","",IFERROR((SUMIFS($M$8:$M$38,$A$8:$A$38,"&gt;="&amp;$AI$18+7*(4-1),$A$8:$A$38,"&lt;="&amp;$AI$18+7*(4-1)+6)+SUMIFS('2026年11月'!$M$8:$M$37,'2026年11月'!$A$8:$A$37,"&gt;="&amp;$AI$18+7*(4-1),'2026年11月'!$A$8:$A$37,"&lt;="&amp;$AI$18+7*(4-1)+6))/(SUMIFS($O$8:$O$38,$A$8:$A$38,"&gt;="&amp;$AI$18+7*(4-1),$A$8:$A$38,"&lt;="&amp;$AI$18+7*(4-1)+6)+SUMIFS('2026年11月'!$O$8:$O$37,'2026年11月'!$A$8:$A$37,"&gt;="&amp;$AI$18+7*(4-1),'2026年11月'!$A$8:$A$37,"&lt;="&amp;$AI$18+7*(4-1)+6)),""))</f>
        <v/>
      </c>
      <c r="AE23" s="29" t="str">
        <f>IF($AB23="","",IFERROR((SUMIFS($G$8:$G$38,$A$8:$A$38,"&gt;="&amp;$AI$18+7*(4-1),$A$8:$A$38,"&lt;="&amp;$AI$18+7*(4-1)+6)+SUMIFS('2026年11月'!$G$8:$G$37,'2026年11月'!$A$8:$A$37,"&gt;="&amp;$AI$18+7*(4-1),'2026年11月'!$A$8:$A$37,"&lt;="&amp;$AI$18+7*(4-1)+6))/(SUMIFS($M$8:$M$38,$A$8:$A$38,"&gt;="&amp;$AI$18+7*(4-1),$A$8:$A$38,"&lt;="&amp;$AI$18+7*(4-1)+6)+SUMIFS('2026年11月'!$M$8:$M$37,'2026年11月'!$A$8:$A$37,"&gt;="&amp;$AI$18+7*(4-1),'2026年11月'!$A$8:$A$37,"&lt;="&amp;$AI$18+7*(4-1)+6)),""))</f>
        <v/>
      </c>
      <c r="AF23" s="43" t="str">
        <f>IF($AB23="","",IFERROR((SUMIFS($N$8:$N$38,$A$8:$A$38,"&gt;="&amp;$AI$18+7*(4-1),$A$8:$A$38,"&lt;="&amp;$AI$18+7*(4-1)+6)+SUMIFS('2026年11月'!$N$8:$N$37,'2026年11月'!$A$8:$A$37,"&gt;="&amp;$AI$18+7*(4-1),'2026年11月'!$A$8:$A$37,"&lt;="&amp;$AI$18+7*(4-1)+6))/(SUMIFS($M$8:$M$38,$A$8:$A$38,"&gt;="&amp;$AI$18+7*(4-1),$A$8:$A$38,"&lt;="&amp;$AI$18+7*(4-1)+6)+SUMIFS('2026年11月'!$M$8:$M$37,'2026年11月'!$A$8:$A$37,"&gt;="&amp;$AI$18+7*(4-1),'2026年11月'!$A$8:$A$37,"&lt;="&amp;$AI$18+7*(4-1)+6)),""))</f>
        <v/>
      </c>
      <c r="AG23" s="31" t="str">
        <f>IF($AB23="","",IFERROR((SUMIFS($P$8:$P$38,$A$8:$A$38,"&gt;="&amp;$AI$18+7*(4-1),$A$8:$A$38,"&lt;="&amp;$AI$18+7*(4-1)+6)+SUMIFS('2026年11月'!$P$8:$P$37,'2026年11月'!$A$8:$A$37,"&gt;="&amp;$AI$18+7*(4-1),'2026年11月'!$A$8:$A$37,"&lt;="&amp;$AI$18+7*(4-1)+6))/(SUMIFS($O$8:$O$38,$A$8:$A$38,"&gt;="&amp;$AI$18+7*(4-1),$A$8:$A$38,"&lt;="&amp;$AI$18+7*(4-1)+6)+SUMIFS('2026年11月'!$O$8:$O$37,'2026年11月'!$A$8:$A$37,"&gt;="&amp;$AI$18+7*(4-1),'2026年11月'!$A$8:$A$37,"&lt;="&amp;$AI$18+7*(4-1)+6)),""))</f>
        <v/>
      </c>
    </row>
    <row r="24" ht="15.75" customHeight="1">
      <c r="A24" s="16">
        <v>46312.0</v>
      </c>
      <c r="B24" s="13" t="str">
        <f t="shared" si="2"/>
        <v>土</v>
      </c>
      <c r="C24" s="18"/>
      <c r="D24" s="15">
        <f t="shared" si="3"/>
        <v>0</v>
      </c>
      <c r="E24" s="49">
        <v>0.0</v>
      </c>
      <c r="F24" s="49">
        <v>82838.0</v>
      </c>
      <c r="G24" s="15">
        <f t="shared" si="4"/>
        <v>82838</v>
      </c>
      <c r="H24" s="15">
        <f t="shared" si="5"/>
        <v>1806944</v>
      </c>
      <c r="I24" s="17" t="str">
        <f t="shared" ref="I24:J24" si="31">IF(G24="","",IFERROR(G24/C24,""))</f>
        <v/>
      </c>
      <c r="J24" s="17" t="str">
        <f t="shared" si="31"/>
        <v/>
      </c>
      <c r="K24" s="15" t="str">
        <f t="shared" si="7"/>
        <v/>
      </c>
      <c r="L24" s="20" t="str">
        <f t="shared" si="8"/>
        <v>予算未入力</v>
      </c>
      <c r="M24" s="50">
        <v>3.0</v>
      </c>
      <c r="N24" s="50">
        <v>4.0</v>
      </c>
      <c r="O24" s="50">
        <v>13.0</v>
      </c>
      <c r="P24" s="50">
        <v>8.0</v>
      </c>
      <c r="Q24" s="50">
        <v>12.0</v>
      </c>
      <c r="R24" s="17">
        <f t="shared" si="9"/>
        <v>0.2307692308</v>
      </c>
      <c r="S24" s="15">
        <f t="shared" si="10"/>
        <v>27612.66667</v>
      </c>
      <c r="T24" s="24">
        <f t="shared" si="11"/>
        <v>1.333333333</v>
      </c>
      <c r="U24" s="17">
        <f t="shared" si="12"/>
        <v>0.6153846154</v>
      </c>
      <c r="V24" s="22"/>
      <c r="W24" s="50">
        <v>43075.0</v>
      </c>
      <c r="X24" s="18"/>
      <c r="Y24" s="26"/>
      <c r="AA24" s="30">
        <v>5.0</v>
      </c>
      <c r="AB24" s="42" t="str">
        <f>IF($AI$18+7*(5-1)&gt;$A$38,"",TEXT($AI$18+7*(5-1),"m/d")&amp;"-"&amp;TEXT($AI$18+7*(5-1)+6,"m/d"))</f>
        <v/>
      </c>
      <c r="AC24" s="29" t="str">
        <f>IF($AB24="","",(SUMIFS($G$8:$G$38,$A$8:$A$38,"&gt;="&amp;$AI$18+7*(5-1),$A$8:$A$38,"&lt;="&amp;$AI$18+7*(5-1)+6)+SUMIFS('2026年11月'!$G$8:$G$37,'2026年11月'!$A$8:$A$37,"&gt;="&amp;$AI$18+7*(5-1),'2026年11月'!$A$8:$A$37,"&lt;="&amp;$AI$18+7*(5-1)+6)))</f>
        <v/>
      </c>
      <c r="AD24" s="31" t="str">
        <f>IF($AB24="","",IFERROR((SUMIFS($M$8:$M$38,$A$8:$A$38,"&gt;="&amp;$AI$18+7*(5-1),$A$8:$A$38,"&lt;="&amp;$AI$18+7*(5-1)+6)+SUMIFS('2026年11月'!$M$8:$M$37,'2026年11月'!$A$8:$A$37,"&gt;="&amp;$AI$18+7*(5-1),'2026年11月'!$A$8:$A$37,"&lt;="&amp;$AI$18+7*(5-1)+6))/(SUMIFS($O$8:$O$38,$A$8:$A$38,"&gt;="&amp;$AI$18+7*(5-1),$A$8:$A$38,"&lt;="&amp;$AI$18+7*(5-1)+6)+SUMIFS('2026年11月'!$O$8:$O$37,'2026年11月'!$A$8:$A$37,"&gt;="&amp;$AI$18+7*(5-1),'2026年11月'!$A$8:$A$37,"&lt;="&amp;$AI$18+7*(5-1)+6)),""))</f>
        <v/>
      </c>
      <c r="AE24" s="29" t="str">
        <f>IF($AB24="","",IFERROR((SUMIFS($G$8:$G$38,$A$8:$A$38,"&gt;="&amp;$AI$18+7*(5-1),$A$8:$A$38,"&lt;="&amp;$AI$18+7*(5-1)+6)+SUMIFS('2026年11月'!$G$8:$G$37,'2026年11月'!$A$8:$A$37,"&gt;="&amp;$AI$18+7*(5-1),'2026年11月'!$A$8:$A$37,"&lt;="&amp;$AI$18+7*(5-1)+6))/(SUMIFS($M$8:$M$38,$A$8:$A$38,"&gt;="&amp;$AI$18+7*(5-1),$A$8:$A$38,"&lt;="&amp;$AI$18+7*(5-1)+6)+SUMIFS('2026年11月'!$M$8:$M$37,'2026年11月'!$A$8:$A$37,"&gt;="&amp;$AI$18+7*(5-1),'2026年11月'!$A$8:$A$37,"&lt;="&amp;$AI$18+7*(5-1)+6)),""))</f>
        <v/>
      </c>
      <c r="AF24" s="43" t="str">
        <f>IF($AB24="","",IFERROR((SUMIFS($N$8:$N$38,$A$8:$A$38,"&gt;="&amp;$AI$18+7*(5-1),$A$8:$A$38,"&lt;="&amp;$AI$18+7*(5-1)+6)+SUMIFS('2026年11月'!$N$8:$N$37,'2026年11月'!$A$8:$A$37,"&gt;="&amp;$AI$18+7*(5-1),'2026年11月'!$A$8:$A$37,"&lt;="&amp;$AI$18+7*(5-1)+6))/(SUMIFS($M$8:$M$38,$A$8:$A$38,"&gt;="&amp;$AI$18+7*(5-1),$A$8:$A$38,"&lt;="&amp;$AI$18+7*(5-1)+6)+SUMIFS('2026年11月'!$M$8:$M$37,'2026年11月'!$A$8:$A$37,"&gt;="&amp;$AI$18+7*(5-1),'2026年11月'!$A$8:$A$37,"&lt;="&amp;$AI$18+7*(5-1)+6)),""))</f>
        <v/>
      </c>
      <c r="AG24" s="31" t="str">
        <f>IF($AB24="","",IFERROR((SUMIFS($P$8:$P$38,$A$8:$A$38,"&gt;="&amp;$AI$18+7*(5-1),$A$8:$A$38,"&lt;="&amp;$AI$18+7*(5-1)+6)+SUMIFS('2026年11月'!$P$8:$P$37,'2026年11月'!$A$8:$A$37,"&gt;="&amp;$AI$18+7*(5-1),'2026年11月'!$A$8:$A$37,"&lt;="&amp;$AI$18+7*(5-1)+6))/(SUMIFS($O$8:$O$38,$A$8:$A$38,"&gt;="&amp;$AI$18+7*(5-1),$A$8:$A$38,"&lt;="&amp;$AI$18+7*(5-1)+6)+SUMIFS('2026年11月'!$O$8:$O$37,'2026年11月'!$A$8:$A$37,"&gt;="&amp;$AI$18+7*(5-1),'2026年11月'!$A$8:$A$37,"&lt;="&amp;$AI$18+7*(5-1)+6)),""))</f>
        <v/>
      </c>
    </row>
    <row r="25" ht="15.75" customHeight="1">
      <c r="A25" s="32">
        <v>46313.0</v>
      </c>
      <c r="B25" s="21" t="str">
        <f t="shared" si="2"/>
        <v>日</v>
      </c>
      <c r="C25" s="18"/>
      <c r="D25" s="23">
        <f t="shared" si="3"/>
        <v>0</v>
      </c>
      <c r="E25" s="18"/>
      <c r="F25" s="18"/>
      <c r="G25" s="23" t="str">
        <f t="shared" si="4"/>
        <v/>
      </c>
      <c r="H25" s="23" t="str">
        <f t="shared" si="5"/>
        <v/>
      </c>
      <c r="I25" s="25" t="str">
        <f t="shared" ref="I25:J25" si="32">IF(G25="","",IFERROR(G25/C25,""))</f>
        <v/>
      </c>
      <c r="J25" s="25" t="str">
        <f t="shared" si="32"/>
        <v/>
      </c>
      <c r="K25" s="23" t="str">
        <f t="shared" si="7"/>
        <v/>
      </c>
      <c r="L25" s="33" t="str">
        <f t="shared" si="8"/>
        <v>—</v>
      </c>
      <c r="M25" s="22"/>
      <c r="N25" s="22"/>
      <c r="O25" s="22"/>
      <c r="P25" s="22"/>
      <c r="Q25" s="22"/>
      <c r="R25" s="25" t="str">
        <f t="shared" si="9"/>
        <v/>
      </c>
      <c r="S25" s="23" t="str">
        <f t="shared" si="10"/>
        <v/>
      </c>
      <c r="T25" s="34" t="str">
        <f t="shared" si="11"/>
        <v/>
      </c>
      <c r="U25" s="25" t="str">
        <f t="shared" si="12"/>
        <v/>
      </c>
      <c r="V25" s="22"/>
      <c r="W25" s="22"/>
      <c r="X25" s="18"/>
      <c r="Y25" s="26"/>
      <c r="AA25" s="30">
        <v>6.0</v>
      </c>
      <c r="AB25" s="42" t="str">
        <f>IF($AI$18+7*(6-1)&gt;$A$38,"",TEXT($AI$18+7*(6-1),"m/d")&amp;"-"&amp;TEXT($AI$18+7*(6-1)+6,"m/d"))</f>
        <v/>
      </c>
      <c r="AC25" s="29" t="str">
        <f>IF($AB25="","",(SUMIFS($G$8:$G$38,$A$8:$A$38,"&gt;="&amp;$AI$18+7*(6-1),$A$8:$A$38,"&lt;="&amp;$AI$18+7*(6-1)+6)+SUMIFS('2026年11月'!$G$8:$G$37,'2026年11月'!$A$8:$A$37,"&gt;="&amp;$AI$18+7*(6-1),'2026年11月'!$A$8:$A$37,"&lt;="&amp;$AI$18+7*(6-1)+6)))</f>
        <v/>
      </c>
      <c r="AD25" s="31" t="str">
        <f>IF($AB25="","",IFERROR((SUMIFS($M$8:$M$38,$A$8:$A$38,"&gt;="&amp;$AI$18+7*(6-1),$A$8:$A$38,"&lt;="&amp;$AI$18+7*(6-1)+6)+SUMIFS('2026年11月'!$M$8:$M$37,'2026年11月'!$A$8:$A$37,"&gt;="&amp;$AI$18+7*(6-1),'2026年11月'!$A$8:$A$37,"&lt;="&amp;$AI$18+7*(6-1)+6))/(SUMIFS($O$8:$O$38,$A$8:$A$38,"&gt;="&amp;$AI$18+7*(6-1),$A$8:$A$38,"&lt;="&amp;$AI$18+7*(6-1)+6)+SUMIFS('2026年11月'!$O$8:$O$37,'2026年11月'!$A$8:$A$37,"&gt;="&amp;$AI$18+7*(6-1),'2026年11月'!$A$8:$A$37,"&lt;="&amp;$AI$18+7*(6-1)+6)),""))</f>
        <v/>
      </c>
      <c r="AE25" s="29" t="str">
        <f>IF($AB25="","",IFERROR((SUMIFS($G$8:$G$38,$A$8:$A$38,"&gt;="&amp;$AI$18+7*(6-1),$A$8:$A$38,"&lt;="&amp;$AI$18+7*(6-1)+6)+SUMIFS('2026年11月'!$G$8:$G$37,'2026年11月'!$A$8:$A$37,"&gt;="&amp;$AI$18+7*(6-1),'2026年11月'!$A$8:$A$37,"&lt;="&amp;$AI$18+7*(6-1)+6))/(SUMIFS($M$8:$M$38,$A$8:$A$38,"&gt;="&amp;$AI$18+7*(6-1),$A$8:$A$38,"&lt;="&amp;$AI$18+7*(6-1)+6)+SUMIFS('2026年11月'!$M$8:$M$37,'2026年11月'!$A$8:$A$37,"&gt;="&amp;$AI$18+7*(6-1),'2026年11月'!$A$8:$A$37,"&lt;="&amp;$AI$18+7*(6-1)+6)),""))</f>
        <v/>
      </c>
      <c r="AF25" s="43" t="str">
        <f>IF($AB25="","",IFERROR((SUMIFS($N$8:$N$38,$A$8:$A$38,"&gt;="&amp;$AI$18+7*(6-1),$A$8:$A$38,"&lt;="&amp;$AI$18+7*(6-1)+6)+SUMIFS('2026年11月'!$N$8:$N$37,'2026年11月'!$A$8:$A$37,"&gt;="&amp;$AI$18+7*(6-1),'2026年11月'!$A$8:$A$37,"&lt;="&amp;$AI$18+7*(6-1)+6))/(SUMIFS($M$8:$M$38,$A$8:$A$38,"&gt;="&amp;$AI$18+7*(6-1),$A$8:$A$38,"&lt;="&amp;$AI$18+7*(6-1)+6)+SUMIFS('2026年11月'!$M$8:$M$37,'2026年11月'!$A$8:$A$37,"&gt;="&amp;$AI$18+7*(6-1),'2026年11月'!$A$8:$A$37,"&lt;="&amp;$AI$18+7*(6-1)+6)),""))</f>
        <v/>
      </c>
      <c r="AG25" s="31" t="str">
        <f>IF($AB25="","",IFERROR((SUMIFS($P$8:$P$38,$A$8:$A$38,"&gt;="&amp;$AI$18+7*(6-1),$A$8:$A$38,"&lt;="&amp;$AI$18+7*(6-1)+6)+SUMIFS('2026年11月'!$P$8:$P$37,'2026年11月'!$A$8:$A$37,"&gt;="&amp;$AI$18+7*(6-1),'2026年11月'!$A$8:$A$37,"&lt;="&amp;$AI$18+7*(6-1)+6))/(SUMIFS($O$8:$O$38,$A$8:$A$38,"&gt;="&amp;$AI$18+7*(6-1),$A$8:$A$38,"&lt;="&amp;$AI$18+7*(6-1)+6)+SUMIFS('2026年11月'!$O$8:$O$37,'2026年11月'!$A$8:$A$37,"&gt;="&amp;$AI$18+7*(6-1),'2026年11月'!$A$8:$A$37,"&lt;="&amp;$AI$18+7*(6-1)+6)),""))</f>
        <v/>
      </c>
    </row>
    <row r="26" ht="15.75" customHeight="1">
      <c r="A26" s="16">
        <v>46314.0</v>
      </c>
      <c r="B26" s="13" t="str">
        <f t="shared" si="2"/>
        <v>月</v>
      </c>
      <c r="C26" s="18"/>
      <c r="D26" s="15">
        <f t="shared" si="3"/>
        <v>0</v>
      </c>
      <c r="E26" s="18"/>
      <c r="F26" s="18"/>
      <c r="G26" s="15" t="str">
        <f t="shared" si="4"/>
        <v/>
      </c>
      <c r="H26" s="15" t="str">
        <f t="shared" si="5"/>
        <v/>
      </c>
      <c r="I26" s="17" t="str">
        <f t="shared" ref="I26:J26" si="33">IF(G26="","",IFERROR(G26/C26,""))</f>
        <v/>
      </c>
      <c r="J26" s="17" t="str">
        <f t="shared" si="33"/>
        <v/>
      </c>
      <c r="K26" s="15" t="str">
        <f t="shared" si="7"/>
        <v/>
      </c>
      <c r="L26" s="20" t="str">
        <f t="shared" si="8"/>
        <v>—</v>
      </c>
      <c r="M26" s="22"/>
      <c r="N26" s="22"/>
      <c r="O26" s="22"/>
      <c r="P26" s="22"/>
      <c r="Q26" s="22"/>
      <c r="R26" s="17" t="str">
        <f t="shared" si="9"/>
        <v/>
      </c>
      <c r="S26" s="15" t="str">
        <f t="shared" si="10"/>
        <v/>
      </c>
      <c r="T26" s="24" t="str">
        <f t="shared" si="11"/>
        <v/>
      </c>
      <c r="U26" s="17" t="str">
        <f t="shared" si="12"/>
        <v/>
      </c>
      <c r="V26" s="22"/>
      <c r="W26" s="22"/>
      <c r="X26" s="18"/>
      <c r="Y26" s="26"/>
      <c r="AA26" s="35" t="s">
        <v>115</v>
      </c>
    </row>
    <row r="27" ht="15.75" customHeight="1">
      <c r="A27" s="32">
        <v>46315.0</v>
      </c>
      <c r="B27" s="21" t="str">
        <f t="shared" si="2"/>
        <v>火</v>
      </c>
      <c r="C27" s="18"/>
      <c r="D27" s="23">
        <f t="shared" si="3"/>
        <v>0</v>
      </c>
      <c r="E27" s="18"/>
      <c r="F27" s="18"/>
      <c r="G27" s="23" t="str">
        <f t="shared" si="4"/>
        <v/>
      </c>
      <c r="H27" s="23" t="str">
        <f t="shared" si="5"/>
        <v/>
      </c>
      <c r="I27" s="25" t="str">
        <f t="shared" ref="I27:J27" si="34">IF(G27="","",IFERROR(G27/C27,""))</f>
        <v/>
      </c>
      <c r="J27" s="25" t="str">
        <f t="shared" si="34"/>
        <v/>
      </c>
      <c r="K27" s="23" t="str">
        <f t="shared" si="7"/>
        <v/>
      </c>
      <c r="L27" s="33" t="str">
        <f t="shared" si="8"/>
        <v>—</v>
      </c>
      <c r="M27" s="22"/>
      <c r="N27" s="22"/>
      <c r="O27" s="22"/>
      <c r="P27" s="22"/>
      <c r="Q27" s="22"/>
      <c r="R27" s="25" t="str">
        <f t="shared" si="9"/>
        <v/>
      </c>
      <c r="S27" s="23" t="str">
        <f t="shared" si="10"/>
        <v/>
      </c>
      <c r="T27" s="34" t="str">
        <f t="shared" si="11"/>
        <v/>
      </c>
      <c r="U27" s="25" t="str">
        <f t="shared" si="12"/>
        <v/>
      </c>
      <c r="V27" s="22"/>
      <c r="W27" s="22"/>
      <c r="X27" s="18"/>
      <c r="Y27" s="26"/>
      <c r="AA27" s="35" t="s">
        <v>116</v>
      </c>
    </row>
    <row r="28" ht="15.75" customHeight="1">
      <c r="A28" s="16">
        <v>46316.0</v>
      </c>
      <c r="B28" s="13" t="str">
        <f t="shared" si="2"/>
        <v>水</v>
      </c>
      <c r="C28" s="18"/>
      <c r="D28" s="15">
        <f t="shared" si="3"/>
        <v>0</v>
      </c>
      <c r="E28" s="18"/>
      <c r="F28" s="18"/>
      <c r="G28" s="15" t="str">
        <f t="shared" si="4"/>
        <v/>
      </c>
      <c r="H28" s="15" t="str">
        <f t="shared" si="5"/>
        <v/>
      </c>
      <c r="I28" s="17" t="str">
        <f t="shared" ref="I28:J28" si="35">IF(G28="","",IFERROR(G28/C28,""))</f>
        <v/>
      </c>
      <c r="J28" s="17" t="str">
        <f t="shared" si="35"/>
        <v/>
      </c>
      <c r="K28" s="15" t="str">
        <f t="shared" si="7"/>
        <v/>
      </c>
      <c r="L28" s="20" t="str">
        <f t="shared" si="8"/>
        <v>—</v>
      </c>
      <c r="M28" s="22"/>
      <c r="N28" s="22"/>
      <c r="O28" s="22"/>
      <c r="P28" s="22"/>
      <c r="Q28" s="22"/>
      <c r="R28" s="17" t="str">
        <f t="shared" si="9"/>
        <v/>
      </c>
      <c r="S28" s="15" t="str">
        <f t="shared" si="10"/>
        <v/>
      </c>
      <c r="T28" s="24" t="str">
        <f t="shared" si="11"/>
        <v/>
      </c>
      <c r="U28" s="17" t="str">
        <f t="shared" si="12"/>
        <v/>
      </c>
      <c r="V28" s="22"/>
      <c r="W28" s="22"/>
      <c r="X28" s="18"/>
      <c r="Y28" s="26"/>
      <c r="AA28" s="35" t="s">
        <v>117</v>
      </c>
    </row>
    <row r="29" ht="15.75" customHeight="1">
      <c r="A29" s="32">
        <v>46317.0</v>
      </c>
      <c r="B29" s="21" t="str">
        <f t="shared" si="2"/>
        <v>木</v>
      </c>
      <c r="C29" s="18"/>
      <c r="D29" s="23">
        <f t="shared" si="3"/>
        <v>0</v>
      </c>
      <c r="E29" s="18"/>
      <c r="F29" s="18"/>
      <c r="G29" s="23" t="str">
        <f t="shared" si="4"/>
        <v/>
      </c>
      <c r="H29" s="23" t="str">
        <f t="shared" si="5"/>
        <v/>
      </c>
      <c r="I29" s="25" t="str">
        <f t="shared" ref="I29:J29" si="36">IF(G29="","",IFERROR(G29/C29,""))</f>
        <v/>
      </c>
      <c r="J29" s="25" t="str">
        <f t="shared" si="36"/>
        <v/>
      </c>
      <c r="K29" s="23" t="str">
        <f t="shared" si="7"/>
        <v/>
      </c>
      <c r="L29" s="33" t="str">
        <f t="shared" si="8"/>
        <v>—</v>
      </c>
      <c r="M29" s="22"/>
      <c r="N29" s="22"/>
      <c r="O29" s="22"/>
      <c r="P29" s="22"/>
      <c r="Q29" s="22"/>
      <c r="R29" s="25" t="str">
        <f t="shared" si="9"/>
        <v/>
      </c>
      <c r="S29" s="23" t="str">
        <f t="shared" si="10"/>
        <v/>
      </c>
      <c r="T29" s="34" t="str">
        <f t="shared" si="11"/>
        <v/>
      </c>
      <c r="U29" s="25" t="str">
        <f t="shared" si="12"/>
        <v/>
      </c>
      <c r="V29" s="22"/>
      <c r="W29" s="22"/>
      <c r="X29" s="18"/>
      <c r="Y29" s="26"/>
    </row>
    <row r="30" ht="15.75" customHeight="1">
      <c r="A30" s="16">
        <v>46318.0</v>
      </c>
      <c r="B30" s="13" t="str">
        <f t="shared" si="2"/>
        <v>金</v>
      </c>
      <c r="C30" s="18"/>
      <c r="D30" s="15">
        <f t="shared" si="3"/>
        <v>0</v>
      </c>
      <c r="E30" s="18"/>
      <c r="F30" s="18"/>
      <c r="G30" s="15" t="str">
        <f t="shared" si="4"/>
        <v/>
      </c>
      <c r="H30" s="15" t="str">
        <f t="shared" si="5"/>
        <v/>
      </c>
      <c r="I30" s="17" t="str">
        <f t="shared" ref="I30:J30" si="37">IF(G30="","",IFERROR(G30/C30,""))</f>
        <v/>
      </c>
      <c r="J30" s="17" t="str">
        <f t="shared" si="37"/>
        <v/>
      </c>
      <c r="K30" s="15" t="str">
        <f t="shared" si="7"/>
        <v/>
      </c>
      <c r="L30" s="20" t="str">
        <f t="shared" si="8"/>
        <v>—</v>
      </c>
      <c r="M30" s="22"/>
      <c r="N30" s="22"/>
      <c r="O30" s="22"/>
      <c r="P30" s="22"/>
      <c r="Q30" s="22"/>
      <c r="R30" s="17" t="str">
        <f t="shared" si="9"/>
        <v/>
      </c>
      <c r="S30" s="15" t="str">
        <f t="shared" si="10"/>
        <v/>
      </c>
      <c r="T30" s="24" t="str">
        <f t="shared" si="11"/>
        <v/>
      </c>
      <c r="U30" s="17" t="str">
        <f t="shared" si="12"/>
        <v/>
      </c>
      <c r="V30" s="22"/>
      <c r="W30" s="22"/>
      <c r="X30" s="18"/>
      <c r="Y30" s="26"/>
    </row>
    <row r="31" ht="15.75" customHeight="1">
      <c r="A31" s="32">
        <v>46319.0</v>
      </c>
      <c r="B31" s="21" t="str">
        <f t="shared" si="2"/>
        <v>土</v>
      </c>
      <c r="C31" s="18"/>
      <c r="D31" s="23">
        <f t="shared" si="3"/>
        <v>0</v>
      </c>
      <c r="E31" s="18"/>
      <c r="F31" s="18"/>
      <c r="G31" s="23" t="str">
        <f t="shared" si="4"/>
        <v/>
      </c>
      <c r="H31" s="23" t="str">
        <f t="shared" si="5"/>
        <v/>
      </c>
      <c r="I31" s="25" t="str">
        <f t="shared" ref="I31:J31" si="38">IF(G31="","",IFERROR(G31/C31,""))</f>
        <v/>
      </c>
      <c r="J31" s="25" t="str">
        <f t="shared" si="38"/>
        <v/>
      </c>
      <c r="K31" s="23" t="str">
        <f t="shared" si="7"/>
        <v/>
      </c>
      <c r="L31" s="33" t="str">
        <f t="shared" si="8"/>
        <v>—</v>
      </c>
      <c r="M31" s="22"/>
      <c r="N31" s="22"/>
      <c r="O31" s="22"/>
      <c r="P31" s="22"/>
      <c r="Q31" s="22"/>
      <c r="R31" s="25" t="str">
        <f t="shared" si="9"/>
        <v/>
      </c>
      <c r="S31" s="23" t="str">
        <f t="shared" si="10"/>
        <v/>
      </c>
      <c r="T31" s="34" t="str">
        <f t="shared" si="11"/>
        <v/>
      </c>
      <c r="U31" s="25" t="str">
        <f t="shared" si="12"/>
        <v/>
      </c>
      <c r="V31" s="22"/>
      <c r="W31" s="22"/>
      <c r="X31" s="18"/>
      <c r="Y31" s="26"/>
    </row>
    <row r="32" ht="15.75" customHeight="1">
      <c r="A32" s="16">
        <v>46320.0</v>
      </c>
      <c r="B32" s="13" t="str">
        <f t="shared" si="2"/>
        <v>日</v>
      </c>
      <c r="C32" s="18"/>
      <c r="D32" s="15">
        <f t="shared" si="3"/>
        <v>0</v>
      </c>
      <c r="E32" s="18"/>
      <c r="F32" s="18"/>
      <c r="G32" s="15" t="str">
        <f t="shared" si="4"/>
        <v/>
      </c>
      <c r="H32" s="15" t="str">
        <f t="shared" si="5"/>
        <v/>
      </c>
      <c r="I32" s="17" t="str">
        <f t="shared" ref="I32:J32" si="39">IF(G32="","",IFERROR(G32/C32,""))</f>
        <v/>
      </c>
      <c r="J32" s="17" t="str">
        <f t="shared" si="39"/>
        <v/>
      </c>
      <c r="K32" s="15" t="str">
        <f t="shared" si="7"/>
        <v/>
      </c>
      <c r="L32" s="20" t="str">
        <f t="shared" si="8"/>
        <v>—</v>
      </c>
      <c r="M32" s="22"/>
      <c r="N32" s="22"/>
      <c r="O32" s="22"/>
      <c r="P32" s="22"/>
      <c r="Q32" s="22"/>
      <c r="R32" s="17" t="str">
        <f t="shared" si="9"/>
        <v/>
      </c>
      <c r="S32" s="15" t="str">
        <f t="shared" si="10"/>
        <v/>
      </c>
      <c r="T32" s="24" t="str">
        <f t="shared" si="11"/>
        <v/>
      </c>
      <c r="U32" s="17" t="str">
        <f t="shared" si="12"/>
        <v/>
      </c>
      <c r="V32" s="22"/>
      <c r="W32" s="22"/>
      <c r="X32" s="18"/>
      <c r="Y32" s="26"/>
    </row>
    <row r="33" ht="15.75" customHeight="1">
      <c r="A33" s="32">
        <v>46321.0</v>
      </c>
      <c r="B33" s="21" t="str">
        <f t="shared" si="2"/>
        <v>月</v>
      </c>
      <c r="C33" s="18"/>
      <c r="D33" s="23">
        <f t="shared" si="3"/>
        <v>0</v>
      </c>
      <c r="E33" s="18"/>
      <c r="F33" s="18"/>
      <c r="G33" s="23" t="str">
        <f t="shared" si="4"/>
        <v/>
      </c>
      <c r="H33" s="23" t="str">
        <f t="shared" si="5"/>
        <v/>
      </c>
      <c r="I33" s="25" t="str">
        <f t="shared" ref="I33:J33" si="40">IF(G33="","",IFERROR(G33/C33,""))</f>
        <v/>
      </c>
      <c r="J33" s="25" t="str">
        <f t="shared" si="40"/>
        <v/>
      </c>
      <c r="K33" s="23" t="str">
        <f t="shared" si="7"/>
        <v/>
      </c>
      <c r="L33" s="33" t="str">
        <f t="shared" si="8"/>
        <v>—</v>
      </c>
      <c r="M33" s="22"/>
      <c r="N33" s="22"/>
      <c r="O33" s="22"/>
      <c r="P33" s="22"/>
      <c r="Q33" s="22"/>
      <c r="R33" s="25" t="str">
        <f t="shared" si="9"/>
        <v/>
      </c>
      <c r="S33" s="23" t="str">
        <f t="shared" si="10"/>
        <v/>
      </c>
      <c r="T33" s="34" t="str">
        <f t="shared" si="11"/>
        <v/>
      </c>
      <c r="U33" s="25" t="str">
        <f t="shared" si="12"/>
        <v/>
      </c>
      <c r="V33" s="22"/>
      <c r="W33" s="22"/>
      <c r="X33" s="18"/>
      <c r="Y33" s="26"/>
    </row>
    <row r="34" ht="15.75" customHeight="1">
      <c r="A34" s="16">
        <v>46322.0</v>
      </c>
      <c r="B34" s="13" t="str">
        <f t="shared" si="2"/>
        <v>火</v>
      </c>
      <c r="C34" s="18"/>
      <c r="D34" s="15">
        <f t="shared" si="3"/>
        <v>0</v>
      </c>
      <c r="E34" s="18"/>
      <c r="F34" s="18"/>
      <c r="G34" s="15" t="str">
        <f t="shared" si="4"/>
        <v/>
      </c>
      <c r="H34" s="15" t="str">
        <f t="shared" si="5"/>
        <v/>
      </c>
      <c r="I34" s="17" t="str">
        <f t="shared" ref="I34:J34" si="41">IF(G34="","",IFERROR(G34/C34,""))</f>
        <v/>
      </c>
      <c r="J34" s="17" t="str">
        <f t="shared" si="41"/>
        <v/>
      </c>
      <c r="K34" s="15" t="str">
        <f t="shared" si="7"/>
        <v/>
      </c>
      <c r="L34" s="20" t="str">
        <f t="shared" si="8"/>
        <v>—</v>
      </c>
      <c r="M34" s="22"/>
      <c r="N34" s="22"/>
      <c r="O34" s="22"/>
      <c r="P34" s="22"/>
      <c r="Q34" s="22"/>
      <c r="R34" s="17" t="str">
        <f t="shared" si="9"/>
        <v/>
      </c>
      <c r="S34" s="15" t="str">
        <f t="shared" si="10"/>
        <v/>
      </c>
      <c r="T34" s="24" t="str">
        <f t="shared" si="11"/>
        <v/>
      </c>
      <c r="U34" s="17" t="str">
        <f t="shared" si="12"/>
        <v/>
      </c>
      <c r="V34" s="22"/>
      <c r="W34" s="22"/>
      <c r="X34" s="18"/>
      <c r="Y34" s="26"/>
    </row>
    <row r="35" ht="15.75" customHeight="1">
      <c r="A35" s="32">
        <v>46323.0</v>
      </c>
      <c r="B35" s="21" t="str">
        <f t="shared" si="2"/>
        <v>水</v>
      </c>
      <c r="C35" s="18"/>
      <c r="D35" s="23">
        <f t="shared" si="3"/>
        <v>0</v>
      </c>
      <c r="E35" s="18"/>
      <c r="F35" s="18"/>
      <c r="G35" s="23" t="str">
        <f t="shared" si="4"/>
        <v/>
      </c>
      <c r="H35" s="23" t="str">
        <f t="shared" si="5"/>
        <v/>
      </c>
      <c r="I35" s="25" t="str">
        <f t="shared" ref="I35:J35" si="42">IF(G35="","",IFERROR(G35/C35,""))</f>
        <v/>
      </c>
      <c r="J35" s="25" t="str">
        <f t="shared" si="42"/>
        <v/>
      </c>
      <c r="K35" s="23" t="str">
        <f t="shared" si="7"/>
        <v/>
      </c>
      <c r="L35" s="33" t="str">
        <f t="shared" si="8"/>
        <v>—</v>
      </c>
      <c r="M35" s="22"/>
      <c r="N35" s="22"/>
      <c r="O35" s="22"/>
      <c r="P35" s="22"/>
      <c r="Q35" s="22"/>
      <c r="R35" s="25" t="str">
        <f t="shared" si="9"/>
        <v/>
      </c>
      <c r="S35" s="23" t="str">
        <f t="shared" si="10"/>
        <v/>
      </c>
      <c r="T35" s="34" t="str">
        <f t="shared" si="11"/>
        <v/>
      </c>
      <c r="U35" s="25" t="str">
        <f t="shared" si="12"/>
        <v/>
      </c>
      <c r="V35" s="22"/>
      <c r="W35" s="22"/>
      <c r="X35" s="18"/>
      <c r="Y35" s="26"/>
    </row>
    <row r="36" ht="15.75" customHeight="1">
      <c r="A36" s="16">
        <v>46324.0</v>
      </c>
      <c r="B36" s="13" t="str">
        <f t="shared" si="2"/>
        <v>木</v>
      </c>
      <c r="C36" s="18"/>
      <c r="D36" s="15">
        <f t="shared" si="3"/>
        <v>0</v>
      </c>
      <c r="E36" s="18"/>
      <c r="F36" s="18"/>
      <c r="G36" s="15" t="str">
        <f t="shared" si="4"/>
        <v/>
      </c>
      <c r="H36" s="15" t="str">
        <f t="shared" si="5"/>
        <v/>
      </c>
      <c r="I36" s="17" t="str">
        <f t="shared" ref="I36:J36" si="43">IF(G36="","",IFERROR(G36/C36,""))</f>
        <v/>
      </c>
      <c r="J36" s="17" t="str">
        <f t="shared" si="43"/>
        <v/>
      </c>
      <c r="K36" s="15" t="str">
        <f t="shared" si="7"/>
        <v/>
      </c>
      <c r="L36" s="20" t="str">
        <f t="shared" si="8"/>
        <v>—</v>
      </c>
      <c r="M36" s="22"/>
      <c r="N36" s="22"/>
      <c r="O36" s="22"/>
      <c r="P36" s="22"/>
      <c r="Q36" s="22"/>
      <c r="R36" s="17" t="str">
        <f t="shared" si="9"/>
        <v/>
      </c>
      <c r="S36" s="15" t="str">
        <f t="shared" si="10"/>
        <v/>
      </c>
      <c r="T36" s="24" t="str">
        <f t="shared" si="11"/>
        <v/>
      </c>
      <c r="U36" s="17" t="str">
        <f t="shared" si="12"/>
        <v/>
      </c>
      <c r="V36" s="22"/>
      <c r="W36" s="22"/>
      <c r="X36" s="18"/>
      <c r="Y36" s="26"/>
    </row>
    <row r="37" ht="15.75" customHeight="1">
      <c r="A37" s="32">
        <v>46325.0</v>
      </c>
      <c r="B37" s="21" t="str">
        <f t="shared" si="2"/>
        <v>金</v>
      </c>
      <c r="C37" s="18"/>
      <c r="D37" s="23">
        <f t="shared" si="3"/>
        <v>0</v>
      </c>
      <c r="E37" s="18"/>
      <c r="F37" s="18"/>
      <c r="G37" s="23" t="str">
        <f t="shared" si="4"/>
        <v/>
      </c>
      <c r="H37" s="23" t="str">
        <f t="shared" si="5"/>
        <v/>
      </c>
      <c r="I37" s="25" t="str">
        <f t="shared" ref="I37:J37" si="44">IF(G37="","",IFERROR(G37/C37,""))</f>
        <v/>
      </c>
      <c r="J37" s="25" t="str">
        <f t="shared" si="44"/>
        <v/>
      </c>
      <c r="K37" s="23" t="str">
        <f t="shared" si="7"/>
        <v/>
      </c>
      <c r="L37" s="33" t="str">
        <f t="shared" si="8"/>
        <v>—</v>
      </c>
      <c r="M37" s="22"/>
      <c r="N37" s="22"/>
      <c r="O37" s="22"/>
      <c r="P37" s="22"/>
      <c r="Q37" s="22"/>
      <c r="R37" s="25" t="str">
        <f t="shared" si="9"/>
        <v/>
      </c>
      <c r="S37" s="23" t="str">
        <f t="shared" si="10"/>
        <v/>
      </c>
      <c r="T37" s="34" t="str">
        <f t="shared" si="11"/>
        <v/>
      </c>
      <c r="U37" s="25" t="str">
        <f t="shared" si="12"/>
        <v/>
      </c>
      <c r="V37" s="22"/>
      <c r="W37" s="22"/>
      <c r="X37" s="18"/>
      <c r="Y37" s="26"/>
    </row>
    <row r="38" ht="15.75" customHeight="1">
      <c r="A38" s="16">
        <v>46326.0</v>
      </c>
      <c r="B38" s="13" t="str">
        <f t="shared" si="2"/>
        <v>土</v>
      </c>
      <c r="C38" s="18"/>
      <c r="D38" s="15">
        <f t="shared" si="3"/>
        <v>0</v>
      </c>
      <c r="E38" s="18"/>
      <c r="F38" s="18"/>
      <c r="G38" s="15" t="str">
        <f t="shared" si="4"/>
        <v/>
      </c>
      <c r="H38" s="15" t="str">
        <f t="shared" si="5"/>
        <v/>
      </c>
      <c r="I38" s="17" t="str">
        <f t="shared" ref="I38:J38" si="45">IF(G38="","",IFERROR(G38/C38,""))</f>
        <v/>
      </c>
      <c r="J38" s="17" t="str">
        <f t="shared" si="45"/>
        <v/>
      </c>
      <c r="K38" s="15" t="str">
        <f t="shared" si="7"/>
        <v/>
      </c>
      <c r="L38" s="20" t="str">
        <f t="shared" si="8"/>
        <v>—</v>
      </c>
      <c r="M38" s="22"/>
      <c r="N38" s="22"/>
      <c r="O38" s="22"/>
      <c r="P38" s="22"/>
      <c r="Q38" s="22"/>
      <c r="R38" s="17" t="str">
        <f t="shared" si="9"/>
        <v/>
      </c>
      <c r="S38" s="15" t="str">
        <f t="shared" si="10"/>
        <v/>
      </c>
      <c r="T38" s="24" t="str">
        <f t="shared" si="11"/>
        <v/>
      </c>
      <c r="U38" s="17" t="str">
        <f t="shared" si="12"/>
        <v/>
      </c>
      <c r="V38" s="22"/>
      <c r="W38" s="22"/>
      <c r="X38" s="18"/>
      <c r="Y38" s="26"/>
    </row>
    <row r="39" ht="15.75" customHeight="1">
      <c r="A39" s="45" t="s">
        <v>92</v>
      </c>
      <c r="B39" s="36"/>
      <c r="C39" s="37">
        <f>SUM(C8:C38)</f>
        <v>0</v>
      </c>
      <c r="D39" s="37">
        <f>C39</f>
        <v>0</v>
      </c>
      <c r="E39" s="37">
        <f t="shared" ref="E39:G39" si="46">SUM(E8:E38)</f>
        <v>195312</v>
      </c>
      <c r="F39" s="37">
        <f t="shared" si="46"/>
        <v>1611632</v>
      </c>
      <c r="G39" s="37">
        <f t="shared" si="46"/>
        <v>1806944</v>
      </c>
      <c r="H39" s="37">
        <f>G39</f>
        <v>1806944</v>
      </c>
      <c r="I39" s="39" t="str">
        <f>IFERROR(G39/C39,"")</f>
        <v/>
      </c>
      <c r="J39" s="39" t="str">
        <f>IFERROR(G39/C39,"")</f>
        <v/>
      </c>
      <c r="K39" s="37">
        <f>G39-C39</f>
        <v>1806944</v>
      </c>
      <c r="L39" s="46"/>
      <c r="M39" s="41">
        <f t="shared" ref="M39:Q39" si="47">SUM(M8:M38)</f>
        <v>78</v>
      </c>
      <c r="N39" s="41">
        <f t="shared" si="47"/>
        <v>81</v>
      </c>
      <c r="O39" s="41">
        <f t="shared" si="47"/>
        <v>236</v>
      </c>
      <c r="P39" s="41">
        <f t="shared" si="47"/>
        <v>137</v>
      </c>
      <c r="Q39" s="41">
        <f t="shared" si="47"/>
        <v>196</v>
      </c>
      <c r="R39" s="39">
        <f t="shared" si="9"/>
        <v>0.3305084746</v>
      </c>
      <c r="S39" s="37">
        <f t="shared" si="10"/>
        <v>23165.94872</v>
      </c>
      <c r="T39" s="47">
        <f t="shared" si="11"/>
        <v>1.038461538</v>
      </c>
      <c r="U39" s="39">
        <f t="shared" si="12"/>
        <v>0.5805084746</v>
      </c>
      <c r="V39" s="41">
        <f>SUM(V8:V38)</f>
        <v>0</v>
      </c>
      <c r="W39" s="41">
        <f>IFERROR(LOOKUP(9.99E+307,W8:W38),"")</f>
        <v>43075</v>
      </c>
      <c r="X39" s="37">
        <f>SUM(X8:X38)</f>
        <v>0</v>
      </c>
      <c r="Y39" s="48" t="s">
        <v>93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119</v>
      </c>
      <c r="H3" s="6"/>
      <c r="I3" s="5" t="s">
        <v>7</v>
      </c>
      <c r="J3" s="6"/>
      <c r="K3" s="5" t="s">
        <v>8</v>
      </c>
      <c r="L3" s="6"/>
    </row>
    <row r="4">
      <c r="A4" s="7">
        <f>IF('設定'!$B$15="",SUM(C8:C37),'設定'!$B$15)</f>
        <v>8000000</v>
      </c>
      <c r="B4" s="6"/>
      <c r="C4" s="8">
        <f>SUM(G8:G37)</f>
        <v>0</v>
      </c>
      <c r="D4" s="6"/>
      <c r="E4" s="9">
        <f>IFERROR(C4/A4,0)</f>
        <v>0</v>
      </c>
      <c r="F4" s="6"/>
      <c r="G4" s="10">
        <f>COUNTIF(G8:G37,"&gt;0")</f>
        <v>0</v>
      </c>
      <c r="H4" s="6"/>
      <c r="I4" s="8">
        <f>A4-C4</f>
        <v>8000000</v>
      </c>
      <c r="J4" s="6"/>
      <c r="K4" s="8">
        <f>IF((30-G4)&gt;0,(A4-C4)/(30-G4),0)</f>
        <v>266666.6667</v>
      </c>
      <c r="L4" s="6"/>
    </row>
    <row r="5">
      <c r="A5" s="5" t="s">
        <v>16</v>
      </c>
      <c r="B5" s="6"/>
      <c r="C5" s="5" t="s">
        <v>17</v>
      </c>
      <c r="D5" s="6"/>
      <c r="E5" s="5" t="s">
        <v>18</v>
      </c>
      <c r="F5" s="6"/>
      <c r="G5" s="5" t="s">
        <v>19</v>
      </c>
      <c r="H5" s="6"/>
      <c r="I5" s="5" t="s">
        <v>20</v>
      </c>
      <c r="J5" s="6"/>
      <c r="K5" s="5" t="s">
        <v>21</v>
      </c>
      <c r="L5" s="6"/>
    </row>
    <row r="6">
      <c r="A6" s="8">
        <f>SUM(C8:C37)</f>
        <v>0</v>
      </c>
      <c r="B6" s="6"/>
      <c r="C6" s="8">
        <f>IFERROR(C4/G4*30,0)</f>
        <v>0</v>
      </c>
      <c r="D6" s="6"/>
      <c r="E6" s="9">
        <f>IFERROR(M38/O38,0)</f>
        <v>0</v>
      </c>
      <c r="F6" s="6"/>
      <c r="G6" s="8">
        <f>IFERROR(G38/M38,0)</f>
        <v>0</v>
      </c>
      <c r="H6" s="6"/>
      <c r="I6" s="12">
        <f>IFERROR(N38/M38,0)</f>
        <v>0</v>
      </c>
      <c r="J6" s="6"/>
      <c r="K6" s="9">
        <f>IFERROR(P38/O38,0)</f>
        <v>0</v>
      </c>
      <c r="L6" s="6"/>
    </row>
    <row r="7" ht="30.0" customHeight="1">
      <c r="A7" s="11" t="s">
        <v>32</v>
      </c>
      <c r="B7" s="11" t="s">
        <v>33</v>
      </c>
      <c r="C7" s="11" t="s">
        <v>34</v>
      </c>
      <c r="D7" s="11" t="s">
        <v>28</v>
      </c>
      <c r="E7" s="11" t="s">
        <v>35</v>
      </c>
      <c r="F7" s="11" t="s">
        <v>36</v>
      </c>
      <c r="G7" s="11" t="s">
        <v>37</v>
      </c>
      <c r="H7" s="11" t="s">
        <v>29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26</v>
      </c>
      <c r="N7" s="11" t="s">
        <v>42</v>
      </c>
      <c r="O7" s="11" t="s">
        <v>27</v>
      </c>
      <c r="P7" s="11" t="s">
        <v>43</v>
      </c>
      <c r="Q7" s="11" t="s">
        <v>44</v>
      </c>
      <c r="R7" s="11" t="s">
        <v>18</v>
      </c>
      <c r="S7" s="11" t="s">
        <v>19</v>
      </c>
      <c r="T7" s="11" t="s">
        <v>20</v>
      </c>
      <c r="U7" s="11" t="s">
        <v>21</v>
      </c>
      <c r="V7" s="11" t="s">
        <v>45</v>
      </c>
      <c r="W7" s="11" t="s">
        <v>46</v>
      </c>
      <c r="X7" s="11" t="s">
        <v>47</v>
      </c>
      <c r="Y7" s="11" t="s">
        <v>48</v>
      </c>
      <c r="AA7" s="14" t="s">
        <v>49</v>
      </c>
      <c r="AB7" s="14" t="s">
        <v>50</v>
      </c>
      <c r="AC7" s="14" t="s">
        <v>51</v>
      </c>
      <c r="AD7" s="14" t="s">
        <v>18</v>
      </c>
      <c r="AE7" s="14" t="s">
        <v>19</v>
      </c>
    </row>
    <row r="8">
      <c r="A8" s="16">
        <v>46327.0</v>
      </c>
      <c r="B8" s="13" t="str">
        <f t="shared" ref="B8:B37" si="2">MID("日月火水木金土",WEEKDAY(A8),1)</f>
        <v>日</v>
      </c>
      <c r="C8" s="18"/>
      <c r="D8" s="15">
        <f t="shared" ref="D8:D37" si="3">SUM($C$8:C8)</f>
        <v>0</v>
      </c>
      <c r="E8" s="18"/>
      <c r="F8" s="18"/>
      <c r="G8" s="15" t="str">
        <f t="shared" ref="G8:G37" si="4">IF(COUNT(E8:F8)=0,"",SUM(E8:F8))</f>
        <v/>
      </c>
      <c r="H8" s="15" t="str">
        <f t="shared" ref="H8:H37" si="5">IF(G8="","",SUM($G$8:G8))</f>
        <v/>
      </c>
      <c r="I8" s="17" t="str">
        <f t="shared" ref="I8:J8" si="1">IF(G8="","",IFERROR(G8/C8,""))</f>
        <v/>
      </c>
      <c r="J8" s="17" t="str">
        <f t="shared" si="1"/>
        <v/>
      </c>
      <c r="K8" s="15" t="str">
        <f t="shared" ref="K8:K37" si="7">IF(H8="","",IF(D8=0,"",H8-D8))</f>
        <v/>
      </c>
      <c r="L8" s="20" t="str">
        <f t="shared" ref="L8:L37" si="8">IF(G8="","—",IF(D8=0,"予算未入力",IF(H8&gt;=D8,"◎ ペース内","▲ 遅れ")))</f>
        <v>—</v>
      </c>
      <c r="M8" s="22"/>
      <c r="N8" s="22"/>
      <c r="O8" s="22"/>
      <c r="P8" s="22"/>
      <c r="Q8" s="22"/>
      <c r="R8" s="17" t="str">
        <f t="shared" ref="R8:R38" si="9">IFERROR(M8/O8,"")</f>
        <v/>
      </c>
      <c r="S8" s="15" t="str">
        <f t="shared" ref="S8:S38" si="10">IFERROR(G8/M8,"")</f>
        <v/>
      </c>
      <c r="T8" s="24" t="str">
        <f t="shared" ref="T8:T38" si="11">IFERROR(N8/M8,"")</f>
        <v/>
      </c>
      <c r="U8" s="17" t="str">
        <f t="shared" ref="U8:U38" si="12">IFERROR(P8/O8,"")</f>
        <v/>
      </c>
      <c r="V8" s="22"/>
      <c r="W8" s="22"/>
      <c r="X8" s="18"/>
      <c r="Y8" s="26"/>
      <c r="AA8" s="27" t="s">
        <v>22</v>
      </c>
      <c r="AB8" s="29">
        <f t="shared" ref="AB8:AB14" si="13">IFERROR(AVERAGEIFS($G$8:$G$37,$B$8:$B$37,AA8,$G$8:$G$37,"&gt;0"),0)</f>
        <v>0</v>
      </c>
      <c r="AC8" s="30">
        <f t="shared" ref="AC8:AC14" si="14">COUNTIFS($B$8:$B$37,AA8,$G$8:$G$37,"&gt;0")</f>
        <v>0</v>
      </c>
      <c r="AD8" s="31">
        <f t="shared" ref="AD8:AD14" si="15">IFERROR(SUMIF($B$8:$B$37,AA8,$M$8:$M$37)/SUMIF($B$8:$B$37,AA8,$O$8:$O$37),0)</f>
        <v>0</v>
      </c>
      <c r="AE8" s="29">
        <f t="shared" ref="AE8:AE14" si="16">IFERROR(SUMIF($B$8:$B$37,AA8,$G$8:$G$37)/SUMIF($B$8:$B$37,AA8,$M$8:$M$37),0)</f>
        <v>0</v>
      </c>
    </row>
    <row r="9">
      <c r="A9" s="32">
        <v>46328.0</v>
      </c>
      <c r="B9" s="21" t="str">
        <f t="shared" si="2"/>
        <v>月</v>
      </c>
      <c r="C9" s="18"/>
      <c r="D9" s="23">
        <f t="shared" si="3"/>
        <v>0</v>
      </c>
      <c r="E9" s="18"/>
      <c r="F9" s="18"/>
      <c r="G9" s="23" t="str">
        <f t="shared" si="4"/>
        <v/>
      </c>
      <c r="H9" s="23" t="str">
        <f t="shared" si="5"/>
        <v/>
      </c>
      <c r="I9" s="25" t="str">
        <f t="shared" ref="I9:J9" si="6">IF(G9="","",IFERROR(G9/C9,""))</f>
        <v/>
      </c>
      <c r="J9" s="25" t="str">
        <f t="shared" si="6"/>
        <v/>
      </c>
      <c r="K9" s="23" t="str">
        <f t="shared" si="7"/>
        <v/>
      </c>
      <c r="L9" s="33" t="str">
        <f t="shared" si="8"/>
        <v>—</v>
      </c>
      <c r="M9" s="22"/>
      <c r="N9" s="22"/>
      <c r="O9" s="22"/>
      <c r="P9" s="22"/>
      <c r="Q9" s="22"/>
      <c r="R9" s="25" t="str">
        <f t="shared" si="9"/>
        <v/>
      </c>
      <c r="S9" s="23" t="str">
        <f t="shared" si="10"/>
        <v/>
      </c>
      <c r="T9" s="34" t="str">
        <f t="shared" si="11"/>
        <v/>
      </c>
      <c r="U9" s="25" t="str">
        <f t="shared" si="12"/>
        <v/>
      </c>
      <c r="V9" s="22"/>
      <c r="W9" s="22"/>
      <c r="X9" s="18"/>
      <c r="Y9" s="26"/>
      <c r="AA9" s="27" t="s">
        <v>59</v>
      </c>
      <c r="AB9" s="29">
        <f t="shared" si="13"/>
        <v>0</v>
      </c>
      <c r="AC9" s="30">
        <f t="shared" si="14"/>
        <v>0</v>
      </c>
      <c r="AD9" s="31">
        <f t="shared" si="15"/>
        <v>0</v>
      </c>
      <c r="AE9" s="29">
        <f t="shared" si="16"/>
        <v>0</v>
      </c>
    </row>
    <row r="10">
      <c r="A10" s="16">
        <v>46329.0</v>
      </c>
      <c r="B10" s="13" t="str">
        <f t="shared" si="2"/>
        <v>火</v>
      </c>
      <c r="C10" s="18"/>
      <c r="D10" s="15">
        <f t="shared" si="3"/>
        <v>0</v>
      </c>
      <c r="E10" s="18"/>
      <c r="F10" s="18"/>
      <c r="G10" s="15" t="str">
        <f t="shared" si="4"/>
        <v/>
      </c>
      <c r="H10" s="15" t="str">
        <f t="shared" si="5"/>
        <v/>
      </c>
      <c r="I10" s="17" t="str">
        <f t="shared" ref="I10:J10" si="17">IF(G10="","",IFERROR(G10/C10,""))</f>
        <v/>
      </c>
      <c r="J10" s="17" t="str">
        <f t="shared" si="17"/>
        <v/>
      </c>
      <c r="K10" s="15" t="str">
        <f t="shared" si="7"/>
        <v/>
      </c>
      <c r="L10" s="20" t="str">
        <f t="shared" si="8"/>
        <v>—</v>
      </c>
      <c r="M10" s="22"/>
      <c r="N10" s="22"/>
      <c r="O10" s="22"/>
      <c r="P10" s="22"/>
      <c r="Q10" s="22"/>
      <c r="R10" s="17" t="str">
        <f t="shared" si="9"/>
        <v/>
      </c>
      <c r="S10" s="15" t="str">
        <f t="shared" si="10"/>
        <v/>
      </c>
      <c r="T10" s="24" t="str">
        <f t="shared" si="11"/>
        <v/>
      </c>
      <c r="U10" s="17" t="str">
        <f t="shared" si="12"/>
        <v/>
      </c>
      <c r="V10" s="22"/>
      <c r="W10" s="22"/>
      <c r="X10" s="18"/>
      <c r="Y10" s="26"/>
      <c r="AA10" s="27" t="s">
        <v>61</v>
      </c>
      <c r="AB10" s="29">
        <f t="shared" si="13"/>
        <v>0</v>
      </c>
      <c r="AC10" s="30">
        <f t="shared" si="14"/>
        <v>0</v>
      </c>
      <c r="AD10" s="31">
        <f t="shared" si="15"/>
        <v>0</v>
      </c>
      <c r="AE10" s="29">
        <f t="shared" si="16"/>
        <v>0</v>
      </c>
    </row>
    <row r="11">
      <c r="A11" s="32">
        <v>46330.0</v>
      </c>
      <c r="B11" s="21" t="str">
        <f t="shared" si="2"/>
        <v>水</v>
      </c>
      <c r="C11" s="18"/>
      <c r="D11" s="23">
        <f t="shared" si="3"/>
        <v>0</v>
      </c>
      <c r="E11" s="18"/>
      <c r="F11" s="18"/>
      <c r="G11" s="23" t="str">
        <f t="shared" si="4"/>
        <v/>
      </c>
      <c r="H11" s="23" t="str">
        <f t="shared" si="5"/>
        <v/>
      </c>
      <c r="I11" s="25" t="str">
        <f t="shared" ref="I11:J11" si="18">IF(G11="","",IFERROR(G11/C11,""))</f>
        <v/>
      </c>
      <c r="J11" s="25" t="str">
        <f t="shared" si="18"/>
        <v/>
      </c>
      <c r="K11" s="23" t="str">
        <f t="shared" si="7"/>
        <v/>
      </c>
      <c r="L11" s="33" t="str">
        <f t="shared" si="8"/>
        <v>—</v>
      </c>
      <c r="M11" s="22"/>
      <c r="N11" s="22"/>
      <c r="O11" s="22"/>
      <c r="P11" s="22"/>
      <c r="Q11" s="22"/>
      <c r="R11" s="25" t="str">
        <f t="shared" si="9"/>
        <v/>
      </c>
      <c r="S11" s="23" t="str">
        <f t="shared" si="10"/>
        <v/>
      </c>
      <c r="T11" s="34" t="str">
        <f t="shared" si="11"/>
        <v/>
      </c>
      <c r="U11" s="25" t="str">
        <f t="shared" si="12"/>
        <v/>
      </c>
      <c r="V11" s="22"/>
      <c r="W11" s="22"/>
      <c r="X11" s="18"/>
      <c r="Y11" s="26"/>
      <c r="AA11" s="27" t="s">
        <v>63</v>
      </c>
      <c r="AB11" s="29">
        <f t="shared" si="13"/>
        <v>0</v>
      </c>
      <c r="AC11" s="30">
        <f t="shared" si="14"/>
        <v>0</v>
      </c>
      <c r="AD11" s="31">
        <f t="shared" si="15"/>
        <v>0</v>
      </c>
      <c r="AE11" s="29">
        <f t="shared" si="16"/>
        <v>0</v>
      </c>
    </row>
    <row r="12">
      <c r="A12" s="16">
        <v>46331.0</v>
      </c>
      <c r="B12" s="13" t="str">
        <f t="shared" si="2"/>
        <v>木</v>
      </c>
      <c r="C12" s="18"/>
      <c r="D12" s="15">
        <f t="shared" si="3"/>
        <v>0</v>
      </c>
      <c r="E12" s="18"/>
      <c r="F12" s="18"/>
      <c r="G12" s="15" t="str">
        <f t="shared" si="4"/>
        <v/>
      </c>
      <c r="H12" s="15" t="str">
        <f t="shared" si="5"/>
        <v/>
      </c>
      <c r="I12" s="17" t="str">
        <f t="shared" ref="I12:J12" si="19">IF(G12="","",IFERROR(G12/C12,""))</f>
        <v/>
      </c>
      <c r="J12" s="17" t="str">
        <f t="shared" si="19"/>
        <v/>
      </c>
      <c r="K12" s="15" t="str">
        <f t="shared" si="7"/>
        <v/>
      </c>
      <c r="L12" s="20" t="str">
        <f t="shared" si="8"/>
        <v>—</v>
      </c>
      <c r="M12" s="22"/>
      <c r="N12" s="22"/>
      <c r="O12" s="22"/>
      <c r="P12" s="22"/>
      <c r="Q12" s="22"/>
      <c r="R12" s="17" t="str">
        <f t="shared" si="9"/>
        <v/>
      </c>
      <c r="S12" s="15" t="str">
        <f t="shared" si="10"/>
        <v/>
      </c>
      <c r="T12" s="24" t="str">
        <f t="shared" si="11"/>
        <v/>
      </c>
      <c r="U12" s="17" t="str">
        <f t="shared" si="12"/>
        <v/>
      </c>
      <c r="V12" s="22"/>
      <c r="W12" s="22"/>
      <c r="X12" s="18"/>
      <c r="Y12" s="26"/>
      <c r="AA12" s="27" t="s">
        <v>65</v>
      </c>
      <c r="AB12" s="29">
        <f t="shared" si="13"/>
        <v>0</v>
      </c>
      <c r="AC12" s="30">
        <f t="shared" si="14"/>
        <v>0</v>
      </c>
      <c r="AD12" s="31">
        <f t="shared" si="15"/>
        <v>0</v>
      </c>
      <c r="AE12" s="29">
        <f t="shared" si="16"/>
        <v>0</v>
      </c>
    </row>
    <row r="13">
      <c r="A13" s="32">
        <v>46332.0</v>
      </c>
      <c r="B13" s="21" t="str">
        <f t="shared" si="2"/>
        <v>金</v>
      </c>
      <c r="C13" s="18"/>
      <c r="D13" s="23">
        <f t="shared" si="3"/>
        <v>0</v>
      </c>
      <c r="E13" s="18"/>
      <c r="F13" s="18"/>
      <c r="G13" s="23" t="str">
        <f t="shared" si="4"/>
        <v/>
      </c>
      <c r="H13" s="23" t="str">
        <f t="shared" si="5"/>
        <v/>
      </c>
      <c r="I13" s="25" t="str">
        <f t="shared" ref="I13:J13" si="20">IF(G13="","",IFERROR(G13/C13,""))</f>
        <v/>
      </c>
      <c r="J13" s="25" t="str">
        <f t="shared" si="20"/>
        <v/>
      </c>
      <c r="K13" s="23" t="str">
        <f t="shared" si="7"/>
        <v/>
      </c>
      <c r="L13" s="33" t="str">
        <f t="shared" si="8"/>
        <v>—</v>
      </c>
      <c r="M13" s="22"/>
      <c r="N13" s="22"/>
      <c r="O13" s="22"/>
      <c r="P13" s="22"/>
      <c r="Q13" s="22"/>
      <c r="R13" s="25" t="str">
        <f t="shared" si="9"/>
        <v/>
      </c>
      <c r="S13" s="23" t="str">
        <f t="shared" si="10"/>
        <v/>
      </c>
      <c r="T13" s="34" t="str">
        <f t="shared" si="11"/>
        <v/>
      </c>
      <c r="U13" s="25" t="str">
        <f t="shared" si="12"/>
        <v/>
      </c>
      <c r="V13" s="22"/>
      <c r="W13" s="22"/>
      <c r="X13" s="18"/>
      <c r="Y13" s="26"/>
      <c r="AA13" s="27" t="s">
        <v>67</v>
      </c>
      <c r="AB13" s="29">
        <f t="shared" si="13"/>
        <v>0</v>
      </c>
      <c r="AC13" s="30">
        <f t="shared" si="14"/>
        <v>0</v>
      </c>
      <c r="AD13" s="31">
        <f t="shared" si="15"/>
        <v>0</v>
      </c>
      <c r="AE13" s="29">
        <f t="shared" si="16"/>
        <v>0</v>
      </c>
    </row>
    <row r="14">
      <c r="A14" s="16">
        <v>46333.0</v>
      </c>
      <c r="B14" s="13" t="str">
        <f t="shared" si="2"/>
        <v>土</v>
      </c>
      <c r="C14" s="18"/>
      <c r="D14" s="15">
        <f t="shared" si="3"/>
        <v>0</v>
      </c>
      <c r="E14" s="18"/>
      <c r="F14" s="18"/>
      <c r="G14" s="15" t="str">
        <f t="shared" si="4"/>
        <v/>
      </c>
      <c r="H14" s="15" t="str">
        <f t="shared" si="5"/>
        <v/>
      </c>
      <c r="I14" s="17" t="str">
        <f t="shared" ref="I14:J14" si="21">IF(G14="","",IFERROR(G14/C14,""))</f>
        <v/>
      </c>
      <c r="J14" s="17" t="str">
        <f t="shared" si="21"/>
        <v/>
      </c>
      <c r="K14" s="15" t="str">
        <f t="shared" si="7"/>
        <v/>
      </c>
      <c r="L14" s="20" t="str">
        <f t="shared" si="8"/>
        <v>—</v>
      </c>
      <c r="M14" s="22"/>
      <c r="N14" s="22"/>
      <c r="O14" s="22"/>
      <c r="P14" s="22"/>
      <c r="Q14" s="22"/>
      <c r="R14" s="17" t="str">
        <f t="shared" si="9"/>
        <v/>
      </c>
      <c r="S14" s="15" t="str">
        <f t="shared" si="10"/>
        <v/>
      </c>
      <c r="T14" s="24" t="str">
        <f t="shared" si="11"/>
        <v/>
      </c>
      <c r="U14" s="17" t="str">
        <f t="shared" si="12"/>
        <v/>
      </c>
      <c r="V14" s="22"/>
      <c r="W14" s="22"/>
      <c r="X14" s="18"/>
      <c r="Y14" s="26"/>
      <c r="AA14" s="27" t="s">
        <v>69</v>
      </c>
      <c r="AB14" s="29">
        <f t="shared" si="13"/>
        <v>0</v>
      </c>
      <c r="AC14" s="30">
        <f t="shared" si="14"/>
        <v>0</v>
      </c>
      <c r="AD14" s="31">
        <f t="shared" si="15"/>
        <v>0</v>
      </c>
      <c r="AE14" s="29">
        <f t="shared" si="16"/>
        <v>0</v>
      </c>
    </row>
    <row r="15">
      <c r="A15" s="32">
        <v>46334.0</v>
      </c>
      <c r="B15" s="21" t="str">
        <f t="shared" si="2"/>
        <v>日</v>
      </c>
      <c r="C15" s="18"/>
      <c r="D15" s="23">
        <f t="shared" si="3"/>
        <v>0</v>
      </c>
      <c r="E15" s="18"/>
      <c r="F15" s="18"/>
      <c r="G15" s="23" t="str">
        <f t="shared" si="4"/>
        <v/>
      </c>
      <c r="H15" s="23" t="str">
        <f t="shared" si="5"/>
        <v/>
      </c>
      <c r="I15" s="25" t="str">
        <f t="shared" ref="I15:J15" si="22">IF(G15="","",IFERROR(G15/C15,""))</f>
        <v/>
      </c>
      <c r="J15" s="25" t="str">
        <f t="shared" si="22"/>
        <v/>
      </c>
      <c r="K15" s="23" t="str">
        <f t="shared" si="7"/>
        <v/>
      </c>
      <c r="L15" s="33" t="str">
        <f t="shared" si="8"/>
        <v>—</v>
      </c>
      <c r="M15" s="22"/>
      <c r="N15" s="22"/>
      <c r="O15" s="22"/>
      <c r="P15" s="22"/>
      <c r="Q15" s="22"/>
      <c r="R15" s="25" t="str">
        <f t="shared" si="9"/>
        <v/>
      </c>
      <c r="S15" s="23" t="str">
        <f t="shared" si="10"/>
        <v/>
      </c>
      <c r="T15" s="34" t="str">
        <f t="shared" si="11"/>
        <v/>
      </c>
      <c r="U15" s="25" t="str">
        <f t="shared" si="12"/>
        <v/>
      </c>
      <c r="V15" s="22"/>
      <c r="W15" s="22"/>
      <c r="X15" s="18"/>
      <c r="Y15" s="26"/>
    </row>
    <row r="16">
      <c r="A16" s="16">
        <v>46335.0</v>
      </c>
      <c r="B16" s="13" t="str">
        <f t="shared" si="2"/>
        <v>月</v>
      </c>
      <c r="C16" s="18"/>
      <c r="D16" s="15">
        <f t="shared" si="3"/>
        <v>0</v>
      </c>
      <c r="E16" s="18"/>
      <c r="F16" s="18"/>
      <c r="G16" s="15" t="str">
        <f t="shared" si="4"/>
        <v/>
      </c>
      <c r="H16" s="15" t="str">
        <f t="shared" si="5"/>
        <v/>
      </c>
      <c r="I16" s="17" t="str">
        <f t="shared" ref="I16:J16" si="23">IF(G16="","",IFERROR(G16/C16,""))</f>
        <v/>
      </c>
      <c r="J16" s="17" t="str">
        <f t="shared" si="23"/>
        <v/>
      </c>
      <c r="K16" s="15" t="str">
        <f t="shared" si="7"/>
        <v/>
      </c>
      <c r="L16" s="20" t="str">
        <f t="shared" si="8"/>
        <v>—</v>
      </c>
      <c r="M16" s="22"/>
      <c r="N16" s="22"/>
      <c r="O16" s="22"/>
      <c r="P16" s="22"/>
      <c r="Q16" s="22"/>
      <c r="R16" s="17" t="str">
        <f t="shared" si="9"/>
        <v/>
      </c>
      <c r="S16" s="15" t="str">
        <f t="shared" si="10"/>
        <v/>
      </c>
      <c r="T16" s="24" t="str">
        <f t="shared" si="11"/>
        <v/>
      </c>
      <c r="U16" s="17" t="str">
        <f t="shared" si="12"/>
        <v/>
      </c>
      <c r="V16" s="22"/>
      <c r="W16" s="22"/>
      <c r="X16" s="18"/>
      <c r="Y16" s="26"/>
      <c r="AA16" s="35" t="s">
        <v>71</v>
      </c>
    </row>
    <row r="17">
      <c r="A17" s="32">
        <v>46336.0</v>
      </c>
      <c r="B17" s="21" t="str">
        <f t="shared" si="2"/>
        <v>火</v>
      </c>
      <c r="C17" s="18"/>
      <c r="D17" s="23">
        <f t="shared" si="3"/>
        <v>0</v>
      </c>
      <c r="E17" s="18"/>
      <c r="F17" s="18"/>
      <c r="G17" s="23" t="str">
        <f t="shared" si="4"/>
        <v/>
      </c>
      <c r="H17" s="23" t="str">
        <f t="shared" si="5"/>
        <v/>
      </c>
      <c r="I17" s="25" t="str">
        <f t="shared" ref="I17:J17" si="24">IF(G17="","",IFERROR(G17/C17,""))</f>
        <v/>
      </c>
      <c r="J17" s="25" t="str">
        <f t="shared" si="24"/>
        <v/>
      </c>
      <c r="K17" s="23" t="str">
        <f t="shared" si="7"/>
        <v/>
      </c>
      <c r="L17" s="33" t="str">
        <f t="shared" si="8"/>
        <v>—</v>
      </c>
      <c r="M17" s="22"/>
      <c r="N17" s="22"/>
      <c r="O17" s="22"/>
      <c r="P17" s="22"/>
      <c r="Q17" s="22"/>
      <c r="R17" s="25" t="str">
        <f t="shared" si="9"/>
        <v/>
      </c>
      <c r="S17" s="23" t="str">
        <f t="shared" si="10"/>
        <v/>
      </c>
      <c r="T17" s="34" t="str">
        <f t="shared" si="11"/>
        <v/>
      </c>
      <c r="U17" s="25" t="str">
        <f t="shared" si="12"/>
        <v/>
      </c>
      <c r="V17" s="22"/>
      <c r="W17" s="22"/>
      <c r="X17" s="18"/>
      <c r="Y17" s="26"/>
    </row>
    <row r="18">
      <c r="A18" s="16">
        <v>46337.0</v>
      </c>
      <c r="B18" s="13" t="str">
        <f t="shared" si="2"/>
        <v>水</v>
      </c>
      <c r="C18" s="18"/>
      <c r="D18" s="15">
        <f t="shared" si="3"/>
        <v>0</v>
      </c>
      <c r="E18" s="18"/>
      <c r="F18" s="18"/>
      <c r="G18" s="15" t="str">
        <f t="shared" si="4"/>
        <v/>
      </c>
      <c r="H18" s="15" t="str">
        <f t="shared" si="5"/>
        <v/>
      </c>
      <c r="I18" s="17" t="str">
        <f t="shared" ref="I18:J18" si="25">IF(G18="","",IFERROR(G18/C18,""))</f>
        <v/>
      </c>
      <c r="J18" s="17" t="str">
        <f t="shared" si="25"/>
        <v/>
      </c>
      <c r="K18" s="15" t="str">
        <f t="shared" si="7"/>
        <v/>
      </c>
      <c r="L18" s="20" t="str">
        <f t="shared" si="8"/>
        <v>—</v>
      </c>
      <c r="M18" s="22"/>
      <c r="N18" s="22"/>
      <c r="O18" s="22"/>
      <c r="P18" s="22"/>
      <c r="Q18" s="22"/>
      <c r="R18" s="17" t="str">
        <f t="shared" si="9"/>
        <v/>
      </c>
      <c r="S18" s="15" t="str">
        <f t="shared" si="10"/>
        <v/>
      </c>
      <c r="T18" s="24" t="str">
        <f t="shared" si="11"/>
        <v/>
      </c>
      <c r="U18" s="17" t="str">
        <f t="shared" si="12"/>
        <v/>
      </c>
      <c r="V18" s="22"/>
      <c r="W18" s="22"/>
      <c r="X18" s="18"/>
      <c r="Y18" s="26"/>
      <c r="AA18" s="38" t="s">
        <v>189</v>
      </c>
      <c r="AH18" s="35" t="s">
        <v>123</v>
      </c>
      <c r="AI18" s="40">
        <f>$A$8+MOD(1-WEEKDAY($A$8,2)+7,7)</f>
        <v>46329</v>
      </c>
    </row>
    <row r="19">
      <c r="A19" s="32">
        <v>46338.0</v>
      </c>
      <c r="B19" s="21" t="str">
        <f t="shared" si="2"/>
        <v>木</v>
      </c>
      <c r="C19" s="18"/>
      <c r="D19" s="23">
        <f t="shared" si="3"/>
        <v>0</v>
      </c>
      <c r="E19" s="18"/>
      <c r="F19" s="18"/>
      <c r="G19" s="23" t="str">
        <f t="shared" si="4"/>
        <v/>
      </c>
      <c r="H19" s="23" t="str">
        <f t="shared" si="5"/>
        <v/>
      </c>
      <c r="I19" s="25" t="str">
        <f t="shared" ref="I19:J19" si="26">IF(G19="","",IFERROR(G19/C19,""))</f>
        <v/>
      </c>
      <c r="J19" s="25" t="str">
        <f t="shared" si="26"/>
        <v/>
      </c>
      <c r="K19" s="23" t="str">
        <f t="shared" si="7"/>
        <v/>
      </c>
      <c r="L19" s="33" t="str">
        <f t="shared" si="8"/>
        <v>—</v>
      </c>
      <c r="M19" s="22"/>
      <c r="N19" s="22"/>
      <c r="O19" s="22"/>
      <c r="P19" s="22"/>
      <c r="Q19" s="22"/>
      <c r="R19" s="25" t="str">
        <f t="shared" si="9"/>
        <v/>
      </c>
      <c r="S19" s="23" t="str">
        <f t="shared" si="10"/>
        <v/>
      </c>
      <c r="T19" s="34" t="str">
        <f t="shared" si="11"/>
        <v/>
      </c>
      <c r="U19" s="25" t="str">
        <f t="shared" si="12"/>
        <v/>
      </c>
      <c r="V19" s="22"/>
      <c r="W19" s="22"/>
      <c r="X19" s="18"/>
      <c r="Y19" s="26"/>
      <c r="AA19" s="14" t="s">
        <v>76</v>
      </c>
      <c r="AB19" s="14" t="s">
        <v>77</v>
      </c>
      <c r="AC19" s="14" t="s">
        <v>78</v>
      </c>
      <c r="AD19" s="14" t="s">
        <v>18</v>
      </c>
      <c r="AE19" s="14" t="s">
        <v>19</v>
      </c>
      <c r="AF19" s="14" t="s">
        <v>20</v>
      </c>
      <c r="AG19" s="14" t="s">
        <v>21</v>
      </c>
    </row>
    <row r="20">
      <c r="A20" s="16">
        <v>46339.0</v>
      </c>
      <c r="B20" s="13" t="str">
        <f t="shared" si="2"/>
        <v>金</v>
      </c>
      <c r="C20" s="18"/>
      <c r="D20" s="15">
        <f t="shared" si="3"/>
        <v>0</v>
      </c>
      <c r="E20" s="18"/>
      <c r="F20" s="18"/>
      <c r="G20" s="15" t="str">
        <f t="shared" si="4"/>
        <v/>
      </c>
      <c r="H20" s="15" t="str">
        <f t="shared" si="5"/>
        <v/>
      </c>
      <c r="I20" s="17" t="str">
        <f t="shared" ref="I20:J20" si="27">IF(G20="","",IFERROR(G20/C20,""))</f>
        <v/>
      </c>
      <c r="J20" s="17" t="str">
        <f t="shared" si="27"/>
        <v/>
      </c>
      <c r="K20" s="15" t="str">
        <f t="shared" si="7"/>
        <v/>
      </c>
      <c r="L20" s="20" t="str">
        <f t="shared" si="8"/>
        <v>—</v>
      </c>
      <c r="M20" s="22"/>
      <c r="N20" s="22"/>
      <c r="O20" s="22"/>
      <c r="P20" s="22"/>
      <c r="Q20" s="22"/>
      <c r="R20" s="17" t="str">
        <f t="shared" si="9"/>
        <v/>
      </c>
      <c r="S20" s="15" t="str">
        <f t="shared" si="10"/>
        <v/>
      </c>
      <c r="T20" s="24" t="str">
        <f t="shared" si="11"/>
        <v/>
      </c>
      <c r="U20" s="17" t="str">
        <f t="shared" si="12"/>
        <v/>
      </c>
      <c r="V20" s="22"/>
      <c r="W20" s="22"/>
      <c r="X20" s="18"/>
      <c r="Y20" s="26"/>
      <c r="AA20" s="30">
        <v>1.0</v>
      </c>
      <c r="AB20" s="42" t="str">
        <f>IF($AI$18+7*(1-1)&gt;$A$37,"",TEXT($AI$18+7*(1-1),"m/d")&amp;"-"&amp;TEXT($AI$18+7*(1-1)+6,"m/d"))</f>
        <v>11/3-11/9</v>
      </c>
      <c r="AC20" s="29">
        <f>IF($AB20="","",(SUMIFS($G$8:$G$37,$A$8:$A$37,"&gt;="&amp;$AI$18+7*(1-1),$A$8:$A$37,"&lt;="&amp;$AI$18+7*(1-1)+6)+SUMIFS('2026年12月'!$G$8:$G$38,'2026年12月'!$A$8:$A$38,"&gt;="&amp;$AI$18+7*(1-1),'2026年12月'!$A$8:$A$38,"&lt;="&amp;$AI$18+7*(1-1)+6)))</f>
        <v>0</v>
      </c>
      <c r="AD20" s="31" t="str">
        <f>IF($AB20="","",IFERROR((SUMIFS($M$8:$M$37,$A$8:$A$37,"&gt;="&amp;$AI$18+7*(1-1),$A$8:$A$37,"&lt;="&amp;$AI$18+7*(1-1)+6)+SUMIFS('2026年12月'!$M$8:$M$38,'2026年12月'!$A$8:$A$38,"&gt;="&amp;$AI$18+7*(1-1),'2026年12月'!$A$8:$A$38,"&lt;="&amp;$AI$18+7*(1-1)+6))/(SUMIFS($O$8:$O$37,$A$8:$A$37,"&gt;="&amp;$AI$18+7*(1-1),$A$8:$A$37,"&lt;="&amp;$AI$18+7*(1-1)+6)+SUMIFS('2026年12月'!$O$8:$O$38,'2026年12月'!$A$8:$A$38,"&gt;="&amp;$AI$18+7*(1-1),'2026年12月'!$A$8:$A$38,"&lt;="&amp;$AI$18+7*(1-1)+6)),""))</f>
        <v/>
      </c>
      <c r="AE20" s="29" t="str">
        <f>IF($AB20="","",IFERROR((SUMIFS($G$8:$G$37,$A$8:$A$37,"&gt;="&amp;$AI$18+7*(1-1),$A$8:$A$37,"&lt;="&amp;$AI$18+7*(1-1)+6)+SUMIFS('2026年12月'!$G$8:$G$38,'2026年12月'!$A$8:$A$38,"&gt;="&amp;$AI$18+7*(1-1),'2026年12月'!$A$8:$A$38,"&lt;="&amp;$AI$18+7*(1-1)+6))/(SUMIFS($M$8:$M$37,$A$8:$A$37,"&gt;="&amp;$AI$18+7*(1-1),$A$8:$A$37,"&lt;="&amp;$AI$18+7*(1-1)+6)+SUMIFS('2026年12月'!$M$8:$M$38,'2026年12月'!$A$8:$A$38,"&gt;="&amp;$AI$18+7*(1-1),'2026年12月'!$A$8:$A$38,"&lt;="&amp;$AI$18+7*(1-1)+6)),""))</f>
        <v/>
      </c>
      <c r="AF20" s="43" t="str">
        <f>IF($AB20="","",IFERROR((SUMIFS($N$8:$N$37,$A$8:$A$37,"&gt;="&amp;$AI$18+7*(1-1),$A$8:$A$37,"&lt;="&amp;$AI$18+7*(1-1)+6)+SUMIFS('2026年12月'!$N$8:$N$38,'2026年12月'!$A$8:$A$38,"&gt;="&amp;$AI$18+7*(1-1),'2026年12月'!$A$8:$A$38,"&lt;="&amp;$AI$18+7*(1-1)+6))/(SUMIFS($M$8:$M$37,$A$8:$A$37,"&gt;="&amp;$AI$18+7*(1-1),$A$8:$A$37,"&lt;="&amp;$AI$18+7*(1-1)+6)+SUMIFS('2026年12月'!$M$8:$M$38,'2026年12月'!$A$8:$A$38,"&gt;="&amp;$AI$18+7*(1-1),'2026年12月'!$A$8:$A$38,"&lt;="&amp;$AI$18+7*(1-1)+6)),""))</f>
        <v/>
      </c>
      <c r="AG20" s="31" t="str">
        <f>IF($AB20="","",IFERROR((SUMIFS($P$8:$P$37,$A$8:$A$37,"&gt;="&amp;$AI$18+7*(1-1),$A$8:$A$37,"&lt;="&amp;$AI$18+7*(1-1)+6)+SUMIFS('2026年12月'!$P$8:$P$38,'2026年12月'!$A$8:$A$38,"&gt;="&amp;$AI$18+7*(1-1),'2026年12月'!$A$8:$A$38,"&lt;="&amp;$AI$18+7*(1-1)+6))/(SUMIFS($O$8:$O$37,$A$8:$A$37,"&gt;="&amp;$AI$18+7*(1-1),$A$8:$A$37,"&lt;="&amp;$AI$18+7*(1-1)+6)+SUMIFS('2026年12月'!$O$8:$O$38,'2026年12月'!$A$8:$A$38,"&gt;="&amp;$AI$18+7*(1-1),'2026年12月'!$A$8:$A$38,"&lt;="&amp;$AI$18+7*(1-1)+6)),""))</f>
        <v/>
      </c>
    </row>
    <row r="21" ht="15.75" customHeight="1">
      <c r="A21" s="32">
        <v>46340.0</v>
      </c>
      <c r="B21" s="21" t="str">
        <f t="shared" si="2"/>
        <v>土</v>
      </c>
      <c r="C21" s="18"/>
      <c r="D21" s="23">
        <f t="shared" si="3"/>
        <v>0</v>
      </c>
      <c r="E21" s="18"/>
      <c r="F21" s="18"/>
      <c r="G21" s="23" t="str">
        <f t="shared" si="4"/>
        <v/>
      </c>
      <c r="H21" s="23" t="str">
        <f t="shared" si="5"/>
        <v/>
      </c>
      <c r="I21" s="25" t="str">
        <f t="shared" ref="I21:J21" si="28">IF(G21="","",IFERROR(G21/C21,""))</f>
        <v/>
      </c>
      <c r="J21" s="25" t="str">
        <f t="shared" si="28"/>
        <v/>
      </c>
      <c r="K21" s="23" t="str">
        <f t="shared" si="7"/>
        <v/>
      </c>
      <c r="L21" s="33" t="str">
        <f t="shared" si="8"/>
        <v>—</v>
      </c>
      <c r="M21" s="22"/>
      <c r="N21" s="22"/>
      <c r="O21" s="22"/>
      <c r="P21" s="22"/>
      <c r="Q21" s="22"/>
      <c r="R21" s="25" t="str">
        <f t="shared" si="9"/>
        <v/>
      </c>
      <c r="S21" s="23" t="str">
        <f t="shared" si="10"/>
        <v/>
      </c>
      <c r="T21" s="34" t="str">
        <f t="shared" si="11"/>
        <v/>
      </c>
      <c r="U21" s="25" t="str">
        <f t="shared" si="12"/>
        <v/>
      </c>
      <c r="V21" s="22"/>
      <c r="W21" s="22"/>
      <c r="X21" s="18"/>
      <c r="Y21" s="26"/>
      <c r="AA21" s="30">
        <v>2.0</v>
      </c>
      <c r="AB21" s="42" t="str">
        <f>IF($AI$18+7*(2-1)&gt;$A$37,"",TEXT($AI$18+7*(2-1),"m/d")&amp;"-"&amp;TEXT($AI$18+7*(2-1)+6,"m/d"))</f>
        <v>11/10-11/16</v>
      </c>
      <c r="AC21" s="29">
        <f>IF($AB21="","",(SUMIFS($G$8:$G$37,$A$8:$A$37,"&gt;="&amp;$AI$18+7*(2-1),$A$8:$A$37,"&lt;="&amp;$AI$18+7*(2-1)+6)+SUMIFS('2026年12月'!$G$8:$G$38,'2026年12月'!$A$8:$A$38,"&gt;="&amp;$AI$18+7*(2-1),'2026年12月'!$A$8:$A$38,"&lt;="&amp;$AI$18+7*(2-1)+6)))</f>
        <v>0</v>
      </c>
      <c r="AD21" s="31" t="str">
        <f>IF($AB21="","",IFERROR((SUMIFS($M$8:$M$37,$A$8:$A$37,"&gt;="&amp;$AI$18+7*(2-1),$A$8:$A$37,"&lt;="&amp;$AI$18+7*(2-1)+6)+SUMIFS('2026年12月'!$M$8:$M$38,'2026年12月'!$A$8:$A$38,"&gt;="&amp;$AI$18+7*(2-1),'2026年12月'!$A$8:$A$38,"&lt;="&amp;$AI$18+7*(2-1)+6))/(SUMIFS($O$8:$O$37,$A$8:$A$37,"&gt;="&amp;$AI$18+7*(2-1),$A$8:$A$37,"&lt;="&amp;$AI$18+7*(2-1)+6)+SUMIFS('2026年12月'!$O$8:$O$38,'2026年12月'!$A$8:$A$38,"&gt;="&amp;$AI$18+7*(2-1),'2026年12月'!$A$8:$A$38,"&lt;="&amp;$AI$18+7*(2-1)+6)),""))</f>
        <v/>
      </c>
      <c r="AE21" s="29" t="str">
        <f>IF($AB21="","",IFERROR((SUMIFS($G$8:$G$37,$A$8:$A$37,"&gt;="&amp;$AI$18+7*(2-1),$A$8:$A$37,"&lt;="&amp;$AI$18+7*(2-1)+6)+SUMIFS('2026年12月'!$G$8:$G$38,'2026年12月'!$A$8:$A$38,"&gt;="&amp;$AI$18+7*(2-1),'2026年12月'!$A$8:$A$38,"&lt;="&amp;$AI$18+7*(2-1)+6))/(SUMIFS($M$8:$M$37,$A$8:$A$37,"&gt;="&amp;$AI$18+7*(2-1),$A$8:$A$37,"&lt;="&amp;$AI$18+7*(2-1)+6)+SUMIFS('2026年12月'!$M$8:$M$38,'2026年12月'!$A$8:$A$38,"&gt;="&amp;$AI$18+7*(2-1),'2026年12月'!$A$8:$A$38,"&lt;="&amp;$AI$18+7*(2-1)+6)),""))</f>
        <v/>
      </c>
      <c r="AF21" s="43" t="str">
        <f>IF($AB21="","",IFERROR((SUMIFS($N$8:$N$37,$A$8:$A$37,"&gt;="&amp;$AI$18+7*(2-1),$A$8:$A$37,"&lt;="&amp;$AI$18+7*(2-1)+6)+SUMIFS('2026年12月'!$N$8:$N$38,'2026年12月'!$A$8:$A$38,"&gt;="&amp;$AI$18+7*(2-1),'2026年12月'!$A$8:$A$38,"&lt;="&amp;$AI$18+7*(2-1)+6))/(SUMIFS($M$8:$M$37,$A$8:$A$37,"&gt;="&amp;$AI$18+7*(2-1),$A$8:$A$37,"&lt;="&amp;$AI$18+7*(2-1)+6)+SUMIFS('2026年12月'!$M$8:$M$38,'2026年12月'!$A$8:$A$38,"&gt;="&amp;$AI$18+7*(2-1),'2026年12月'!$A$8:$A$38,"&lt;="&amp;$AI$18+7*(2-1)+6)),""))</f>
        <v/>
      </c>
      <c r="AG21" s="31" t="str">
        <f>IF($AB21="","",IFERROR((SUMIFS($P$8:$P$37,$A$8:$A$37,"&gt;="&amp;$AI$18+7*(2-1),$A$8:$A$37,"&lt;="&amp;$AI$18+7*(2-1)+6)+SUMIFS('2026年12月'!$P$8:$P$38,'2026年12月'!$A$8:$A$38,"&gt;="&amp;$AI$18+7*(2-1),'2026年12月'!$A$8:$A$38,"&lt;="&amp;$AI$18+7*(2-1)+6))/(SUMIFS($O$8:$O$37,$A$8:$A$37,"&gt;="&amp;$AI$18+7*(2-1),$A$8:$A$37,"&lt;="&amp;$AI$18+7*(2-1)+6)+SUMIFS('2026年12月'!$O$8:$O$38,'2026年12月'!$A$8:$A$38,"&gt;="&amp;$AI$18+7*(2-1),'2026年12月'!$A$8:$A$38,"&lt;="&amp;$AI$18+7*(2-1)+6)),""))</f>
        <v/>
      </c>
    </row>
    <row r="22" ht="15.75" customHeight="1">
      <c r="A22" s="16">
        <v>46341.0</v>
      </c>
      <c r="B22" s="13" t="str">
        <f t="shared" si="2"/>
        <v>日</v>
      </c>
      <c r="C22" s="18"/>
      <c r="D22" s="15">
        <f t="shared" si="3"/>
        <v>0</v>
      </c>
      <c r="E22" s="18"/>
      <c r="F22" s="18"/>
      <c r="G22" s="15" t="str">
        <f t="shared" si="4"/>
        <v/>
      </c>
      <c r="H22" s="15" t="str">
        <f t="shared" si="5"/>
        <v/>
      </c>
      <c r="I22" s="17" t="str">
        <f t="shared" ref="I22:J22" si="29">IF(G22="","",IFERROR(G22/C22,""))</f>
        <v/>
      </c>
      <c r="J22" s="17" t="str">
        <f t="shared" si="29"/>
        <v/>
      </c>
      <c r="K22" s="15" t="str">
        <f t="shared" si="7"/>
        <v/>
      </c>
      <c r="L22" s="20" t="str">
        <f t="shared" si="8"/>
        <v>—</v>
      </c>
      <c r="M22" s="22"/>
      <c r="N22" s="22"/>
      <c r="O22" s="22"/>
      <c r="P22" s="22"/>
      <c r="Q22" s="22"/>
      <c r="R22" s="17" t="str">
        <f t="shared" si="9"/>
        <v/>
      </c>
      <c r="S22" s="15" t="str">
        <f t="shared" si="10"/>
        <v/>
      </c>
      <c r="T22" s="24" t="str">
        <f t="shared" si="11"/>
        <v/>
      </c>
      <c r="U22" s="17" t="str">
        <f t="shared" si="12"/>
        <v/>
      </c>
      <c r="V22" s="22"/>
      <c r="W22" s="22"/>
      <c r="X22" s="18"/>
      <c r="Y22" s="26"/>
      <c r="AA22" s="30">
        <v>3.0</v>
      </c>
      <c r="AB22" s="42" t="str">
        <f>IF($AI$18+7*(3-1)&gt;$A$37,"",TEXT($AI$18+7*(3-1),"m/d")&amp;"-"&amp;TEXT($AI$18+7*(3-1)+6,"m/d"))</f>
        <v>11/17-11/23</v>
      </c>
      <c r="AC22" s="29">
        <f>IF($AB22="","",(SUMIFS($G$8:$G$37,$A$8:$A$37,"&gt;="&amp;$AI$18+7*(3-1),$A$8:$A$37,"&lt;="&amp;$AI$18+7*(3-1)+6)+SUMIFS('2026年12月'!$G$8:$G$38,'2026年12月'!$A$8:$A$38,"&gt;="&amp;$AI$18+7*(3-1),'2026年12月'!$A$8:$A$38,"&lt;="&amp;$AI$18+7*(3-1)+6)))</f>
        <v>0</v>
      </c>
      <c r="AD22" s="31" t="str">
        <f>IF($AB22="","",IFERROR((SUMIFS($M$8:$M$37,$A$8:$A$37,"&gt;="&amp;$AI$18+7*(3-1),$A$8:$A$37,"&lt;="&amp;$AI$18+7*(3-1)+6)+SUMIFS('2026年12月'!$M$8:$M$38,'2026年12月'!$A$8:$A$38,"&gt;="&amp;$AI$18+7*(3-1),'2026年12月'!$A$8:$A$38,"&lt;="&amp;$AI$18+7*(3-1)+6))/(SUMIFS($O$8:$O$37,$A$8:$A$37,"&gt;="&amp;$AI$18+7*(3-1),$A$8:$A$37,"&lt;="&amp;$AI$18+7*(3-1)+6)+SUMIFS('2026年12月'!$O$8:$O$38,'2026年12月'!$A$8:$A$38,"&gt;="&amp;$AI$18+7*(3-1),'2026年12月'!$A$8:$A$38,"&lt;="&amp;$AI$18+7*(3-1)+6)),""))</f>
        <v/>
      </c>
      <c r="AE22" s="29" t="str">
        <f>IF($AB22="","",IFERROR((SUMIFS($G$8:$G$37,$A$8:$A$37,"&gt;="&amp;$AI$18+7*(3-1),$A$8:$A$37,"&lt;="&amp;$AI$18+7*(3-1)+6)+SUMIFS('2026年12月'!$G$8:$G$38,'2026年12月'!$A$8:$A$38,"&gt;="&amp;$AI$18+7*(3-1),'2026年12月'!$A$8:$A$38,"&lt;="&amp;$AI$18+7*(3-1)+6))/(SUMIFS($M$8:$M$37,$A$8:$A$37,"&gt;="&amp;$AI$18+7*(3-1),$A$8:$A$37,"&lt;="&amp;$AI$18+7*(3-1)+6)+SUMIFS('2026年12月'!$M$8:$M$38,'2026年12月'!$A$8:$A$38,"&gt;="&amp;$AI$18+7*(3-1),'2026年12月'!$A$8:$A$38,"&lt;="&amp;$AI$18+7*(3-1)+6)),""))</f>
        <v/>
      </c>
      <c r="AF22" s="43" t="str">
        <f>IF($AB22="","",IFERROR((SUMIFS($N$8:$N$37,$A$8:$A$37,"&gt;="&amp;$AI$18+7*(3-1),$A$8:$A$37,"&lt;="&amp;$AI$18+7*(3-1)+6)+SUMIFS('2026年12月'!$N$8:$N$38,'2026年12月'!$A$8:$A$38,"&gt;="&amp;$AI$18+7*(3-1),'2026年12月'!$A$8:$A$38,"&lt;="&amp;$AI$18+7*(3-1)+6))/(SUMIFS($M$8:$M$37,$A$8:$A$37,"&gt;="&amp;$AI$18+7*(3-1),$A$8:$A$37,"&lt;="&amp;$AI$18+7*(3-1)+6)+SUMIFS('2026年12月'!$M$8:$M$38,'2026年12月'!$A$8:$A$38,"&gt;="&amp;$AI$18+7*(3-1),'2026年12月'!$A$8:$A$38,"&lt;="&amp;$AI$18+7*(3-1)+6)),""))</f>
        <v/>
      </c>
      <c r="AG22" s="31" t="str">
        <f>IF($AB22="","",IFERROR((SUMIFS($P$8:$P$37,$A$8:$A$37,"&gt;="&amp;$AI$18+7*(3-1),$A$8:$A$37,"&lt;="&amp;$AI$18+7*(3-1)+6)+SUMIFS('2026年12月'!$P$8:$P$38,'2026年12月'!$A$8:$A$38,"&gt;="&amp;$AI$18+7*(3-1),'2026年12月'!$A$8:$A$38,"&lt;="&amp;$AI$18+7*(3-1)+6))/(SUMIFS($O$8:$O$37,$A$8:$A$37,"&gt;="&amp;$AI$18+7*(3-1),$A$8:$A$37,"&lt;="&amp;$AI$18+7*(3-1)+6)+SUMIFS('2026年12月'!$O$8:$O$38,'2026年12月'!$A$8:$A$38,"&gt;="&amp;$AI$18+7*(3-1),'2026年12月'!$A$8:$A$38,"&lt;="&amp;$AI$18+7*(3-1)+6)),""))</f>
        <v/>
      </c>
    </row>
    <row r="23" ht="15.75" customHeight="1">
      <c r="A23" s="32">
        <v>46342.0</v>
      </c>
      <c r="B23" s="21" t="str">
        <f t="shared" si="2"/>
        <v>月</v>
      </c>
      <c r="C23" s="18"/>
      <c r="D23" s="23">
        <f t="shared" si="3"/>
        <v>0</v>
      </c>
      <c r="E23" s="18"/>
      <c r="F23" s="18"/>
      <c r="G23" s="23" t="str">
        <f t="shared" si="4"/>
        <v/>
      </c>
      <c r="H23" s="23" t="str">
        <f t="shared" si="5"/>
        <v/>
      </c>
      <c r="I23" s="25" t="str">
        <f t="shared" ref="I23:J23" si="30">IF(G23="","",IFERROR(G23/C23,""))</f>
        <v/>
      </c>
      <c r="J23" s="25" t="str">
        <f t="shared" si="30"/>
        <v/>
      </c>
      <c r="K23" s="23" t="str">
        <f t="shared" si="7"/>
        <v/>
      </c>
      <c r="L23" s="33" t="str">
        <f t="shared" si="8"/>
        <v>—</v>
      </c>
      <c r="M23" s="22"/>
      <c r="N23" s="22"/>
      <c r="O23" s="22"/>
      <c r="P23" s="22"/>
      <c r="Q23" s="22"/>
      <c r="R23" s="25" t="str">
        <f t="shared" si="9"/>
        <v/>
      </c>
      <c r="S23" s="23" t="str">
        <f t="shared" si="10"/>
        <v/>
      </c>
      <c r="T23" s="34" t="str">
        <f t="shared" si="11"/>
        <v/>
      </c>
      <c r="U23" s="25" t="str">
        <f t="shared" si="12"/>
        <v/>
      </c>
      <c r="V23" s="22"/>
      <c r="W23" s="22"/>
      <c r="X23" s="18"/>
      <c r="Y23" s="26"/>
      <c r="AA23" s="30">
        <v>4.0</v>
      </c>
      <c r="AB23" s="42" t="str">
        <f>IF($AI$18+7*(4-1)&gt;$A$37,"",TEXT($AI$18+7*(4-1),"m/d")&amp;"-"&amp;TEXT($AI$18+7*(4-1)+6,"m/d"))</f>
        <v>11/24-11/30</v>
      </c>
      <c r="AC23" s="29">
        <f>IF($AB23="","",(SUMIFS($G$8:$G$37,$A$8:$A$37,"&gt;="&amp;$AI$18+7*(4-1),$A$8:$A$37,"&lt;="&amp;$AI$18+7*(4-1)+6)+SUMIFS('2026年12月'!$G$8:$G$38,'2026年12月'!$A$8:$A$38,"&gt;="&amp;$AI$18+7*(4-1),'2026年12月'!$A$8:$A$38,"&lt;="&amp;$AI$18+7*(4-1)+6)))</f>
        <v>0</v>
      </c>
      <c r="AD23" s="31" t="str">
        <f>IF($AB23="","",IFERROR((SUMIFS($M$8:$M$37,$A$8:$A$37,"&gt;="&amp;$AI$18+7*(4-1),$A$8:$A$37,"&lt;="&amp;$AI$18+7*(4-1)+6)+SUMIFS('2026年12月'!$M$8:$M$38,'2026年12月'!$A$8:$A$38,"&gt;="&amp;$AI$18+7*(4-1),'2026年12月'!$A$8:$A$38,"&lt;="&amp;$AI$18+7*(4-1)+6))/(SUMIFS($O$8:$O$37,$A$8:$A$37,"&gt;="&amp;$AI$18+7*(4-1),$A$8:$A$37,"&lt;="&amp;$AI$18+7*(4-1)+6)+SUMIFS('2026年12月'!$O$8:$O$38,'2026年12月'!$A$8:$A$38,"&gt;="&amp;$AI$18+7*(4-1),'2026年12月'!$A$8:$A$38,"&lt;="&amp;$AI$18+7*(4-1)+6)),""))</f>
        <v/>
      </c>
      <c r="AE23" s="29" t="str">
        <f>IF($AB23="","",IFERROR((SUMIFS($G$8:$G$37,$A$8:$A$37,"&gt;="&amp;$AI$18+7*(4-1),$A$8:$A$37,"&lt;="&amp;$AI$18+7*(4-1)+6)+SUMIFS('2026年12月'!$G$8:$G$38,'2026年12月'!$A$8:$A$38,"&gt;="&amp;$AI$18+7*(4-1),'2026年12月'!$A$8:$A$38,"&lt;="&amp;$AI$18+7*(4-1)+6))/(SUMIFS($M$8:$M$37,$A$8:$A$37,"&gt;="&amp;$AI$18+7*(4-1),$A$8:$A$37,"&lt;="&amp;$AI$18+7*(4-1)+6)+SUMIFS('2026年12月'!$M$8:$M$38,'2026年12月'!$A$8:$A$38,"&gt;="&amp;$AI$18+7*(4-1),'2026年12月'!$A$8:$A$38,"&lt;="&amp;$AI$18+7*(4-1)+6)),""))</f>
        <v/>
      </c>
      <c r="AF23" s="43" t="str">
        <f>IF($AB23="","",IFERROR((SUMIFS($N$8:$N$37,$A$8:$A$37,"&gt;="&amp;$AI$18+7*(4-1),$A$8:$A$37,"&lt;="&amp;$AI$18+7*(4-1)+6)+SUMIFS('2026年12月'!$N$8:$N$38,'2026年12月'!$A$8:$A$38,"&gt;="&amp;$AI$18+7*(4-1),'2026年12月'!$A$8:$A$38,"&lt;="&amp;$AI$18+7*(4-1)+6))/(SUMIFS($M$8:$M$37,$A$8:$A$37,"&gt;="&amp;$AI$18+7*(4-1),$A$8:$A$37,"&lt;="&amp;$AI$18+7*(4-1)+6)+SUMIFS('2026年12月'!$M$8:$M$38,'2026年12月'!$A$8:$A$38,"&gt;="&amp;$AI$18+7*(4-1),'2026年12月'!$A$8:$A$38,"&lt;="&amp;$AI$18+7*(4-1)+6)),""))</f>
        <v/>
      </c>
      <c r="AG23" s="31" t="str">
        <f>IF($AB23="","",IFERROR((SUMIFS($P$8:$P$37,$A$8:$A$37,"&gt;="&amp;$AI$18+7*(4-1),$A$8:$A$37,"&lt;="&amp;$AI$18+7*(4-1)+6)+SUMIFS('2026年12月'!$P$8:$P$38,'2026年12月'!$A$8:$A$38,"&gt;="&amp;$AI$18+7*(4-1),'2026年12月'!$A$8:$A$38,"&lt;="&amp;$AI$18+7*(4-1)+6))/(SUMIFS($O$8:$O$37,$A$8:$A$37,"&gt;="&amp;$AI$18+7*(4-1),$A$8:$A$37,"&lt;="&amp;$AI$18+7*(4-1)+6)+SUMIFS('2026年12月'!$O$8:$O$38,'2026年12月'!$A$8:$A$38,"&gt;="&amp;$AI$18+7*(4-1),'2026年12月'!$A$8:$A$38,"&lt;="&amp;$AI$18+7*(4-1)+6)),""))</f>
        <v/>
      </c>
    </row>
    <row r="24" ht="15.75" customHeight="1">
      <c r="A24" s="16">
        <v>46343.0</v>
      </c>
      <c r="B24" s="13" t="str">
        <f t="shared" si="2"/>
        <v>火</v>
      </c>
      <c r="C24" s="18"/>
      <c r="D24" s="15">
        <f t="shared" si="3"/>
        <v>0</v>
      </c>
      <c r="E24" s="18"/>
      <c r="F24" s="18"/>
      <c r="G24" s="15" t="str">
        <f t="shared" si="4"/>
        <v/>
      </c>
      <c r="H24" s="15" t="str">
        <f t="shared" si="5"/>
        <v/>
      </c>
      <c r="I24" s="17" t="str">
        <f t="shared" ref="I24:J24" si="31">IF(G24="","",IFERROR(G24/C24,""))</f>
        <v/>
      </c>
      <c r="J24" s="17" t="str">
        <f t="shared" si="31"/>
        <v/>
      </c>
      <c r="K24" s="15" t="str">
        <f t="shared" si="7"/>
        <v/>
      </c>
      <c r="L24" s="20" t="str">
        <f t="shared" si="8"/>
        <v>—</v>
      </c>
      <c r="M24" s="22"/>
      <c r="N24" s="22"/>
      <c r="O24" s="22"/>
      <c r="P24" s="22"/>
      <c r="Q24" s="22"/>
      <c r="R24" s="17" t="str">
        <f t="shared" si="9"/>
        <v/>
      </c>
      <c r="S24" s="15" t="str">
        <f t="shared" si="10"/>
        <v/>
      </c>
      <c r="T24" s="24" t="str">
        <f t="shared" si="11"/>
        <v/>
      </c>
      <c r="U24" s="17" t="str">
        <f t="shared" si="12"/>
        <v/>
      </c>
      <c r="V24" s="22"/>
      <c r="W24" s="22"/>
      <c r="X24" s="18"/>
      <c r="Y24" s="26"/>
      <c r="AA24" s="30">
        <v>5.0</v>
      </c>
      <c r="AB24" s="42" t="str">
        <f>IF($AI$18+7*(5-1)&gt;$A$37,"",TEXT($AI$18+7*(5-1),"m/d")&amp;"-"&amp;TEXT($AI$18+7*(5-1)+6,"m/d"))</f>
        <v/>
      </c>
      <c r="AC24" s="29" t="str">
        <f>IF($AB24="","",(SUMIFS($G$8:$G$37,$A$8:$A$37,"&gt;="&amp;$AI$18+7*(5-1),$A$8:$A$37,"&lt;="&amp;$AI$18+7*(5-1)+6)+SUMIFS('2026年12月'!$G$8:$G$38,'2026年12月'!$A$8:$A$38,"&gt;="&amp;$AI$18+7*(5-1),'2026年12月'!$A$8:$A$38,"&lt;="&amp;$AI$18+7*(5-1)+6)))</f>
        <v/>
      </c>
      <c r="AD24" s="31" t="str">
        <f>IF($AB24="","",IFERROR((SUMIFS($M$8:$M$37,$A$8:$A$37,"&gt;="&amp;$AI$18+7*(5-1),$A$8:$A$37,"&lt;="&amp;$AI$18+7*(5-1)+6)+SUMIFS('2026年12月'!$M$8:$M$38,'2026年12月'!$A$8:$A$38,"&gt;="&amp;$AI$18+7*(5-1),'2026年12月'!$A$8:$A$38,"&lt;="&amp;$AI$18+7*(5-1)+6))/(SUMIFS($O$8:$O$37,$A$8:$A$37,"&gt;="&amp;$AI$18+7*(5-1),$A$8:$A$37,"&lt;="&amp;$AI$18+7*(5-1)+6)+SUMIFS('2026年12月'!$O$8:$O$38,'2026年12月'!$A$8:$A$38,"&gt;="&amp;$AI$18+7*(5-1),'2026年12月'!$A$8:$A$38,"&lt;="&amp;$AI$18+7*(5-1)+6)),""))</f>
        <v/>
      </c>
      <c r="AE24" s="29" t="str">
        <f>IF($AB24="","",IFERROR((SUMIFS($G$8:$G$37,$A$8:$A$37,"&gt;="&amp;$AI$18+7*(5-1),$A$8:$A$37,"&lt;="&amp;$AI$18+7*(5-1)+6)+SUMIFS('2026年12月'!$G$8:$G$38,'2026年12月'!$A$8:$A$38,"&gt;="&amp;$AI$18+7*(5-1),'2026年12月'!$A$8:$A$38,"&lt;="&amp;$AI$18+7*(5-1)+6))/(SUMIFS($M$8:$M$37,$A$8:$A$37,"&gt;="&amp;$AI$18+7*(5-1),$A$8:$A$37,"&lt;="&amp;$AI$18+7*(5-1)+6)+SUMIFS('2026年12月'!$M$8:$M$38,'2026年12月'!$A$8:$A$38,"&gt;="&amp;$AI$18+7*(5-1),'2026年12月'!$A$8:$A$38,"&lt;="&amp;$AI$18+7*(5-1)+6)),""))</f>
        <v/>
      </c>
      <c r="AF24" s="43" t="str">
        <f>IF($AB24="","",IFERROR((SUMIFS($N$8:$N$37,$A$8:$A$37,"&gt;="&amp;$AI$18+7*(5-1),$A$8:$A$37,"&lt;="&amp;$AI$18+7*(5-1)+6)+SUMIFS('2026年12月'!$N$8:$N$38,'2026年12月'!$A$8:$A$38,"&gt;="&amp;$AI$18+7*(5-1),'2026年12月'!$A$8:$A$38,"&lt;="&amp;$AI$18+7*(5-1)+6))/(SUMIFS($M$8:$M$37,$A$8:$A$37,"&gt;="&amp;$AI$18+7*(5-1),$A$8:$A$37,"&lt;="&amp;$AI$18+7*(5-1)+6)+SUMIFS('2026年12月'!$M$8:$M$38,'2026年12月'!$A$8:$A$38,"&gt;="&amp;$AI$18+7*(5-1),'2026年12月'!$A$8:$A$38,"&lt;="&amp;$AI$18+7*(5-1)+6)),""))</f>
        <v/>
      </c>
      <c r="AG24" s="31" t="str">
        <f>IF($AB24="","",IFERROR((SUMIFS($P$8:$P$37,$A$8:$A$37,"&gt;="&amp;$AI$18+7*(5-1),$A$8:$A$37,"&lt;="&amp;$AI$18+7*(5-1)+6)+SUMIFS('2026年12月'!$P$8:$P$38,'2026年12月'!$A$8:$A$38,"&gt;="&amp;$AI$18+7*(5-1),'2026年12月'!$A$8:$A$38,"&lt;="&amp;$AI$18+7*(5-1)+6))/(SUMIFS($O$8:$O$37,$A$8:$A$37,"&gt;="&amp;$AI$18+7*(5-1),$A$8:$A$37,"&lt;="&amp;$AI$18+7*(5-1)+6)+SUMIFS('2026年12月'!$O$8:$O$38,'2026年12月'!$A$8:$A$38,"&gt;="&amp;$AI$18+7*(5-1),'2026年12月'!$A$8:$A$38,"&lt;="&amp;$AI$18+7*(5-1)+6)),""))</f>
        <v/>
      </c>
    </row>
    <row r="25" ht="15.75" customHeight="1">
      <c r="A25" s="32">
        <v>46344.0</v>
      </c>
      <c r="B25" s="21" t="str">
        <f t="shared" si="2"/>
        <v>水</v>
      </c>
      <c r="C25" s="18"/>
      <c r="D25" s="23">
        <f t="shared" si="3"/>
        <v>0</v>
      </c>
      <c r="E25" s="18"/>
      <c r="F25" s="18"/>
      <c r="G25" s="23" t="str">
        <f t="shared" si="4"/>
        <v/>
      </c>
      <c r="H25" s="23" t="str">
        <f t="shared" si="5"/>
        <v/>
      </c>
      <c r="I25" s="25" t="str">
        <f t="shared" ref="I25:J25" si="32">IF(G25="","",IFERROR(G25/C25,""))</f>
        <v/>
      </c>
      <c r="J25" s="25" t="str">
        <f t="shared" si="32"/>
        <v/>
      </c>
      <c r="K25" s="23" t="str">
        <f t="shared" si="7"/>
        <v/>
      </c>
      <c r="L25" s="33" t="str">
        <f t="shared" si="8"/>
        <v>—</v>
      </c>
      <c r="M25" s="22"/>
      <c r="N25" s="22"/>
      <c r="O25" s="22"/>
      <c r="P25" s="22"/>
      <c r="Q25" s="22"/>
      <c r="R25" s="25" t="str">
        <f t="shared" si="9"/>
        <v/>
      </c>
      <c r="S25" s="23" t="str">
        <f t="shared" si="10"/>
        <v/>
      </c>
      <c r="T25" s="34" t="str">
        <f t="shared" si="11"/>
        <v/>
      </c>
      <c r="U25" s="25" t="str">
        <f t="shared" si="12"/>
        <v/>
      </c>
      <c r="V25" s="22"/>
      <c r="W25" s="22"/>
      <c r="X25" s="18"/>
      <c r="Y25" s="26"/>
      <c r="AA25" s="30">
        <v>6.0</v>
      </c>
      <c r="AB25" s="42" t="str">
        <f>IF($AI$18+7*(6-1)&gt;$A$37,"",TEXT($AI$18+7*(6-1),"m/d")&amp;"-"&amp;TEXT($AI$18+7*(6-1)+6,"m/d"))</f>
        <v/>
      </c>
      <c r="AC25" s="29" t="str">
        <f>IF($AB25="","",(SUMIFS($G$8:$G$37,$A$8:$A$37,"&gt;="&amp;$AI$18+7*(6-1),$A$8:$A$37,"&lt;="&amp;$AI$18+7*(6-1)+6)+SUMIFS('2026年12月'!$G$8:$G$38,'2026年12月'!$A$8:$A$38,"&gt;="&amp;$AI$18+7*(6-1),'2026年12月'!$A$8:$A$38,"&lt;="&amp;$AI$18+7*(6-1)+6)))</f>
        <v/>
      </c>
      <c r="AD25" s="31" t="str">
        <f>IF($AB25="","",IFERROR((SUMIFS($M$8:$M$37,$A$8:$A$37,"&gt;="&amp;$AI$18+7*(6-1),$A$8:$A$37,"&lt;="&amp;$AI$18+7*(6-1)+6)+SUMIFS('2026年12月'!$M$8:$M$38,'2026年12月'!$A$8:$A$38,"&gt;="&amp;$AI$18+7*(6-1),'2026年12月'!$A$8:$A$38,"&lt;="&amp;$AI$18+7*(6-1)+6))/(SUMIFS($O$8:$O$37,$A$8:$A$37,"&gt;="&amp;$AI$18+7*(6-1),$A$8:$A$37,"&lt;="&amp;$AI$18+7*(6-1)+6)+SUMIFS('2026年12月'!$O$8:$O$38,'2026年12月'!$A$8:$A$38,"&gt;="&amp;$AI$18+7*(6-1),'2026年12月'!$A$8:$A$38,"&lt;="&amp;$AI$18+7*(6-1)+6)),""))</f>
        <v/>
      </c>
      <c r="AE25" s="29" t="str">
        <f>IF($AB25="","",IFERROR((SUMIFS($G$8:$G$37,$A$8:$A$37,"&gt;="&amp;$AI$18+7*(6-1),$A$8:$A$37,"&lt;="&amp;$AI$18+7*(6-1)+6)+SUMIFS('2026年12月'!$G$8:$G$38,'2026年12月'!$A$8:$A$38,"&gt;="&amp;$AI$18+7*(6-1),'2026年12月'!$A$8:$A$38,"&lt;="&amp;$AI$18+7*(6-1)+6))/(SUMIFS($M$8:$M$37,$A$8:$A$37,"&gt;="&amp;$AI$18+7*(6-1),$A$8:$A$37,"&lt;="&amp;$AI$18+7*(6-1)+6)+SUMIFS('2026年12月'!$M$8:$M$38,'2026年12月'!$A$8:$A$38,"&gt;="&amp;$AI$18+7*(6-1),'2026年12月'!$A$8:$A$38,"&lt;="&amp;$AI$18+7*(6-1)+6)),""))</f>
        <v/>
      </c>
      <c r="AF25" s="43" t="str">
        <f>IF($AB25="","",IFERROR((SUMIFS($N$8:$N$37,$A$8:$A$37,"&gt;="&amp;$AI$18+7*(6-1),$A$8:$A$37,"&lt;="&amp;$AI$18+7*(6-1)+6)+SUMIFS('2026年12月'!$N$8:$N$38,'2026年12月'!$A$8:$A$38,"&gt;="&amp;$AI$18+7*(6-1),'2026年12月'!$A$8:$A$38,"&lt;="&amp;$AI$18+7*(6-1)+6))/(SUMIFS($M$8:$M$37,$A$8:$A$37,"&gt;="&amp;$AI$18+7*(6-1),$A$8:$A$37,"&lt;="&amp;$AI$18+7*(6-1)+6)+SUMIFS('2026年12月'!$M$8:$M$38,'2026年12月'!$A$8:$A$38,"&gt;="&amp;$AI$18+7*(6-1),'2026年12月'!$A$8:$A$38,"&lt;="&amp;$AI$18+7*(6-1)+6)),""))</f>
        <v/>
      </c>
      <c r="AG25" s="31" t="str">
        <f>IF($AB25="","",IFERROR((SUMIFS($P$8:$P$37,$A$8:$A$37,"&gt;="&amp;$AI$18+7*(6-1),$A$8:$A$37,"&lt;="&amp;$AI$18+7*(6-1)+6)+SUMIFS('2026年12月'!$P$8:$P$38,'2026年12月'!$A$8:$A$38,"&gt;="&amp;$AI$18+7*(6-1),'2026年12月'!$A$8:$A$38,"&lt;="&amp;$AI$18+7*(6-1)+6))/(SUMIFS($O$8:$O$37,$A$8:$A$37,"&gt;="&amp;$AI$18+7*(6-1),$A$8:$A$37,"&lt;="&amp;$AI$18+7*(6-1)+6)+SUMIFS('2026年12月'!$O$8:$O$38,'2026年12月'!$A$8:$A$38,"&gt;="&amp;$AI$18+7*(6-1),'2026年12月'!$A$8:$A$38,"&lt;="&amp;$AI$18+7*(6-1)+6)),""))</f>
        <v/>
      </c>
    </row>
    <row r="26" ht="15.75" customHeight="1">
      <c r="A26" s="16">
        <v>46345.0</v>
      </c>
      <c r="B26" s="13" t="str">
        <f t="shared" si="2"/>
        <v>木</v>
      </c>
      <c r="C26" s="18"/>
      <c r="D26" s="15">
        <f t="shared" si="3"/>
        <v>0</v>
      </c>
      <c r="E26" s="18"/>
      <c r="F26" s="18"/>
      <c r="G26" s="15" t="str">
        <f t="shared" si="4"/>
        <v/>
      </c>
      <c r="H26" s="15" t="str">
        <f t="shared" si="5"/>
        <v/>
      </c>
      <c r="I26" s="17" t="str">
        <f t="shared" ref="I26:J26" si="33">IF(G26="","",IFERROR(G26/C26,""))</f>
        <v/>
      </c>
      <c r="J26" s="17" t="str">
        <f t="shared" si="33"/>
        <v/>
      </c>
      <c r="K26" s="15" t="str">
        <f t="shared" si="7"/>
        <v/>
      </c>
      <c r="L26" s="20" t="str">
        <f t="shared" si="8"/>
        <v>—</v>
      </c>
      <c r="M26" s="22"/>
      <c r="N26" s="22"/>
      <c r="O26" s="22"/>
      <c r="P26" s="22"/>
      <c r="Q26" s="22"/>
      <c r="R26" s="17" t="str">
        <f t="shared" si="9"/>
        <v/>
      </c>
      <c r="S26" s="15" t="str">
        <f t="shared" si="10"/>
        <v/>
      </c>
      <c r="T26" s="24" t="str">
        <f t="shared" si="11"/>
        <v/>
      </c>
      <c r="U26" s="17" t="str">
        <f t="shared" si="12"/>
        <v/>
      </c>
      <c r="V26" s="22"/>
      <c r="W26" s="22"/>
      <c r="X26" s="18"/>
      <c r="Y26" s="26"/>
      <c r="AA26" s="35" t="s">
        <v>132</v>
      </c>
    </row>
    <row r="27" ht="15.75" customHeight="1">
      <c r="A27" s="32">
        <v>46346.0</v>
      </c>
      <c r="B27" s="21" t="str">
        <f t="shared" si="2"/>
        <v>金</v>
      </c>
      <c r="C27" s="18"/>
      <c r="D27" s="23">
        <f t="shared" si="3"/>
        <v>0</v>
      </c>
      <c r="E27" s="18"/>
      <c r="F27" s="18"/>
      <c r="G27" s="23" t="str">
        <f t="shared" si="4"/>
        <v/>
      </c>
      <c r="H27" s="23" t="str">
        <f t="shared" si="5"/>
        <v/>
      </c>
      <c r="I27" s="25" t="str">
        <f t="shared" ref="I27:J27" si="34">IF(G27="","",IFERROR(G27/C27,""))</f>
        <v/>
      </c>
      <c r="J27" s="25" t="str">
        <f t="shared" si="34"/>
        <v/>
      </c>
      <c r="K27" s="23" t="str">
        <f t="shared" si="7"/>
        <v/>
      </c>
      <c r="L27" s="33" t="str">
        <f t="shared" si="8"/>
        <v>—</v>
      </c>
      <c r="M27" s="22"/>
      <c r="N27" s="22"/>
      <c r="O27" s="22"/>
      <c r="P27" s="22"/>
      <c r="Q27" s="22"/>
      <c r="R27" s="25" t="str">
        <f t="shared" si="9"/>
        <v/>
      </c>
      <c r="S27" s="23" t="str">
        <f t="shared" si="10"/>
        <v/>
      </c>
      <c r="T27" s="34" t="str">
        <f t="shared" si="11"/>
        <v/>
      </c>
      <c r="U27" s="25" t="str">
        <f t="shared" si="12"/>
        <v/>
      </c>
      <c r="V27" s="22"/>
      <c r="W27" s="22"/>
      <c r="X27" s="18"/>
      <c r="Y27" s="26"/>
      <c r="AA27" s="35" t="s">
        <v>133</v>
      </c>
    </row>
    <row r="28" ht="15.75" customHeight="1">
      <c r="A28" s="16">
        <v>46347.0</v>
      </c>
      <c r="B28" s="13" t="str">
        <f t="shared" si="2"/>
        <v>土</v>
      </c>
      <c r="C28" s="18"/>
      <c r="D28" s="15">
        <f t="shared" si="3"/>
        <v>0</v>
      </c>
      <c r="E28" s="18"/>
      <c r="F28" s="18"/>
      <c r="G28" s="15" t="str">
        <f t="shared" si="4"/>
        <v/>
      </c>
      <c r="H28" s="15" t="str">
        <f t="shared" si="5"/>
        <v/>
      </c>
      <c r="I28" s="17" t="str">
        <f t="shared" ref="I28:J28" si="35">IF(G28="","",IFERROR(G28/C28,""))</f>
        <v/>
      </c>
      <c r="J28" s="17" t="str">
        <f t="shared" si="35"/>
        <v/>
      </c>
      <c r="K28" s="15" t="str">
        <f t="shared" si="7"/>
        <v/>
      </c>
      <c r="L28" s="20" t="str">
        <f t="shared" si="8"/>
        <v>—</v>
      </c>
      <c r="M28" s="22"/>
      <c r="N28" s="22"/>
      <c r="O28" s="22"/>
      <c r="P28" s="22"/>
      <c r="Q28" s="22"/>
      <c r="R28" s="17" t="str">
        <f t="shared" si="9"/>
        <v/>
      </c>
      <c r="S28" s="15" t="str">
        <f t="shared" si="10"/>
        <v/>
      </c>
      <c r="T28" s="24" t="str">
        <f t="shared" si="11"/>
        <v/>
      </c>
      <c r="U28" s="17" t="str">
        <f t="shared" si="12"/>
        <v/>
      </c>
      <c r="V28" s="22"/>
      <c r="W28" s="22"/>
      <c r="X28" s="18"/>
      <c r="Y28" s="26"/>
      <c r="AA28" s="35" t="s">
        <v>134</v>
      </c>
    </row>
    <row r="29" ht="15.75" customHeight="1">
      <c r="A29" s="32">
        <v>46348.0</v>
      </c>
      <c r="B29" s="21" t="str">
        <f t="shared" si="2"/>
        <v>日</v>
      </c>
      <c r="C29" s="18"/>
      <c r="D29" s="23">
        <f t="shared" si="3"/>
        <v>0</v>
      </c>
      <c r="E29" s="18"/>
      <c r="F29" s="18"/>
      <c r="G29" s="23" t="str">
        <f t="shared" si="4"/>
        <v/>
      </c>
      <c r="H29" s="23" t="str">
        <f t="shared" si="5"/>
        <v/>
      </c>
      <c r="I29" s="25" t="str">
        <f t="shared" ref="I29:J29" si="36">IF(G29="","",IFERROR(G29/C29,""))</f>
        <v/>
      </c>
      <c r="J29" s="25" t="str">
        <f t="shared" si="36"/>
        <v/>
      </c>
      <c r="K29" s="23" t="str">
        <f t="shared" si="7"/>
        <v/>
      </c>
      <c r="L29" s="33" t="str">
        <f t="shared" si="8"/>
        <v>—</v>
      </c>
      <c r="M29" s="22"/>
      <c r="N29" s="22"/>
      <c r="O29" s="22"/>
      <c r="P29" s="22"/>
      <c r="Q29" s="22"/>
      <c r="R29" s="25" t="str">
        <f t="shared" si="9"/>
        <v/>
      </c>
      <c r="S29" s="23" t="str">
        <f t="shared" si="10"/>
        <v/>
      </c>
      <c r="T29" s="34" t="str">
        <f t="shared" si="11"/>
        <v/>
      </c>
      <c r="U29" s="25" t="str">
        <f t="shared" si="12"/>
        <v/>
      </c>
      <c r="V29" s="22"/>
      <c r="W29" s="22"/>
      <c r="X29" s="18"/>
      <c r="Y29" s="26"/>
    </row>
    <row r="30" ht="15.75" customHeight="1">
      <c r="A30" s="16">
        <v>46349.0</v>
      </c>
      <c r="B30" s="13" t="str">
        <f t="shared" si="2"/>
        <v>月</v>
      </c>
      <c r="C30" s="18"/>
      <c r="D30" s="15">
        <f t="shared" si="3"/>
        <v>0</v>
      </c>
      <c r="E30" s="18"/>
      <c r="F30" s="18"/>
      <c r="G30" s="15" t="str">
        <f t="shared" si="4"/>
        <v/>
      </c>
      <c r="H30" s="15" t="str">
        <f t="shared" si="5"/>
        <v/>
      </c>
      <c r="I30" s="17" t="str">
        <f t="shared" ref="I30:J30" si="37">IF(G30="","",IFERROR(G30/C30,""))</f>
        <v/>
      </c>
      <c r="J30" s="17" t="str">
        <f t="shared" si="37"/>
        <v/>
      </c>
      <c r="K30" s="15" t="str">
        <f t="shared" si="7"/>
        <v/>
      </c>
      <c r="L30" s="20" t="str">
        <f t="shared" si="8"/>
        <v>—</v>
      </c>
      <c r="M30" s="22"/>
      <c r="N30" s="22"/>
      <c r="O30" s="22"/>
      <c r="P30" s="22"/>
      <c r="Q30" s="22"/>
      <c r="R30" s="17" t="str">
        <f t="shared" si="9"/>
        <v/>
      </c>
      <c r="S30" s="15" t="str">
        <f t="shared" si="10"/>
        <v/>
      </c>
      <c r="T30" s="24" t="str">
        <f t="shared" si="11"/>
        <v/>
      </c>
      <c r="U30" s="17" t="str">
        <f t="shared" si="12"/>
        <v/>
      </c>
      <c r="V30" s="22"/>
      <c r="W30" s="22"/>
      <c r="X30" s="18"/>
      <c r="Y30" s="26"/>
    </row>
    <row r="31" ht="15.75" customHeight="1">
      <c r="A31" s="32">
        <v>46350.0</v>
      </c>
      <c r="B31" s="21" t="str">
        <f t="shared" si="2"/>
        <v>火</v>
      </c>
      <c r="C31" s="18"/>
      <c r="D31" s="23">
        <f t="shared" si="3"/>
        <v>0</v>
      </c>
      <c r="E31" s="18"/>
      <c r="F31" s="18"/>
      <c r="G31" s="23" t="str">
        <f t="shared" si="4"/>
        <v/>
      </c>
      <c r="H31" s="23" t="str">
        <f t="shared" si="5"/>
        <v/>
      </c>
      <c r="I31" s="25" t="str">
        <f t="shared" ref="I31:J31" si="38">IF(G31="","",IFERROR(G31/C31,""))</f>
        <v/>
      </c>
      <c r="J31" s="25" t="str">
        <f t="shared" si="38"/>
        <v/>
      </c>
      <c r="K31" s="23" t="str">
        <f t="shared" si="7"/>
        <v/>
      </c>
      <c r="L31" s="33" t="str">
        <f t="shared" si="8"/>
        <v>—</v>
      </c>
      <c r="M31" s="22"/>
      <c r="N31" s="22"/>
      <c r="O31" s="22"/>
      <c r="P31" s="22"/>
      <c r="Q31" s="22"/>
      <c r="R31" s="25" t="str">
        <f t="shared" si="9"/>
        <v/>
      </c>
      <c r="S31" s="23" t="str">
        <f t="shared" si="10"/>
        <v/>
      </c>
      <c r="T31" s="34" t="str">
        <f t="shared" si="11"/>
        <v/>
      </c>
      <c r="U31" s="25" t="str">
        <f t="shared" si="12"/>
        <v/>
      </c>
      <c r="V31" s="22"/>
      <c r="W31" s="22"/>
      <c r="X31" s="18"/>
      <c r="Y31" s="26"/>
    </row>
    <row r="32" ht="15.75" customHeight="1">
      <c r="A32" s="16">
        <v>46351.0</v>
      </c>
      <c r="B32" s="13" t="str">
        <f t="shared" si="2"/>
        <v>水</v>
      </c>
      <c r="C32" s="18"/>
      <c r="D32" s="15">
        <f t="shared" si="3"/>
        <v>0</v>
      </c>
      <c r="E32" s="18"/>
      <c r="F32" s="18"/>
      <c r="G32" s="15" t="str">
        <f t="shared" si="4"/>
        <v/>
      </c>
      <c r="H32" s="15" t="str">
        <f t="shared" si="5"/>
        <v/>
      </c>
      <c r="I32" s="17" t="str">
        <f t="shared" ref="I32:J32" si="39">IF(G32="","",IFERROR(G32/C32,""))</f>
        <v/>
      </c>
      <c r="J32" s="17" t="str">
        <f t="shared" si="39"/>
        <v/>
      </c>
      <c r="K32" s="15" t="str">
        <f t="shared" si="7"/>
        <v/>
      </c>
      <c r="L32" s="20" t="str">
        <f t="shared" si="8"/>
        <v>—</v>
      </c>
      <c r="M32" s="22"/>
      <c r="N32" s="22"/>
      <c r="O32" s="22"/>
      <c r="P32" s="22"/>
      <c r="Q32" s="22"/>
      <c r="R32" s="17" t="str">
        <f t="shared" si="9"/>
        <v/>
      </c>
      <c r="S32" s="15" t="str">
        <f t="shared" si="10"/>
        <v/>
      </c>
      <c r="T32" s="24" t="str">
        <f t="shared" si="11"/>
        <v/>
      </c>
      <c r="U32" s="17" t="str">
        <f t="shared" si="12"/>
        <v/>
      </c>
      <c r="V32" s="22"/>
      <c r="W32" s="22"/>
      <c r="X32" s="18"/>
      <c r="Y32" s="26"/>
    </row>
    <row r="33" ht="15.75" customHeight="1">
      <c r="A33" s="32">
        <v>46352.0</v>
      </c>
      <c r="B33" s="21" t="str">
        <f t="shared" si="2"/>
        <v>木</v>
      </c>
      <c r="C33" s="18"/>
      <c r="D33" s="23">
        <f t="shared" si="3"/>
        <v>0</v>
      </c>
      <c r="E33" s="18"/>
      <c r="F33" s="18"/>
      <c r="G33" s="23" t="str">
        <f t="shared" si="4"/>
        <v/>
      </c>
      <c r="H33" s="23" t="str">
        <f t="shared" si="5"/>
        <v/>
      </c>
      <c r="I33" s="25" t="str">
        <f t="shared" ref="I33:J33" si="40">IF(G33="","",IFERROR(G33/C33,""))</f>
        <v/>
      </c>
      <c r="J33" s="25" t="str">
        <f t="shared" si="40"/>
        <v/>
      </c>
      <c r="K33" s="23" t="str">
        <f t="shared" si="7"/>
        <v/>
      </c>
      <c r="L33" s="33" t="str">
        <f t="shared" si="8"/>
        <v>—</v>
      </c>
      <c r="M33" s="22"/>
      <c r="N33" s="22"/>
      <c r="O33" s="22"/>
      <c r="P33" s="22"/>
      <c r="Q33" s="22"/>
      <c r="R33" s="25" t="str">
        <f t="shared" si="9"/>
        <v/>
      </c>
      <c r="S33" s="23" t="str">
        <f t="shared" si="10"/>
        <v/>
      </c>
      <c r="T33" s="34" t="str">
        <f t="shared" si="11"/>
        <v/>
      </c>
      <c r="U33" s="25" t="str">
        <f t="shared" si="12"/>
        <v/>
      </c>
      <c r="V33" s="22"/>
      <c r="W33" s="22"/>
      <c r="X33" s="18"/>
      <c r="Y33" s="26"/>
    </row>
    <row r="34" ht="15.75" customHeight="1">
      <c r="A34" s="16">
        <v>46353.0</v>
      </c>
      <c r="B34" s="13" t="str">
        <f t="shared" si="2"/>
        <v>金</v>
      </c>
      <c r="C34" s="18"/>
      <c r="D34" s="15">
        <f t="shared" si="3"/>
        <v>0</v>
      </c>
      <c r="E34" s="18"/>
      <c r="F34" s="18"/>
      <c r="G34" s="15" t="str">
        <f t="shared" si="4"/>
        <v/>
      </c>
      <c r="H34" s="15" t="str">
        <f t="shared" si="5"/>
        <v/>
      </c>
      <c r="I34" s="17" t="str">
        <f t="shared" ref="I34:J34" si="41">IF(G34="","",IFERROR(G34/C34,""))</f>
        <v/>
      </c>
      <c r="J34" s="17" t="str">
        <f t="shared" si="41"/>
        <v/>
      </c>
      <c r="K34" s="15" t="str">
        <f t="shared" si="7"/>
        <v/>
      </c>
      <c r="L34" s="20" t="str">
        <f t="shared" si="8"/>
        <v>—</v>
      </c>
      <c r="M34" s="22"/>
      <c r="N34" s="22"/>
      <c r="O34" s="22"/>
      <c r="P34" s="22"/>
      <c r="Q34" s="22"/>
      <c r="R34" s="17" t="str">
        <f t="shared" si="9"/>
        <v/>
      </c>
      <c r="S34" s="15" t="str">
        <f t="shared" si="10"/>
        <v/>
      </c>
      <c r="T34" s="24" t="str">
        <f t="shared" si="11"/>
        <v/>
      </c>
      <c r="U34" s="17" t="str">
        <f t="shared" si="12"/>
        <v/>
      </c>
      <c r="V34" s="22"/>
      <c r="W34" s="22"/>
      <c r="X34" s="18"/>
      <c r="Y34" s="26"/>
    </row>
    <row r="35" ht="15.75" customHeight="1">
      <c r="A35" s="32">
        <v>46354.0</v>
      </c>
      <c r="B35" s="21" t="str">
        <f t="shared" si="2"/>
        <v>土</v>
      </c>
      <c r="C35" s="18"/>
      <c r="D35" s="23">
        <f t="shared" si="3"/>
        <v>0</v>
      </c>
      <c r="E35" s="18"/>
      <c r="F35" s="18"/>
      <c r="G35" s="23" t="str">
        <f t="shared" si="4"/>
        <v/>
      </c>
      <c r="H35" s="23" t="str">
        <f t="shared" si="5"/>
        <v/>
      </c>
      <c r="I35" s="25" t="str">
        <f t="shared" ref="I35:J35" si="42">IF(G35="","",IFERROR(G35/C35,""))</f>
        <v/>
      </c>
      <c r="J35" s="25" t="str">
        <f t="shared" si="42"/>
        <v/>
      </c>
      <c r="K35" s="23" t="str">
        <f t="shared" si="7"/>
        <v/>
      </c>
      <c r="L35" s="33" t="str">
        <f t="shared" si="8"/>
        <v>—</v>
      </c>
      <c r="M35" s="22"/>
      <c r="N35" s="22"/>
      <c r="O35" s="22"/>
      <c r="P35" s="22"/>
      <c r="Q35" s="22"/>
      <c r="R35" s="25" t="str">
        <f t="shared" si="9"/>
        <v/>
      </c>
      <c r="S35" s="23" t="str">
        <f t="shared" si="10"/>
        <v/>
      </c>
      <c r="T35" s="34" t="str">
        <f t="shared" si="11"/>
        <v/>
      </c>
      <c r="U35" s="25" t="str">
        <f t="shared" si="12"/>
        <v/>
      </c>
      <c r="V35" s="22"/>
      <c r="W35" s="22"/>
      <c r="X35" s="18"/>
      <c r="Y35" s="26"/>
    </row>
    <row r="36" ht="15.75" customHeight="1">
      <c r="A36" s="16">
        <v>46355.0</v>
      </c>
      <c r="B36" s="13" t="str">
        <f t="shared" si="2"/>
        <v>日</v>
      </c>
      <c r="C36" s="18"/>
      <c r="D36" s="15">
        <f t="shared" si="3"/>
        <v>0</v>
      </c>
      <c r="E36" s="18"/>
      <c r="F36" s="18"/>
      <c r="G36" s="15" t="str">
        <f t="shared" si="4"/>
        <v/>
      </c>
      <c r="H36" s="15" t="str">
        <f t="shared" si="5"/>
        <v/>
      </c>
      <c r="I36" s="17" t="str">
        <f t="shared" ref="I36:J36" si="43">IF(G36="","",IFERROR(G36/C36,""))</f>
        <v/>
      </c>
      <c r="J36" s="17" t="str">
        <f t="shared" si="43"/>
        <v/>
      </c>
      <c r="K36" s="15" t="str">
        <f t="shared" si="7"/>
        <v/>
      </c>
      <c r="L36" s="20" t="str">
        <f t="shared" si="8"/>
        <v>—</v>
      </c>
      <c r="M36" s="22"/>
      <c r="N36" s="22"/>
      <c r="O36" s="22"/>
      <c r="P36" s="22"/>
      <c r="Q36" s="22"/>
      <c r="R36" s="17" t="str">
        <f t="shared" si="9"/>
        <v/>
      </c>
      <c r="S36" s="15" t="str">
        <f t="shared" si="10"/>
        <v/>
      </c>
      <c r="T36" s="24" t="str">
        <f t="shared" si="11"/>
        <v/>
      </c>
      <c r="U36" s="17" t="str">
        <f t="shared" si="12"/>
        <v/>
      </c>
      <c r="V36" s="22"/>
      <c r="W36" s="22"/>
      <c r="X36" s="18"/>
      <c r="Y36" s="26"/>
    </row>
    <row r="37" ht="15.75" customHeight="1">
      <c r="A37" s="32">
        <v>46356.0</v>
      </c>
      <c r="B37" s="21" t="str">
        <f t="shared" si="2"/>
        <v>月</v>
      </c>
      <c r="C37" s="18"/>
      <c r="D37" s="23">
        <f t="shared" si="3"/>
        <v>0</v>
      </c>
      <c r="E37" s="18"/>
      <c r="F37" s="18"/>
      <c r="G37" s="23" t="str">
        <f t="shared" si="4"/>
        <v/>
      </c>
      <c r="H37" s="23" t="str">
        <f t="shared" si="5"/>
        <v/>
      </c>
      <c r="I37" s="25" t="str">
        <f t="shared" ref="I37:J37" si="44">IF(G37="","",IFERROR(G37/C37,""))</f>
        <v/>
      </c>
      <c r="J37" s="25" t="str">
        <f t="shared" si="44"/>
        <v/>
      </c>
      <c r="K37" s="23" t="str">
        <f t="shared" si="7"/>
        <v/>
      </c>
      <c r="L37" s="33" t="str">
        <f t="shared" si="8"/>
        <v>—</v>
      </c>
      <c r="M37" s="22"/>
      <c r="N37" s="22"/>
      <c r="O37" s="22"/>
      <c r="P37" s="22"/>
      <c r="Q37" s="22"/>
      <c r="R37" s="25" t="str">
        <f t="shared" si="9"/>
        <v/>
      </c>
      <c r="S37" s="23" t="str">
        <f t="shared" si="10"/>
        <v/>
      </c>
      <c r="T37" s="34" t="str">
        <f t="shared" si="11"/>
        <v/>
      </c>
      <c r="U37" s="25" t="str">
        <f t="shared" si="12"/>
        <v/>
      </c>
      <c r="V37" s="22"/>
      <c r="W37" s="22"/>
      <c r="X37" s="18"/>
      <c r="Y37" s="26"/>
    </row>
    <row r="38" ht="15.75" customHeight="1">
      <c r="A38" s="45" t="s">
        <v>92</v>
      </c>
      <c r="B38" s="36"/>
      <c r="C38" s="37">
        <f>SUM(C8:C37)</f>
        <v>0</v>
      </c>
      <c r="D38" s="37">
        <f>C38</f>
        <v>0</v>
      </c>
      <c r="E38" s="37">
        <f t="shared" ref="E38:G38" si="45">SUM(E8:E37)</f>
        <v>0</v>
      </c>
      <c r="F38" s="37">
        <f t="shared" si="45"/>
        <v>0</v>
      </c>
      <c r="G38" s="37">
        <f t="shared" si="45"/>
        <v>0</v>
      </c>
      <c r="H38" s="37">
        <f>G38</f>
        <v>0</v>
      </c>
      <c r="I38" s="39" t="str">
        <f>IFERROR(G38/C38,"")</f>
        <v/>
      </c>
      <c r="J38" s="39" t="str">
        <f>IFERROR(G38/C38,"")</f>
        <v/>
      </c>
      <c r="K38" s="37">
        <f>G38-C38</f>
        <v>0</v>
      </c>
      <c r="L38" s="46"/>
      <c r="M38" s="41">
        <f t="shared" ref="M38:Q38" si="46">SUM(M8:M37)</f>
        <v>0</v>
      </c>
      <c r="N38" s="41">
        <f t="shared" si="46"/>
        <v>0</v>
      </c>
      <c r="O38" s="41">
        <f t="shared" si="46"/>
        <v>0</v>
      </c>
      <c r="P38" s="41">
        <f t="shared" si="46"/>
        <v>0</v>
      </c>
      <c r="Q38" s="41">
        <f t="shared" si="46"/>
        <v>0</v>
      </c>
      <c r="R38" s="39" t="str">
        <f t="shared" si="9"/>
        <v/>
      </c>
      <c r="S38" s="37" t="str">
        <f t="shared" si="10"/>
        <v/>
      </c>
      <c r="T38" s="47" t="str">
        <f t="shared" si="11"/>
        <v/>
      </c>
      <c r="U38" s="39" t="str">
        <f t="shared" si="12"/>
        <v/>
      </c>
      <c r="V38" s="41">
        <f>SUM(V8:V37)</f>
        <v>0</v>
      </c>
      <c r="W38" s="41" t="str">
        <f>IFERROR(LOOKUP(9.99E+307,W8:W37),"")</f>
        <v/>
      </c>
      <c r="X38" s="37">
        <f>SUM(X8:X37)</f>
        <v>0</v>
      </c>
      <c r="Y38" s="48" t="s">
        <v>93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7">
    <cfRule type="expression" dxfId="0" priority="1">
      <formula>AND($G8&lt;&gt;"",$K8&gt;=0)</formula>
    </cfRule>
  </conditionalFormatting>
  <conditionalFormatting sqref="K8:K37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125</v>
      </c>
      <c r="H3" s="6"/>
      <c r="I3" s="5" t="s">
        <v>7</v>
      </c>
      <c r="J3" s="6"/>
      <c r="K3" s="5" t="s">
        <v>8</v>
      </c>
      <c r="L3" s="6"/>
    </row>
    <row r="4">
      <c r="A4" s="7">
        <f>IF('設定'!$B$16="",SUM(C8:C38),'設定'!$B$16)</f>
        <v>9000000</v>
      </c>
      <c r="B4" s="6"/>
      <c r="C4" s="8">
        <f>SUM(G8:G38)</f>
        <v>0</v>
      </c>
      <c r="D4" s="6"/>
      <c r="E4" s="9">
        <f>IFERROR(C4/A4,0)</f>
        <v>0</v>
      </c>
      <c r="F4" s="6"/>
      <c r="G4" s="10">
        <f>COUNTIF(G8:G38,"&gt;0")</f>
        <v>0</v>
      </c>
      <c r="H4" s="6"/>
      <c r="I4" s="8">
        <f>A4-C4</f>
        <v>9000000</v>
      </c>
      <c r="J4" s="6"/>
      <c r="K4" s="8">
        <f>IF((31-G4)&gt;0,(A4-C4)/(31-G4),0)</f>
        <v>290322.5806</v>
      </c>
      <c r="L4" s="6"/>
    </row>
    <row r="5">
      <c r="A5" s="5" t="s">
        <v>16</v>
      </c>
      <c r="B5" s="6"/>
      <c r="C5" s="5" t="s">
        <v>17</v>
      </c>
      <c r="D5" s="6"/>
      <c r="E5" s="5" t="s">
        <v>18</v>
      </c>
      <c r="F5" s="6"/>
      <c r="G5" s="5" t="s">
        <v>19</v>
      </c>
      <c r="H5" s="6"/>
      <c r="I5" s="5" t="s">
        <v>20</v>
      </c>
      <c r="J5" s="6"/>
      <c r="K5" s="5" t="s">
        <v>21</v>
      </c>
      <c r="L5" s="6"/>
    </row>
    <row r="6">
      <c r="A6" s="8">
        <f>SUM(C8:C38)</f>
        <v>0</v>
      </c>
      <c r="B6" s="6"/>
      <c r="C6" s="8">
        <f>IFERROR(C4/G4*31,0)</f>
        <v>0</v>
      </c>
      <c r="D6" s="6"/>
      <c r="E6" s="9">
        <f>IFERROR(M39/O39,0)</f>
        <v>0</v>
      </c>
      <c r="F6" s="6"/>
      <c r="G6" s="8">
        <f>IFERROR(G39/M39,0)</f>
        <v>0</v>
      </c>
      <c r="H6" s="6"/>
      <c r="I6" s="12">
        <f>IFERROR(N39/M39,0)</f>
        <v>0</v>
      </c>
      <c r="J6" s="6"/>
      <c r="K6" s="9">
        <f>IFERROR(P39/O39,0)</f>
        <v>0</v>
      </c>
      <c r="L6" s="6"/>
    </row>
    <row r="7" ht="30.0" customHeight="1">
      <c r="A7" s="11" t="s">
        <v>32</v>
      </c>
      <c r="B7" s="11" t="s">
        <v>33</v>
      </c>
      <c r="C7" s="11" t="s">
        <v>34</v>
      </c>
      <c r="D7" s="11" t="s">
        <v>28</v>
      </c>
      <c r="E7" s="11" t="s">
        <v>35</v>
      </c>
      <c r="F7" s="11" t="s">
        <v>36</v>
      </c>
      <c r="G7" s="11" t="s">
        <v>37</v>
      </c>
      <c r="H7" s="11" t="s">
        <v>29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26</v>
      </c>
      <c r="N7" s="11" t="s">
        <v>42</v>
      </c>
      <c r="O7" s="11" t="s">
        <v>27</v>
      </c>
      <c r="P7" s="11" t="s">
        <v>43</v>
      </c>
      <c r="Q7" s="11" t="s">
        <v>44</v>
      </c>
      <c r="R7" s="11" t="s">
        <v>18</v>
      </c>
      <c r="S7" s="11" t="s">
        <v>19</v>
      </c>
      <c r="T7" s="11" t="s">
        <v>20</v>
      </c>
      <c r="U7" s="11" t="s">
        <v>21</v>
      </c>
      <c r="V7" s="11" t="s">
        <v>45</v>
      </c>
      <c r="W7" s="11" t="s">
        <v>46</v>
      </c>
      <c r="X7" s="11" t="s">
        <v>47</v>
      </c>
      <c r="Y7" s="11" t="s">
        <v>48</v>
      </c>
      <c r="AA7" s="14" t="s">
        <v>49</v>
      </c>
      <c r="AB7" s="14" t="s">
        <v>50</v>
      </c>
      <c r="AC7" s="14" t="s">
        <v>51</v>
      </c>
      <c r="AD7" s="14" t="s">
        <v>18</v>
      </c>
      <c r="AE7" s="14" t="s">
        <v>19</v>
      </c>
    </row>
    <row r="8">
      <c r="A8" s="16">
        <v>46357.0</v>
      </c>
      <c r="B8" s="13" t="str">
        <f t="shared" ref="B8:B38" si="2">MID("日月火水木金土",WEEKDAY(A8),1)</f>
        <v>火</v>
      </c>
      <c r="C8" s="18"/>
      <c r="D8" s="15">
        <f t="shared" ref="D8:D38" si="3">SUM($C$8:C8)</f>
        <v>0</v>
      </c>
      <c r="E8" s="18"/>
      <c r="F8" s="18"/>
      <c r="G8" s="15" t="str">
        <f t="shared" ref="G8:G38" si="4">IF(COUNT(E8:F8)=0,"",SUM(E8:F8))</f>
        <v/>
      </c>
      <c r="H8" s="15" t="str">
        <f t="shared" ref="H8:H38" si="5">IF(G8="","",SUM($G$8:G8))</f>
        <v/>
      </c>
      <c r="I8" s="17" t="str">
        <f t="shared" ref="I8:J8" si="1">IF(G8="","",IFERROR(G8/C8,""))</f>
        <v/>
      </c>
      <c r="J8" s="17" t="str">
        <f t="shared" si="1"/>
        <v/>
      </c>
      <c r="K8" s="15" t="str">
        <f t="shared" ref="K8:K38" si="7">IF(H8="","",IF(D8=0,"",H8-D8))</f>
        <v/>
      </c>
      <c r="L8" s="20" t="str">
        <f t="shared" ref="L8:L38" si="8">IF(G8="","—",IF(D8=0,"予算未入力",IF(H8&gt;=D8,"◎ ペース内","▲ 遅れ")))</f>
        <v>—</v>
      </c>
      <c r="M8" s="22"/>
      <c r="N8" s="22"/>
      <c r="O8" s="22"/>
      <c r="P8" s="22"/>
      <c r="Q8" s="22"/>
      <c r="R8" s="17" t="str">
        <f t="shared" ref="R8:R39" si="9">IFERROR(M8/O8,"")</f>
        <v/>
      </c>
      <c r="S8" s="15" t="str">
        <f t="shared" ref="S8:S39" si="10">IFERROR(G8/M8,"")</f>
        <v/>
      </c>
      <c r="T8" s="24" t="str">
        <f t="shared" ref="T8:T39" si="11">IFERROR(N8/M8,"")</f>
        <v/>
      </c>
      <c r="U8" s="17" t="str">
        <f t="shared" ref="U8:U39" si="12">IFERROR(P8/O8,"")</f>
        <v/>
      </c>
      <c r="V8" s="22"/>
      <c r="W8" s="22"/>
      <c r="X8" s="18"/>
      <c r="Y8" s="26"/>
      <c r="AA8" s="27" t="s">
        <v>22</v>
      </c>
      <c r="AB8" s="29">
        <f t="shared" ref="AB8:AB14" si="13">IFERROR(AVERAGEIFS($G$8:$G$38,$B$8:$B$38,AA8,$G$8:$G$38,"&gt;0"),0)</f>
        <v>0</v>
      </c>
      <c r="AC8" s="30">
        <f t="shared" ref="AC8:AC14" si="14">COUNTIFS($B$8:$B$38,AA8,$G$8:$G$38,"&gt;0")</f>
        <v>0</v>
      </c>
      <c r="AD8" s="31">
        <f t="shared" ref="AD8:AD14" si="15">IFERROR(SUMIF($B$8:$B$38,AA8,$M$8:$M$38)/SUMIF($B$8:$B$38,AA8,$O$8:$O$38),0)</f>
        <v>0</v>
      </c>
      <c r="AE8" s="29">
        <f t="shared" ref="AE8:AE14" si="16">IFERROR(SUMIF($B$8:$B$38,AA8,$G$8:$G$38)/SUMIF($B$8:$B$38,AA8,$M$8:$M$38),0)</f>
        <v>0</v>
      </c>
    </row>
    <row r="9">
      <c r="A9" s="32">
        <v>46358.0</v>
      </c>
      <c r="B9" s="21" t="str">
        <f t="shared" si="2"/>
        <v>水</v>
      </c>
      <c r="C9" s="18"/>
      <c r="D9" s="23">
        <f t="shared" si="3"/>
        <v>0</v>
      </c>
      <c r="E9" s="18"/>
      <c r="F9" s="18"/>
      <c r="G9" s="23" t="str">
        <f t="shared" si="4"/>
        <v/>
      </c>
      <c r="H9" s="23" t="str">
        <f t="shared" si="5"/>
        <v/>
      </c>
      <c r="I9" s="25" t="str">
        <f t="shared" ref="I9:J9" si="6">IF(G9="","",IFERROR(G9/C9,""))</f>
        <v/>
      </c>
      <c r="J9" s="25" t="str">
        <f t="shared" si="6"/>
        <v/>
      </c>
      <c r="K9" s="23" t="str">
        <f t="shared" si="7"/>
        <v/>
      </c>
      <c r="L9" s="33" t="str">
        <f t="shared" si="8"/>
        <v>—</v>
      </c>
      <c r="M9" s="22"/>
      <c r="N9" s="22"/>
      <c r="O9" s="22"/>
      <c r="P9" s="22"/>
      <c r="Q9" s="22"/>
      <c r="R9" s="25" t="str">
        <f t="shared" si="9"/>
        <v/>
      </c>
      <c r="S9" s="23" t="str">
        <f t="shared" si="10"/>
        <v/>
      </c>
      <c r="T9" s="34" t="str">
        <f t="shared" si="11"/>
        <v/>
      </c>
      <c r="U9" s="25" t="str">
        <f t="shared" si="12"/>
        <v/>
      </c>
      <c r="V9" s="22"/>
      <c r="W9" s="22"/>
      <c r="X9" s="18"/>
      <c r="Y9" s="26"/>
      <c r="AA9" s="27" t="s">
        <v>59</v>
      </c>
      <c r="AB9" s="29">
        <f t="shared" si="13"/>
        <v>0</v>
      </c>
      <c r="AC9" s="30">
        <f t="shared" si="14"/>
        <v>0</v>
      </c>
      <c r="AD9" s="31">
        <f t="shared" si="15"/>
        <v>0</v>
      </c>
      <c r="AE9" s="29">
        <f t="shared" si="16"/>
        <v>0</v>
      </c>
    </row>
    <row r="10">
      <c r="A10" s="16">
        <v>46359.0</v>
      </c>
      <c r="B10" s="13" t="str">
        <f t="shared" si="2"/>
        <v>木</v>
      </c>
      <c r="C10" s="18"/>
      <c r="D10" s="15">
        <f t="shared" si="3"/>
        <v>0</v>
      </c>
      <c r="E10" s="18"/>
      <c r="F10" s="18"/>
      <c r="G10" s="15" t="str">
        <f t="shared" si="4"/>
        <v/>
      </c>
      <c r="H10" s="15" t="str">
        <f t="shared" si="5"/>
        <v/>
      </c>
      <c r="I10" s="17" t="str">
        <f t="shared" ref="I10:J10" si="17">IF(G10="","",IFERROR(G10/C10,""))</f>
        <v/>
      </c>
      <c r="J10" s="17" t="str">
        <f t="shared" si="17"/>
        <v/>
      </c>
      <c r="K10" s="15" t="str">
        <f t="shared" si="7"/>
        <v/>
      </c>
      <c r="L10" s="20" t="str">
        <f t="shared" si="8"/>
        <v>—</v>
      </c>
      <c r="M10" s="22"/>
      <c r="N10" s="22"/>
      <c r="O10" s="22"/>
      <c r="P10" s="22"/>
      <c r="Q10" s="22"/>
      <c r="R10" s="17" t="str">
        <f t="shared" si="9"/>
        <v/>
      </c>
      <c r="S10" s="15" t="str">
        <f t="shared" si="10"/>
        <v/>
      </c>
      <c r="T10" s="24" t="str">
        <f t="shared" si="11"/>
        <v/>
      </c>
      <c r="U10" s="17" t="str">
        <f t="shared" si="12"/>
        <v/>
      </c>
      <c r="V10" s="22"/>
      <c r="W10" s="22"/>
      <c r="X10" s="18"/>
      <c r="Y10" s="26"/>
      <c r="AA10" s="27" t="s">
        <v>61</v>
      </c>
      <c r="AB10" s="29">
        <f t="shared" si="13"/>
        <v>0</v>
      </c>
      <c r="AC10" s="30">
        <f t="shared" si="14"/>
        <v>0</v>
      </c>
      <c r="AD10" s="31">
        <f t="shared" si="15"/>
        <v>0</v>
      </c>
      <c r="AE10" s="29">
        <f t="shared" si="16"/>
        <v>0</v>
      </c>
    </row>
    <row r="11">
      <c r="A11" s="32">
        <v>46360.0</v>
      </c>
      <c r="B11" s="21" t="str">
        <f t="shared" si="2"/>
        <v>金</v>
      </c>
      <c r="C11" s="18"/>
      <c r="D11" s="23">
        <f t="shared" si="3"/>
        <v>0</v>
      </c>
      <c r="E11" s="18"/>
      <c r="F11" s="18"/>
      <c r="G11" s="23" t="str">
        <f t="shared" si="4"/>
        <v/>
      </c>
      <c r="H11" s="23" t="str">
        <f t="shared" si="5"/>
        <v/>
      </c>
      <c r="I11" s="25" t="str">
        <f t="shared" ref="I11:J11" si="18">IF(G11="","",IFERROR(G11/C11,""))</f>
        <v/>
      </c>
      <c r="J11" s="25" t="str">
        <f t="shared" si="18"/>
        <v/>
      </c>
      <c r="K11" s="23" t="str">
        <f t="shared" si="7"/>
        <v/>
      </c>
      <c r="L11" s="33" t="str">
        <f t="shared" si="8"/>
        <v>—</v>
      </c>
      <c r="M11" s="22"/>
      <c r="N11" s="22"/>
      <c r="O11" s="22"/>
      <c r="P11" s="22"/>
      <c r="Q11" s="22"/>
      <c r="R11" s="25" t="str">
        <f t="shared" si="9"/>
        <v/>
      </c>
      <c r="S11" s="23" t="str">
        <f t="shared" si="10"/>
        <v/>
      </c>
      <c r="T11" s="34" t="str">
        <f t="shared" si="11"/>
        <v/>
      </c>
      <c r="U11" s="25" t="str">
        <f t="shared" si="12"/>
        <v/>
      </c>
      <c r="V11" s="22"/>
      <c r="W11" s="22"/>
      <c r="X11" s="18"/>
      <c r="Y11" s="26"/>
      <c r="AA11" s="27" t="s">
        <v>63</v>
      </c>
      <c r="AB11" s="29">
        <f t="shared" si="13"/>
        <v>0</v>
      </c>
      <c r="AC11" s="30">
        <f t="shared" si="14"/>
        <v>0</v>
      </c>
      <c r="AD11" s="31">
        <f t="shared" si="15"/>
        <v>0</v>
      </c>
      <c r="AE11" s="29">
        <f t="shared" si="16"/>
        <v>0</v>
      </c>
    </row>
    <row r="12">
      <c r="A12" s="16">
        <v>46361.0</v>
      </c>
      <c r="B12" s="13" t="str">
        <f t="shared" si="2"/>
        <v>土</v>
      </c>
      <c r="C12" s="18"/>
      <c r="D12" s="15">
        <f t="shared" si="3"/>
        <v>0</v>
      </c>
      <c r="E12" s="18"/>
      <c r="F12" s="18"/>
      <c r="G12" s="15" t="str">
        <f t="shared" si="4"/>
        <v/>
      </c>
      <c r="H12" s="15" t="str">
        <f t="shared" si="5"/>
        <v/>
      </c>
      <c r="I12" s="17" t="str">
        <f t="shared" ref="I12:J12" si="19">IF(G12="","",IFERROR(G12/C12,""))</f>
        <v/>
      </c>
      <c r="J12" s="17" t="str">
        <f t="shared" si="19"/>
        <v/>
      </c>
      <c r="K12" s="15" t="str">
        <f t="shared" si="7"/>
        <v/>
      </c>
      <c r="L12" s="20" t="str">
        <f t="shared" si="8"/>
        <v>—</v>
      </c>
      <c r="M12" s="22"/>
      <c r="N12" s="22"/>
      <c r="O12" s="22"/>
      <c r="P12" s="22"/>
      <c r="Q12" s="22"/>
      <c r="R12" s="17" t="str">
        <f t="shared" si="9"/>
        <v/>
      </c>
      <c r="S12" s="15" t="str">
        <f t="shared" si="10"/>
        <v/>
      </c>
      <c r="T12" s="24" t="str">
        <f t="shared" si="11"/>
        <v/>
      </c>
      <c r="U12" s="17" t="str">
        <f t="shared" si="12"/>
        <v/>
      </c>
      <c r="V12" s="22"/>
      <c r="W12" s="22"/>
      <c r="X12" s="18"/>
      <c r="Y12" s="26"/>
      <c r="AA12" s="27" t="s">
        <v>65</v>
      </c>
      <c r="AB12" s="29">
        <f t="shared" si="13"/>
        <v>0</v>
      </c>
      <c r="AC12" s="30">
        <f t="shared" si="14"/>
        <v>0</v>
      </c>
      <c r="AD12" s="31">
        <f t="shared" si="15"/>
        <v>0</v>
      </c>
      <c r="AE12" s="29">
        <f t="shared" si="16"/>
        <v>0</v>
      </c>
    </row>
    <row r="13">
      <c r="A13" s="32">
        <v>46362.0</v>
      </c>
      <c r="B13" s="21" t="str">
        <f t="shared" si="2"/>
        <v>日</v>
      </c>
      <c r="C13" s="18"/>
      <c r="D13" s="23">
        <f t="shared" si="3"/>
        <v>0</v>
      </c>
      <c r="E13" s="18"/>
      <c r="F13" s="18"/>
      <c r="G13" s="23" t="str">
        <f t="shared" si="4"/>
        <v/>
      </c>
      <c r="H13" s="23" t="str">
        <f t="shared" si="5"/>
        <v/>
      </c>
      <c r="I13" s="25" t="str">
        <f t="shared" ref="I13:J13" si="20">IF(G13="","",IFERROR(G13/C13,""))</f>
        <v/>
      </c>
      <c r="J13" s="25" t="str">
        <f t="shared" si="20"/>
        <v/>
      </c>
      <c r="K13" s="23" t="str">
        <f t="shared" si="7"/>
        <v/>
      </c>
      <c r="L13" s="33" t="str">
        <f t="shared" si="8"/>
        <v>—</v>
      </c>
      <c r="M13" s="22"/>
      <c r="N13" s="22"/>
      <c r="O13" s="22"/>
      <c r="P13" s="22"/>
      <c r="Q13" s="22"/>
      <c r="R13" s="25" t="str">
        <f t="shared" si="9"/>
        <v/>
      </c>
      <c r="S13" s="23" t="str">
        <f t="shared" si="10"/>
        <v/>
      </c>
      <c r="T13" s="34" t="str">
        <f t="shared" si="11"/>
        <v/>
      </c>
      <c r="U13" s="25" t="str">
        <f t="shared" si="12"/>
        <v/>
      </c>
      <c r="V13" s="22"/>
      <c r="W13" s="22"/>
      <c r="X13" s="18"/>
      <c r="Y13" s="26"/>
      <c r="AA13" s="27" t="s">
        <v>67</v>
      </c>
      <c r="AB13" s="29">
        <f t="shared" si="13"/>
        <v>0</v>
      </c>
      <c r="AC13" s="30">
        <f t="shared" si="14"/>
        <v>0</v>
      </c>
      <c r="AD13" s="31">
        <f t="shared" si="15"/>
        <v>0</v>
      </c>
      <c r="AE13" s="29">
        <f t="shared" si="16"/>
        <v>0</v>
      </c>
    </row>
    <row r="14">
      <c r="A14" s="16">
        <v>46363.0</v>
      </c>
      <c r="B14" s="13" t="str">
        <f t="shared" si="2"/>
        <v>月</v>
      </c>
      <c r="C14" s="18"/>
      <c r="D14" s="15">
        <f t="shared" si="3"/>
        <v>0</v>
      </c>
      <c r="E14" s="18"/>
      <c r="F14" s="18"/>
      <c r="G14" s="15" t="str">
        <f t="shared" si="4"/>
        <v/>
      </c>
      <c r="H14" s="15" t="str">
        <f t="shared" si="5"/>
        <v/>
      </c>
      <c r="I14" s="17" t="str">
        <f t="shared" ref="I14:J14" si="21">IF(G14="","",IFERROR(G14/C14,""))</f>
        <v/>
      </c>
      <c r="J14" s="17" t="str">
        <f t="shared" si="21"/>
        <v/>
      </c>
      <c r="K14" s="15" t="str">
        <f t="shared" si="7"/>
        <v/>
      </c>
      <c r="L14" s="20" t="str">
        <f t="shared" si="8"/>
        <v>—</v>
      </c>
      <c r="M14" s="22"/>
      <c r="N14" s="22"/>
      <c r="O14" s="22"/>
      <c r="P14" s="22"/>
      <c r="Q14" s="22"/>
      <c r="R14" s="17" t="str">
        <f t="shared" si="9"/>
        <v/>
      </c>
      <c r="S14" s="15" t="str">
        <f t="shared" si="10"/>
        <v/>
      </c>
      <c r="T14" s="24" t="str">
        <f t="shared" si="11"/>
        <v/>
      </c>
      <c r="U14" s="17" t="str">
        <f t="shared" si="12"/>
        <v/>
      </c>
      <c r="V14" s="22"/>
      <c r="W14" s="22"/>
      <c r="X14" s="18"/>
      <c r="Y14" s="26"/>
      <c r="AA14" s="27" t="s">
        <v>69</v>
      </c>
      <c r="AB14" s="29">
        <f t="shared" si="13"/>
        <v>0</v>
      </c>
      <c r="AC14" s="30">
        <f t="shared" si="14"/>
        <v>0</v>
      </c>
      <c r="AD14" s="31">
        <f t="shared" si="15"/>
        <v>0</v>
      </c>
      <c r="AE14" s="29">
        <f t="shared" si="16"/>
        <v>0</v>
      </c>
    </row>
    <row r="15">
      <c r="A15" s="32">
        <v>46364.0</v>
      </c>
      <c r="B15" s="21" t="str">
        <f t="shared" si="2"/>
        <v>火</v>
      </c>
      <c r="C15" s="18"/>
      <c r="D15" s="23">
        <f t="shared" si="3"/>
        <v>0</v>
      </c>
      <c r="E15" s="18"/>
      <c r="F15" s="18"/>
      <c r="G15" s="23" t="str">
        <f t="shared" si="4"/>
        <v/>
      </c>
      <c r="H15" s="23" t="str">
        <f t="shared" si="5"/>
        <v/>
      </c>
      <c r="I15" s="25" t="str">
        <f t="shared" ref="I15:J15" si="22">IF(G15="","",IFERROR(G15/C15,""))</f>
        <v/>
      </c>
      <c r="J15" s="25" t="str">
        <f t="shared" si="22"/>
        <v/>
      </c>
      <c r="K15" s="23" t="str">
        <f t="shared" si="7"/>
        <v/>
      </c>
      <c r="L15" s="33" t="str">
        <f t="shared" si="8"/>
        <v>—</v>
      </c>
      <c r="M15" s="22"/>
      <c r="N15" s="22"/>
      <c r="O15" s="22"/>
      <c r="P15" s="22"/>
      <c r="Q15" s="22"/>
      <c r="R15" s="25" t="str">
        <f t="shared" si="9"/>
        <v/>
      </c>
      <c r="S15" s="23" t="str">
        <f t="shared" si="10"/>
        <v/>
      </c>
      <c r="T15" s="34" t="str">
        <f t="shared" si="11"/>
        <v/>
      </c>
      <c r="U15" s="25" t="str">
        <f t="shared" si="12"/>
        <v/>
      </c>
      <c r="V15" s="22"/>
      <c r="W15" s="22"/>
      <c r="X15" s="18"/>
      <c r="Y15" s="26"/>
    </row>
    <row r="16">
      <c r="A16" s="16">
        <v>46365.0</v>
      </c>
      <c r="B16" s="13" t="str">
        <f t="shared" si="2"/>
        <v>水</v>
      </c>
      <c r="C16" s="18"/>
      <c r="D16" s="15">
        <f t="shared" si="3"/>
        <v>0</v>
      </c>
      <c r="E16" s="18"/>
      <c r="F16" s="18"/>
      <c r="G16" s="15" t="str">
        <f t="shared" si="4"/>
        <v/>
      </c>
      <c r="H16" s="15" t="str">
        <f t="shared" si="5"/>
        <v/>
      </c>
      <c r="I16" s="17" t="str">
        <f t="shared" ref="I16:J16" si="23">IF(G16="","",IFERROR(G16/C16,""))</f>
        <v/>
      </c>
      <c r="J16" s="17" t="str">
        <f t="shared" si="23"/>
        <v/>
      </c>
      <c r="K16" s="15" t="str">
        <f t="shared" si="7"/>
        <v/>
      </c>
      <c r="L16" s="20" t="str">
        <f t="shared" si="8"/>
        <v>—</v>
      </c>
      <c r="M16" s="22"/>
      <c r="N16" s="22"/>
      <c r="O16" s="22"/>
      <c r="P16" s="22"/>
      <c r="Q16" s="22"/>
      <c r="R16" s="17" t="str">
        <f t="shared" si="9"/>
        <v/>
      </c>
      <c r="S16" s="15" t="str">
        <f t="shared" si="10"/>
        <v/>
      </c>
      <c r="T16" s="24" t="str">
        <f t="shared" si="11"/>
        <v/>
      </c>
      <c r="U16" s="17" t="str">
        <f t="shared" si="12"/>
        <v/>
      </c>
      <c r="V16" s="22"/>
      <c r="W16" s="22"/>
      <c r="X16" s="18"/>
      <c r="Y16" s="26"/>
      <c r="AA16" s="35" t="s">
        <v>71</v>
      </c>
    </row>
    <row r="17">
      <c r="A17" s="32">
        <v>46366.0</v>
      </c>
      <c r="B17" s="21" t="str">
        <f t="shared" si="2"/>
        <v>木</v>
      </c>
      <c r="C17" s="18"/>
      <c r="D17" s="23">
        <f t="shared" si="3"/>
        <v>0</v>
      </c>
      <c r="E17" s="18"/>
      <c r="F17" s="18"/>
      <c r="G17" s="23" t="str">
        <f t="shared" si="4"/>
        <v/>
      </c>
      <c r="H17" s="23" t="str">
        <f t="shared" si="5"/>
        <v/>
      </c>
      <c r="I17" s="25" t="str">
        <f t="shared" ref="I17:J17" si="24">IF(G17="","",IFERROR(G17/C17,""))</f>
        <v/>
      </c>
      <c r="J17" s="25" t="str">
        <f t="shared" si="24"/>
        <v/>
      </c>
      <c r="K17" s="23" t="str">
        <f t="shared" si="7"/>
        <v/>
      </c>
      <c r="L17" s="33" t="str">
        <f t="shared" si="8"/>
        <v>—</v>
      </c>
      <c r="M17" s="22"/>
      <c r="N17" s="22"/>
      <c r="O17" s="22"/>
      <c r="P17" s="22"/>
      <c r="Q17" s="22"/>
      <c r="R17" s="25" t="str">
        <f t="shared" si="9"/>
        <v/>
      </c>
      <c r="S17" s="23" t="str">
        <f t="shared" si="10"/>
        <v/>
      </c>
      <c r="T17" s="34" t="str">
        <f t="shared" si="11"/>
        <v/>
      </c>
      <c r="U17" s="25" t="str">
        <f t="shared" si="12"/>
        <v/>
      </c>
      <c r="V17" s="22"/>
      <c r="W17" s="22"/>
      <c r="X17" s="18"/>
      <c r="Y17" s="26"/>
    </row>
    <row r="18">
      <c r="A18" s="16">
        <v>46367.0</v>
      </c>
      <c r="B18" s="13" t="str">
        <f t="shared" si="2"/>
        <v>金</v>
      </c>
      <c r="C18" s="18"/>
      <c r="D18" s="15">
        <f t="shared" si="3"/>
        <v>0</v>
      </c>
      <c r="E18" s="18"/>
      <c r="F18" s="18"/>
      <c r="G18" s="15" t="str">
        <f t="shared" si="4"/>
        <v/>
      </c>
      <c r="H18" s="15" t="str">
        <f t="shared" si="5"/>
        <v/>
      </c>
      <c r="I18" s="17" t="str">
        <f t="shared" ref="I18:J18" si="25">IF(G18="","",IFERROR(G18/C18,""))</f>
        <v/>
      </c>
      <c r="J18" s="17" t="str">
        <f t="shared" si="25"/>
        <v/>
      </c>
      <c r="K18" s="15" t="str">
        <f t="shared" si="7"/>
        <v/>
      </c>
      <c r="L18" s="20" t="str">
        <f t="shared" si="8"/>
        <v>—</v>
      </c>
      <c r="M18" s="22"/>
      <c r="N18" s="22"/>
      <c r="O18" s="22"/>
      <c r="P18" s="22"/>
      <c r="Q18" s="22"/>
      <c r="R18" s="17" t="str">
        <f t="shared" si="9"/>
        <v/>
      </c>
      <c r="S18" s="15" t="str">
        <f t="shared" si="10"/>
        <v/>
      </c>
      <c r="T18" s="24" t="str">
        <f t="shared" si="11"/>
        <v/>
      </c>
      <c r="U18" s="17" t="str">
        <f t="shared" si="12"/>
        <v/>
      </c>
      <c r="V18" s="22"/>
      <c r="W18" s="22"/>
      <c r="X18" s="18"/>
      <c r="Y18" s="26"/>
      <c r="AA18" s="38" t="s">
        <v>190</v>
      </c>
      <c r="AH18" s="35" t="s">
        <v>128</v>
      </c>
      <c r="AI18" s="40">
        <f>$A$8+MOD(1-WEEKDAY($A$8,2)+7,7)</f>
        <v>46357</v>
      </c>
    </row>
    <row r="19">
      <c r="A19" s="32">
        <v>46368.0</v>
      </c>
      <c r="B19" s="21" t="str">
        <f t="shared" si="2"/>
        <v>土</v>
      </c>
      <c r="C19" s="18"/>
      <c r="D19" s="23">
        <f t="shared" si="3"/>
        <v>0</v>
      </c>
      <c r="E19" s="18"/>
      <c r="F19" s="18"/>
      <c r="G19" s="23" t="str">
        <f t="shared" si="4"/>
        <v/>
      </c>
      <c r="H19" s="23" t="str">
        <f t="shared" si="5"/>
        <v/>
      </c>
      <c r="I19" s="25" t="str">
        <f t="shared" ref="I19:J19" si="26">IF(G19="","",IFERROR(G19/C19,""))</f>
        <v/>
      </c>
      <c r="J19" s="25" t="str">
        <f t="shared" si="26"/>
        <v/>
      </c>
      <c r="K19" s="23" t="str">
        <f t="shared" si="7"/>
        <v/>
      </c>
      <c r="L19" s="33" t="str">
        <f t="shared" si="8"/>
        <v>—</v>
      </c>
      <c r="M19" s="22"/>
      <c r="N19" s="22"/>
      <c r="O19" s="22"/>
      <c r="P19" s="22"/>
      <c r="Q19" s="22"/>
      <c r="R19" s="25" t="str">
        <f t="shared" si="9"/>
        <v/>
      </c>
      <c r="S19" s="23" t="str">
        <f t="shared" si="10"/>
        <v/>
      </c>
      <c r="T19" s="34" t="str">
        <f t="shared" si="11"/>
        <v/>
      </c>
      <c r="U19" s="25" t="str">
        <f t="shared" si="12"/>
        <v/>
      </c>
      <c r="V19" s="22"/>
      <c r="W19" s="22"/>
      <c r="X19" s="18"/>
      <c r="Y19" s="26"/>
      <c r="AA19" s="14" t="s">
        <v>76</v>
      </c>
      <c r="AB19" s="14" t="s">
        <v>77</v>
      </c>
      <c r="AC19" s="14" t="s">
        <v>78</v>
      </c>
      <c r="AD19" s="14" t="s">
        <v>18</v>
      </c>
      <c r="AE19" s="14" t="s">
        <v>19</v>
      </c>
      <c r="AF19" s="14" t="s">
        <v>20</v>
      </c>
      <c r="AG19" s="14" t="s">
        <v>21</v>
      </c>
    </row>
    <row r="20">
      <c r="A20" s="16">
        <v>46369.0</v>
      </c>
      <c r="B20" s="13" t="str">
        <f t="shared" si="2"/>
        <v>日</v>
      </c>
      <c r="C20" s="18"/>
      <c r="D20" s="15">
        <f t="shared" si="3"/>
        <v>0</v>
      </c>
      <c r="E20" s="18"/>
      <c r="F20" s="18"/>
      <c r="G20" s="15" t="str">
        <f t="shared" si="4"/>
        <v/>
      </c>
      <c r="H20" s="15" t="str">
        <f t="shared" si="5"/>
        <v/>
      </c>
      <c r="I20" s="17" t="str">
        <f t="shared" ref="I20:J20" si="27">IF(G20="","",IFERROR(G20/C20,""))</f>
        <v/>
      </c>
      <c r="J20" s="17" t="str">
        <f t="shared" si="27"/>
        <v/>
      </c>
      <c r="K20" s="15" t="str">
        <f t="shared" si="7"/>
        <v/>
      </c>
      <c r="L20" s="20" t="str">
        <f t="shared" si="8"/>
        <v>—</v>
      </c>
      <c r="M20" s="22"/>
      <c r="N20" s="22"/>
      <c r="O20" s="22"/>
      <c r="P20" s="22"/>
      <c r="Q20" s="22"/>
      <c r="R20" s="17" t="str">
        <f t="shared" si="9"/>
        <v/>
      </c>
      <c r="S20" s="15" t="str">
        <f t="shared" si="10"/>
        <v/>
      </c>
      <c r="T20" s="24" t="str">
        <f t="shared" si="11"/>
        <v/>
      </c>
      <c r="U20" s="17" t="str">
        <f t="shared" si="12"/>
        <v/>
      </c>
      <c r="V20" s="22"/>
      <c r="W20" s="22"/>
      <c r="X20" s="18"/>
      <c r="Y20" s="26"/>
      <c r="AA20" s="30">
        <v>1.0</v>
      </c>
      <c r="AB20" s="42" t="str">
        <f>IF($AI$18+7*(1-1)&gt;$A$38,"",TEXT($AI$18+7*(1-1),"m/d")&amp;"-"&amp;TEXT($AI$18+7*(1-1)+6,"m/d"))</f>
        <v>12/1-12/7</v>
      </c>
      <c r="AC20" s="29">
        <f>IF($AB20="","",(SUMIFS($G$8:$G$38,$A$8:$A$38,"&gt;="&amp;$AI$18+7*(1-1),$A$8:$A$38,"&lt;="&amp;$AI$18+7*(1-1)+6)+SUMIFS('2027年01月'!$G$8:$G$38,'2027年01月'!$A$8:$A$38,"&gt;="&amp;$AI$18+7*(1-1),'2027年01月'!$A$8:$A$38,"&lt;="&amp;$AI$18+7*(1-1)+6)))</f>
        <v>0</v>
      </c>
      <c r="AD20" s="31" t="str">
        <f>IF($AB20="","",IFERROR((SUMIFS($M$8:$M$38,$A$8:$A$38,"&gt;="&amp;$AI$18+7*(1-1),$A$8:$A$38,"&lt;="&amp;$AI$18+7*(1-1)+6)+SUMIFS('2027年01月'!$M$8:$M$38,'2027年01月'!$A$8:$A$38,"&gt;="&amp;$AI$18+7*(1-1),'2027年01月'!$A$8:$A$38,"&lt;="&amp;$AI$18+7*(1-1)+6))/(SUMIFS($O$8:$O$38,$A$8:$A$38,"&gt;="&amp;$AI$18+7*(1-1),$A$8:$A$38,"&lt;="&amp;$AI$18+7*(1-1)+6)+SUMIFS('2027年01月'!$O$8:$O$38,'2027年01月'!$A$8:$A$38,"&gt;="&amp;$AI$18+7*(1-1),'2027年01月'!$A$8:$A$38,"&lt;="&amp;$AI$18+7*(1-1)+6)),""))</f>
        <v/>
      </c>
      <c r="AE20" s="29" t="str">
        <f>IF($AB20="","",IFERROR((SUMIFS($G$8:$G$38,$A$8:$A$38,"&gt;="&amp;$AI$18+7*(1-1),$A$8:$A$38,"&lt;="&amp;$AI$18+7*(1-1)+6)+SUMIFS('2027年01月'!$G$8:$G$38,'2027年01月'!$A$8:$A$38,"&gt;="&amp;$AI$18+7*(1-1),'2027年01月'!$A$8:$A$38,"&lt;="&amp;$AI$18+7*(1-1)+6))/(SUMIFS($M$8:$M$38,$A$8:$A$38,"&gt;="&amp;$AI$18+7*(1-1),$A$8:$A$38,"&lt;="&amp;$AI$18+7*(1-1)+6)+SUMIFS('2027年01月'!$M$8:$M$38,'2027年01月'!$A$8:$A$38,"&gt;="&amp;$AI$18+7*(1-1),'2027年01月'!$A$8:$A$38,"&lt;="&amp;$AI$18+7*(1-1)+6)),""))</f>
        <v/>
      </c>
      <c r="AF20" s="43" t="str">
        <f>IF($AB20="","",IFERROR((SUMIFS($N$8:$N$38,$A$8:$A$38,"&gt;="&amp;$AI$18+7*(1-1),$A$8:$A$38,"&lt;="&amp;$AI$18+7*(1-1)+6)+SUMIFS('2027年01月'!$N$8:$N$38,'2027年01月'!$A$8:$A$38,"&gt;="&amp;$AI$18+7*(1-1),'2027年01月'!$A$8:$A$38,"&lt;="&amp;$AI$18+7*(1-1)+6))/(SUMIFS($M$8:$M$38,$A$8:$A$38,"&gt;="&amp;$AI$18+7*(1-1),$A$8:$A$38,"&lt;="&amp;$AI$18+7*(1-1)+6)+SUMIFS('2027年01月'!$M$8:$M$38,'2027年01月'!$A$8:$A$38,"&gt;="&amp;$AI$18+7*(1-1),'2027年01月'!$A$8:$A$38,"&lt;="&amp;$AI$18+7*(1-1)+6)),""))</f>
        <v/>
      </c>
      <c r="AG20" s="31" t="str">
        <f>IF($AB20="","",IFERROR((SUMIFS($P$8:$P$38,$A$8:$A$38,"&gt;="&amp;$AI$18+7*(1-1),$A$8:$A$38,"&lt;="&amp;$AI$18+7*(1-1)+6)+SUMIFS('2027年01月'!$P$8:$P$38,'2027年01月'!$A$8:$A$38,"&gt;="&amp;$AI$18+7*(1-1),'2027年01月'!$A$8:$A$38,"&lt;="&amp;$AI$18+7*(1-1)+6))/(SUMIFS($O$8:$O$38,$A$8:$A$38,"&gt;="&amp;$AI$18+7*(1-1),$A$8:$A$38,"&lt;="&amp;$AI$18+7*(1-1)+6)+SUMIFS('2027年01月'!$O$8:$O$38,'2027年01月'!$A$8:$A$38,"&gt;="&amp;$AI$18+7*(1-1),'2027年01月'!$A$8:$A$38,"&lt;="&amp;$AI$18+7*(1-1)+6)),""))</f>
        <v/>
      </c>
    </row>
    <row r="21" ht="15.75" customHeight="1">
      <c r="A21" s="32">
        <v>46370.0</v>
      </c>
      <c r="B21" s="21" t="str">
        <f t="shared" si="2"/>
        <v>月</v>
      </c>
      <c r="C21" s="18"/>
      <c r="D21" s="23">
        <f t="shared" si="3"/>
        <v>0</v>
      </c>
      <c r="E21" s="18"/>
      <c r="F21" s="18"/>
      <c r="G21" s="23" t="str">
        <f t="shared" si="4"/>
        <v/>
      </c>
      <c r="H21" s="23" t="str">
        <f t="shared" si="5"/>
        <v/>
      </c>
      <c r="I21" s="25" t="str">
        <f t="shared" ref="I21:J21" si="28">IF(G21="","",IFERROR(G21/C21,""))</f>
        <v/>
      </c>
      <c r="J21" s="25" t="str">
        <f t="shared" si="28"/>
        <v/>
      </c>
      <c r="K21" s="23" t="str">
        <f t="shared" si="7"/>
        <v/>
      </c>
      <c r="L21" s="33" t="str">
        <f t="shared" si="8"/>
        <v>—</v>
      </c>
      <c r="M21" s="22"/>
      <c r="N21" s="22"/>
      <c r="O21" s="22"/>
      <c r="P21" s="22"/>
      <c r="Q21" s="22"/>
      <c r="R21" s="25" t="str">
        <f t="shared" si="9"/>
        <v/>
      </c>
      <c r="S21" s="23" t="str">
        <f t="shared" si="10"/>
        <v/>
      </c>
      <c r="T21" s="34" t="str">
        <f t="shared" si="11"/>
        <v/>
      </c>
      <c r="U21" s="25" t="str">
        <f t="shared" si="12"/>
        <v/>
      </c>
      <c r="V21" s="22"/>
      <c r="W21" s="22"/>
      <c r="X21" s="18"/>
      <c r="Y21" s="26"/>
      <c r="AA21" s="30">
        <v>2.0</v>
      </c>
      <c r="AB21" s="42" t="str">
        <f>IF($AI$18+7*(2-1)&gt;$A$38,"",TEXT($AI$18+7*(2-1),"m/d")&amp;"-"&amp;TEXT($AI$18+7*(2-1)+6,"m/d"))</f>
        <v>12/8-12/14</v>
      </c>
      <c r="AC21" s="29">
        <f>IF($AB21="","",(SUMIFS($G$8:$G$38,$A$8:$A$38,"&gt;="&amp;$AI$18+7*(2-1),$A$8:$A$38,"&lt;="&amp;$AI$18+7*(2-1)+6)+SUMIFS('2027年01月'!$G$8:$G$38,'2027年01月'!$A$8:$A$38,"&gt;="&amp;$AI$18+7*(2-1),'2027年01月'!$A$8:$A$38,"&lt;="&amp;$AI$18+7*(2-1)+6)))</f>
        <v>0</v>
      </c>
      <c r="AD21" s="31" t="str">
        <f>IF($AB21="","",IFERROR((SUMIFS($M$8:$M$38,$A$8:$A$38,"&gt;="&amp;$AI$18+7*(2-1),$A$8:$A$38,"&lt;="&amp;$AI$18+7*(2-1)+6)+SUMIFS('2027年01月'!$M$8:$M$38,'2027年01月'!$A$8:$A$38,"&gt;="&amp;$AI$18+7*(2-1),'2027年01月'!$A$8:$A$38,"&lt;="&amp;$AI$18+7*(2-1)+6))/(SUMIFS($O$8:$O$38,$A$8:$A$38,"&gt;="&amp;$AI$18+7*(2-1),$A$8:$A$38,"&lt;="&amp;$AI$18+7*(2-1)+6)+SUMIFS('2027年01月'!$O$8:$O$38,'2027年01月'!$A$8:$A$38,"&gt;="&amp;$AI$18+7*(2-1),'2027年01月'!$A$8:$A$38,"&lt;="&amp;$AI$18+7*(2-1)+6)),""))</f>
        <v/>
      </c>
      <c r="AE21" s="29" t="str">
        <f>IF($AB21="","",IFERROR((SUMIFS($G$8:$G$38,$A$8:$A$38,"&gt;="&amp;$AI$18+7*(2-1),$A$8:$A$38,"&lt;="&amp;$AI$18+7*(2-1)+6)+SUMIFS('2027年01月'!$G$8:$G$38,'2027年01月'!$A$8:$A$38,"&gt;="&amp;$AI$18+7*(2-1),'2027年01月'!$A$8:$A$38,"&lt;="&amp;$AI$18+7*(2-1)+6))/(SUMIFS($M$8:$M$38,$A$8:$A$38,"&gt;="&amp;$AI$18+7*(2-1),$A$8:$A$38,"&lt;="&amp;$AI$18+7*(2-1)+6)+SUMIFS('2027年01月'!$M$8:$M$38,'2027年01月'!$A$8:$A$38,"&gt;="&amp;$AI$18+7*(2-1),'2027年01月'!$A$8:$A$38,"&lt;="&amp;$AI$18+7*(2-1)+6)),""))</f>
        <v/>
      </c>
      <c r="AF21" s="43" t="str">
        <f>IF($AB21="","",IFERROR((SUMIFS($N$8:$N$38,$A$8:$A$38,"&gt;="&amp;$AI$18+7*(2-1),$A$8:$A$38,"&lt;="&amp;$AI$18+7*(2-1)+6)+SUMIFS('2027年01月'!$N$8:$N$38,'2027年01月'!$A$8:$A$38,"&gt;="&amp;$AI$18+7*(2-1),'2027年01月'!$A$8:$A$38,"&lt;="&amp;$AI$18+7*(2-1)+6))/(SUMIFS($M$8:$M$38,$A$8:$A$38,"&gt;="&amp;$AI$18+7*(2-1),$A$8:$A$38,"&lt;="&amp;$AI$18+7*(2-1)+6)+SUMIFS('2027年01月'!$M$8:$M$38,'2027年01月'!$A$8:$A$38,"&gt;="&amp;$AI$18+7*(2-1),'2027年01月'!$A$8:$A$38,"&lt;="&amp;$AI$18+7*(2-1)+6)),""))</f>
        <v/>
      </c>
      <c r="AG21" s="31" t="str">
        <f>IF($AB21="","",IFERROR((SUMIFS($P$8:$P$38,$A$8:$A$38,"&gt;="&amp;$AI$18+7*(2-1),$A$8:$A$38,"&lt;="&amp;$AI$18+7*(2-1)+6)+SUMIFS('2027年01月'!$P$8:$P$38,'2027年01月'!$A$8:$A$38,"&gt;="&amp;$AI$18+7*(2-1),'2027年01月'!$A$8:$A$38,"&lt;="&amp;$AI$18+7*(2-1)+6))/(SUMIFS($O$8:$O$38,$A$8:$A$38,"&gt;="&amp;$AI$18+7*(2-1),$A$8:$A$38,"&lt;="&amp;$AI$18+7*(2-1)+6)+SUMIFS('2027年01月'!$O$8:$O$38,'2027年01月'!$A$8:$A$38,"&gt;="&amp;$AI$18+7*(2-1),'2027年01月'!$A$8:$A$38,"&lt;="&amp;$AI$18+7*(2-1)+6)),""))</f>
        <v/>
      </c>
    </row>
    <row r="22" ht="15.75" customHeight="1">
      <c r="A22" s="16">
        <v>46371.0</v>
      </c>
      <c r="B22" s="13" t="str">
        <f t="shared" si="2"/>
        <v>火</v>
      </c>
      <c r="C22" s="18"/>
      <c r="D22" s="15">
        <f t="shared" si="3"/>
        <v>0</v>
      </c>
      <c r="E22" s="18"/>
      <c r="F22" s="18"/>
      <c r="G22" s="15" t="str">
        <f t="shared" si="4"/>
        <v/>
      </c>
      <c r="H22" s="15" t="str">
        <f t="shared" si="5"/>
        <v/>
      </c>
      <c r="I22" s="17" t="str">
        <f t="shared" ref="I22:J22" si="29">IF(G22="","",IFERROR(G22/C22,""))</f>
        <v/>
      </c>
      <c r="J22" s="17" t="str">
        <f t="shared" si="29"/>
        <v/>
      </c>
      <c r="K22" s="15" t="str">
        <f t="shared" si="7"/>
        <v/>
      </c>
      <c r="L22" s="20" t="str">
        <f t="shared" si="8"/>
        <v>—</v>
      </c>
      <c r="M22" s="22"/>
      <c r="N22" s="22"/>
      <c r="O22" s="22"/>
      <c r="P22" s="22"/>
      <c r="Q22" s="22"/>
      <c r="R22" s="17" t="str">
        <f t="shared" si="9"/>
        <v/>
      </c>
      <c r="S22" s="15" t="str">
        <f t="shared" si="10"/>
        <v/>
      </c>
      <c r="T22" s="24" t="str">
        <f t="shared" si="11"/>
        <v/>
      </c>
      <c r="U22" s="17" t="str">
        <f t="shared" si="12"/>
        <v/>
      </c>
      <c r="V22" s="22"/>
      <c r="W22" s="22"/>
      <c r="X22" s="18"/>
      <c r="Y22" s="26"/>
      <c r="AA22" s="30">
        <v>3.0</v>
      </c>
      <c r="AB22" s="42" t="str">
        <f>IF($AI$18+7*(3-1)&gt;$A$38,"",TEXT($AI$18+7*(3-1),"m/d")&amp;"-"&amp;TEXT($AI$18+7*(3-1)+6,"m/d"))</f>
        <v>12/15-12/21</v>
      </c>
      <c r="AC22" s="29">
        <f>IF($AB22="","",(SUMIFS($G$8:$G$38,$A$8:$A$38,"&gt;="&amp;$AI$18+7*(3-1),$A$8:$A$38,"&lt;="&amp;$AI$18+7*(3-1)+6)+SUMIFS('2027年01月'!$G$8:$G$38,'2027年01月'!$A$8:$A$38,"&gt;="&amp;$AI$18+7*(3-1),'2027年01月'!$A$8:$A$38,"&lt;="&amp;$AI$18+7*(3-1)+6)))</f>
        <v>0</v>
      </c>
      <c r="AD22" s="31" t="str">
        <f>IF($AB22="","",IFERROR((SUMIFS($M$8:$M$38,$A$8:$A$38,"&gt;="&amp;$AI$18+7*(3-1),$A$8:$A$38,"&lt;="&amp;$AI$18+7*(3-1)+6)+SUMIFS('2027年01月'!$M$8:$M$38,'2027年01月'!$A$8:$A$38,"&gt;="&amp;$AI$18+7*(3-1),'2027年01月'!$A$8:$A$38,"&lt;="&amp;$AI$18+7*(3-1)+6))/(SUMIFS($O$8:$O$38,$A$8:$A$38,"&gt;="&amp;$AI$18+7*(3-1),$A$8:$A$38,"&lt;="&amp;$AI$18+7*(3-1)+6)+SUMIFS('2027年01月'!$O$8:$O$38,'2027年01月'!$A$8:$A$38,"&gt;="&amp;$AI$18+7*(3-1),'2027年01月'!$A$8:$A$38,"&lt;="&amp;$AI$18+7*(3-1)+6)),""))</f>
        <v/>
      </c>
      <c r="AE22" s="29" t="str">
        <f>IF($AB22="","",IFERROR((SUMIFS($G$8:$G$38,$A$8:$A$38,"&gt;="&amp;$AI$18+7*(3-1),$A$8:$A$38,"&lt;="&amp;$AI$18+7*(3-1)+6)+SUMIFS('2027年01月'!$G$8:$G$38,'2027年01月'!$A$8:$A$38,"&gt;="&amp;$AI$18+7*(3-1),'2027年01月'!$A$8:$A$38,"&lt;="&amp;$AI$18+7*(3-1)+6))/(SUMIFS($M$8:$M$38,$A$8:$A$38,"&gt;="&amp;$AI$18+7*(3-1),$A$8:$A$38,"&lt;="&amp;$AI$18+7*(3-1)+6)+SUMIFS('2027年01月'!$M$8:$M$38,'2027年01月'!$A$8:$A$38,"&gt;="&amp;$AI$18+7*(3-1),'2027年01月'!$A$8:$A$38,"&lt;="&amp;$AI$18+7*(3-1)+6)),""))</f>
        <v/>
      </c>
      <c r="AF22" s="43" t="str">
        <f>IF($AB22="","",IFERROR((SUMIFS($N$8:$N$38,$A$8:$A$38,"&gt;="&amp;$AI$18+7*(3-1),$A$8:$A$38,"&lt;="&amp;$AI$18+7*(3-1)+6)+SUMIFS('2027年01月'!$N$8:$N$38,'2027年01月'!$A$8:$A$38,"&gt;="&amp;$AI$18+7*(3-1),'2027年01月'!$A$8:$A$38,"&lt;="&amp;$AI$18+7*(3-1)+6))/(SUMIFS($M$8:$M$38,$A$8:$A$38,"&gt;="&amp;$AI$18+7*(3-1),$A$8:$A$38,"&lt;="&amp;$AI$18+7*(3-1)+6)+SUMIFS('2027年01月'!$M$8:$M$38,'2027年01月'!$A$8:$A$38,"&gt;="&amp;$AI$18+7*(3-1),'2027年01月'!$A$8:$A$38,"&lt;="&amp;$AI$18+7*(3-1)+6)),""))</f>
        <v/>
      </c>
      <c r="AG22" s="31" t="str">
        <f>IF($AB22="","",IFERROR((SUMIFS($P$8:$P$38,$A$8:$A$38,"&gt;="&amp;$AI$18+7*(3-1),$A$8:$A$38,"&lt;="&amp;$AI$18+7*(3-1)+6)+SUMIFS('2027年01月'!$P$8:$P$38,'2027年01月'!$A$8:$A$38,"&gt;="&amp;$AI$18+7*(3-1),'2027年01月'!$A$8:$A$38,"&lt;="&amp;$AI$18+7*(3-1)+6))/(SUMIFS($O$8:$O$38,$A$8:$A$38,"&gt;="&amp;$AI$18+7*(3-1),$A$8:$A$38,"&lt;="&amp;$AI$18+7*(3-1)+6)+SUMIFS('2027年01月'!$O$8:$O$38,'2027年01月'!$A$8:$A$38,"&gt;="&amp;$AI$18+7*(3-1),'2027年01月'!$A$8:$A$38,"&lt;="&amp;$AI$18+7*(3-1)+6)),""))</f>
        <v/>
      </c>
    </row>
    <row r="23" ht="15.75" customHeight="1">
      <c r="A23" s="32">
        <v>46372.0</v>
      </c>
      <c r="B23" s="21" t="str">
        <f t="shared" si="2"/>
        <v>水</v>
      </c>
      <c r="C23" s="18"/>
      <c r="D23" s="23">
        <f t="shared" si="3"/>
        <v>0</v>
      </c>
      <c r="E23" s="18"/>
      <c r="F23" s="18"/>
      <c r="G23" s="23" t="str">
        <f t="shared" si="4"/>
        <v/>
      </c>
      <c r="H23" s="23" t="str">
        <f t="shared" si="5"/>
        <v/>
      </c>
      <c r="I23" s="25" t="str">
        <f t="shared" ref="I23:J23" si="30">IF(G23="","",IFERROR(G23/C23,""))</f>
        <v/>
      </c>
      <c r="J23" s="25" t="str">
        <f t="shared" si="30"/>
        <v/>
      </c>
      <c r="K23" s="23" t="str">
        <f t="shared" si="7"/>
        <v/>
      </c>
      <c r="L23" s="33" t="str">
        <f t="shared" si="8"/>
        <v>—</v>
      </c>
      <c r="M23" s="22"/>
      <c r="N23" s="22"/>
      <c r="O23" s="22"/>
      <c r="P23" s="22"/>
      <c r="Q23" s="22"/>
      <c r="R23" s="25" t="str">
        <f t="shared" si="9"/>
        <v/>
      </c>
      <c r="S23" s="23" t="str">
        <f t="shared" si="10"/>
        <v/>
      </c>
      <c r="T23" s="34" t="str">
        <f t="shared" si="11"/>
        <v/>
      </c>
      <c r="U23" s="25" t="str">
        <f t="shared" si="12"/>
        <v/>
      </c>
      <c r="V23" s="22"/>
      <c r="W23" s="22"/>
      <c r="X23" s="18"/>
      <c r="Y23" s="26"/>
      <c r="AA23" s="30">
        <v>4.0</v>
      </c>
      <c r="AB23" s="42" t="str">
        <f>IF($AI$18+7*(4-1)&gt;$A$38,"",TEXT($AI$18+7*(4-1),"m/d")&amp;"-"&amp;TEXT($AI$18+7*(4-1)+6,"m/d"))</f>
        <v>12/22-12/28</v>
      </c>
      <c r="AC23" s="29">
        <f>IF($AB23="","",(SUMIFS($G$8:$G$38,$A$8:$A$38,"&gt;="&amp;$AI$18+7*(4-1),$A$8:$A$38,"&lt;="&amp;$AI$18+7*(4-1)+6)+SUMIFS('2027年01月'!$G$8:$G$38,'2027年01月'!$A$8:$A$38,"&gt;="&amp;$AI$18+7*(4-1),'2027年01月'!$A$8:$A$38,"&lt;="&amp;$AI$18+7*(4-1)+6)))</f>
        <v>0</v>
      </c>
      <c r="AD23" s="31" t="str">
        <f>IF($AB23="","",IFERROR((SUMIFS($M$8:$M$38,$A$8:$A$38,"&gt;="&amp;$AI$18+7*(4-1),$A$8:$A$38,"&lt;="&amp;$AI$18+7*(4-1)+6)+SUMIFS('2027年01月'!$M$8:$M$38,'2027年01月'!$A$8:$A$38,"&gt;="&amp;$AI$18+7*(4-1),'2027年01月'!$A$8:$A$38,"&lt;="&amp;$AI$18+7*(4-1)+6))/(SUMIFS($O$8:$O$38,$A$8:$A$38,"&gt;="&amp;$AI$18+7*(4-1),$A$8:$A$38,"&lt;="&amp;$AI$18+7*(4-1)+6)+SUMIFS('2027年01月'!$O$8:$O$38,'2027年01月'!$A$8:$A$38,"&gt;="&amp;$AI$18+7*(4-1),'2027年01月'!$A$8:$A$38,"&lt;="&amp;$AI$18+7*(4-1)+6)),""))</f>
        <v/>
      </c>
      <c r="AE23" s="29" t="str">
        <f>IF($AB23="","",IFERROR((SUMIFS($G$8:$G$38,$A$8:$A$38,"&gt;="&amp;$AI$18+7*(4-1),$A$8:$A$38,"&lt;="&amp;$AI$18+7*(4-1)+6)+SUMIFS('2027年01月'!$G$8:$G$38,'2027年01月'!$A$8:$A$38,"&gt;="&amp;$AI$18+7*(4-1),'2027年01月'!$A$8:$A$38,"&lt;="&amp;$AI$18+7*(4-1)+6))/(SUMIFS($M$8:$M$38,$A$8:$A$38,"&gt;="&amp;$AI$18+7*(4-1),$A$8:$A$38,"&lt;="&amp;$AI$18+7*(4-1)+6)+SUMIFS('2027年01月'!$M$8:$M$38,'2027年01月'!$A$8:$A$38,"&gt;="&amp;$AI$18+7*(4-1),'2027年01月'!$A$8:$A$38,"&lt;="&amp;$AI$18+7*(4-1)+6)),""))</f>
        <v/>
      </c>
      <c r="AF23" s="43" t="str">
        <f>IF($AB23="","",IFERROR((SUMIFS($N$8:$N$38,$A$8:$A$38,"&gt;="&amp;$AI$18+7*(4-1),$A$8:$A$38,"&lt;="&amp;$AI$18+7*(4-1)+6)+SUMIFS('2027年01月'!$N$8:$N$38,'2027年01月'!$A$8:$A$38,"&gt;="&amp;$AI$18+7*(4-1),'2027年01月'!$A$8:$A$38,"&lt;="&amp;$AI$18+7*(4-1)+6))/(SUMIFS($M$8:$M$38,$A$8:$A$38,"&gt;="&amp;$AI$18+7*(4-1),$A$8:$A$38,"&lt;="&amp;$AI$18+7*(4-1)+6)+SUMIFS('2027年01月'!$M$8:$M$38,'2027年01月'!$A$8:$A$38,"&gt;="&amp;$AI$18+7*(4-1),'2027年01月'!$A$8:$A$38,"&lt;="&amp;$AI$18+7*(4-1)+6)),""))</f>
        <v/>
      </c>
      <c r="AG23" s="31" t="str">
        <f>IF($AB23="","",IFERROR((SUMIFS($P$8:$P$38,$A$8:$A$38,"&gt;="&amp;$AI$18+7*(4-1),$A$8:$A$38,"&lt;="&amp;$AI$18+7*(4-1)+6)+SUMIFS('2027年01月'!$P$8:$P$38,'2027年01月'!$A$8:$A$38,"&gt;="&amp;$AI$18+7*(4-1),'2027年01月'!$A$8:$A$38,"&lt;="&amp;$AI$18+7*(4-1)+6))/(SUMIFS($O$8:$O$38,$A$8:$A$38,"&gt;="&amp;$AI$18+7*(4-1),$A$8:$A$38,"&lt;="&amp;$AI$18+7*(4-1)+6)+SUMIFS('2027年01月'!$O$8:$O$38,'2027年01月'!$A$8:$A$38,"&gt;="&amp;$AI$18+7*(4-1),'2027年01月'!$A$8:$A$38,"&lt;="&amp;$AI$18+7*(4-1)+6)),""))</f>
        <v/>
      </c>
    </row>
    <row r="24" ht="15.75" customHeight="1">
      <c r="A24" s="16">
        <v>46373.0</v>
      </c>
      <c r="B24" s="13" t="str">
        <f t="shared" si="2"/>
        <v>木</v>
      </c>
      <c r="C24" s="18"/>
      <c r="D24" s="15">
        <f t="shared" si="3"/>
        <v>0</v>
      </c>
      <c r="E24" s="18"/>
      <c r="F24" s="18"/>
      <c r="G24" s="15" t="str">
        <f t="shared" si="4"/>
        <v/>
      </c>
      <c r="H24" s="15" t="str">
        <f t="shared" si="5"/>
        <v/>
      </c>
      <c r="I24" s="17" t="str">
        <f t="shared" ref="I24:J24" si="31">IF(G24="","",IFERROR(G24/C24,""))</f>
        <v/>
      </c>
      <c r="J24" s="17" t="str">
        <f t="shared" si="31"/>
        <v/>
      </c>
      <c r="K24" s="15" t="str">
        <f t="shared" si="7"/>
        <v/>
      </c>
      <c r="L24" s="20" t="str">
        <f t="shared" si="8"/>
        <v>—</v>
      </c>
      <c r="M24" s="22"/>
      <c r="N24" s="22"/>
      <c r="O24" s="22"/>
      <c r="P24" s="22"/>
      <c r="Q24" s="22"/>
      <c r="R24" s="17" t="str">
        <f t="shared" si="9"/>
        <v/>
      </c>
      <c r="S24" s="15" t="str">
        <f t="shared" si="10"/>
        <v/>
      </c>
      <c r="T24" s="24" t="str">
        <f t="shared" si="11"/>
        <v/>
      </c>
      <c r="U24" s="17" t="str">
        <f t="shared" si="12"/>
        <v/>
      </c>
      <c r="V24" s="22"/>
      <c r="W24" s="22"/>
      <c r="X24" s="18"/>
      <c r="Y24" s="26"/>
      <c r="AA24" s="30">
        <v>5.0</v>
      </c>
      <c r="AB24" s="42" t="str">
        <f>IF($AI$18+7*(5-1)&gt;$A$38,"",TEXT($AI$18+7*(5-1),"m/d")&amp;"-"&amp;TEXT($AI$18+7*(5-1)+6,"m/d"))</f>
        <v>12/29-1/4</v>
      </c>
      <c r="AC24" s="29">
        <f>IF($AB24="","",(SUMIFS($G$8:$G$38,$A$8:$A$38,"&gt;="&amp;$AI$18+7*(5-1),$A$8:$A$38,"&lt;="&amp;$AI$18+7*(5-1)+6)+SUMIFS('2027年01月'!$G$8:$G$38,'2027年01月'!$A$8:$A$38,"&gt;="&amp;$AI$18+7*(5-1),'2027年01月'!$A$8:$A$38,"&lt;="&amp;$AI$18+7*(5-1)+6)))</f>
        <v>0</v>
      </c>
      <c r="AD24" s="31" t="str">
        <f>IF($AB24="","",IFERROR((SUMIFS($M$8:$M$38,$A$8:$A$38,"&gt;="&amp;$AI$18+7*(5-1),$A$8:$A$38,"&lt;="&amp;$AI$18+7*(5-1)+6)+SUMIFS('2027年01月'!$M$8:$M$38,'2027年01月'!$A$8:$A$38,"&gt;="&amp;$AI$18+7*(5-1),'2027年01月'!$A$8:$A$38,"&lt;="&amp;$AI$18+7*(5-1)+6))/(SUMIFS($O$8:$O$38,$A$8:$A$38,"&gt;="&amp;$AI$18+7*(5-1),$A$8:$A$38,"&lt;="&amp;$AI$18+7*(5-1)+6)+SUMIFS('2027年01月'!$O$8:$O$38,'2027年01月'!$A$8:$A$38,"&gt;="&amp;$AI$18+7*(5-1),'2027年01月'!$A$8:$A$38,"&lt;="&amp;$AI$18+7*(5-1)+6)),""))</f>
        <v/>
      </c>
      <c r="AE24" s="29" t="str">
        <f>IF($AB24="","",IFERROR((SUMIFS($G$8:$G$38,$A$8:$A$38,"&gt;="&amp;$AI$18+7*(5-1),$A$8:$A$38,"&lt;="&amp;$AI$18+7*(5-1)+6)+SUMIFS('2027年01月'!$G$8:$G$38,'2027年01月'!$A$8:$A$38,"&gt;="&amp;$AI$18+7*(5-1),'2027年01月'!$A$8:$A$38,"&lt;="&amp;$AI$18+7*(5-1)+6))/(SUMIFS($M$8:$M$38,$A$8:$A$38,"&gt;="&amp;$AI$18+7*(5-1),$A$8:$A$38,"&lt;="&amp;$AI$18+7*(5-1)+6)+SUMIFS('2027年01月'!$M$8:$M$38,'2027年01月'!$A$8:$A$38,"&gt;="&amp;$AI$18+7*(5-1),'2027年01月'!$A$8:$A$38,"&lt;="&amp;$AI$18+7*(5-1)+6)),""))</f>
        <v/>
      </c>
      <c r="AF24" s="43" t="str">
        <f>IF($AB24="","",IFERROR((SUMIFS($N$8:$N$38,$A$8:$A$38,"&gt;="&amp;$AI$18+7*(5-1),$A$8:$A$38,"&lt;="&amp;$AI$18+7*(5-1)+6)+SUMIFS('2027年01月'!$N$8:$N$38,'2027年01月'!$A$8:$A$38,"&gt;="&amp;$AI$18+7*(5-1),'2027年01月'!$A$8:$A$38,"&lt;="&amp;$AI$18+7*(5-1)+6))/(SUMIFS($M$8:$M$38,$A$8:$A$38,"&gt;="&amp;$AI$18+7*(5-1),$A$8:$A$38,"&lt;="&amp;$AI$18+7*(5-1)+6)+SUMIFS('2027年01月'!$M$8:$M$38,'2027年01月'!$A$8:$A$38,"&gt;="&amp;$AI$18+7*(5-1),'2027年01月'!$A$8:$A$38,"&lt;="&amp;$AI$18+7*(5-1)+6)),""))</f>
        <v/>
      </c>
      <c r="AG24" s="31" t="str">
        <f>IF($AB24="","",IFERROR((SUMIFS($P$8:$P$38,$A$8:$A$38,"&gt;="&amp;$AI$18+7*(5-1),$A$8:$A$38,"&lt;="&amp;$AI$18+7*(5-1)+6)+SUMIFS('2027年01月'!$P$8:$P$38,'2027年01月'!$A$8:$A$38,"&gt;="&amp;$AI$18+7*(5-1),'2027年01月'!$A$8:$A$38,"&lt;="&amp;$AI$18+7*(5-1)+6))/(SUMIFS($O$8:$O$38,$A$8:$A$38,"&gt;="&amp;$AI$18+7*(5-1),$A$8:$A$38,"&lt;="&amp;$AI$18+7*(5-1)+6)+SUMIFS('2027年01月'!$O$8:$O$38,'2027年01月'!$A$8:$A$38,"&gt;="&amp;$AI$18+7*(5-1),'2027年01月'!$A$8:$A$38,"&lt;="&amp;$AI$18+7*(5-1)+6)),""))</f>
        <v/>
      </c>
    </row>
    <row r="25" ht="15.75" customHeight="1">
      <c r="A25" s="32">
        <v>46374.0</v>
      </c>
      <c r="B25" s="21" t="str">
        <f t="shared" si="2"/>
        <v>金</v>
      </c>
      <c r="C25" s="18"/>
      <c r="D25" s="23">
        <f t="shared" si="3"/>
        <v>0</v>
      </c>
      <c r="E25" s="18"/>
      <c r="F25" s="18"/>
      <c r="G25" s="23" t="str">
        <f t="shared" si="4"/>
        <v/>
      </c>
      <c r="H25" s="23" t="str">
        <f t="shared" si="5"/>
        <v/>
      </c>
      <c r="I25" s="25" t="str">
        <f t="shared" ref="I25:J25" si="32">IF(G25="","",IFERROR(G25/C25,""))</f>
        <v/>
      </c>
      <c r="J25" s="25" t="str">
        <f t="shared" si="32"/>
        <v/>
      </c>
      <c r="K25" s="23" t="str">
        <f t="shared" si="7"/>
        <v/>
      </c>
      <c r="L25" s="33" t="str">
        <f t="shared" si="8"/>
        <v>—</v>
      </c>
      <c r="M25" s="22"/>
      <c r="N25" s="22"/>
      <c r="O25" s="22"/>
      <c r="P25" s="22"/>
      <c r="Q25" s="22"/>
      <c r="R25" s="25" t="str">
        <f t="shared" si="9"/>
        <v/>
      </c>
      <c r="S25" s="23" t="str">
        <f t="shared" si="10"/>
        <v/>
      </c>
      <c r="T25" s="34" t="str">
        <f t="shared" si="11"/>
        <v/>
      </c>
      <c r="U25" s="25" t="str">
        <f t="shared" si="12"/>
        <v/>
      </c>
      <c r="V25" s="22"/>
      <c r="W25" s="22"/>
      <c r="X25" s="18"/>
      <c r="Y25" s="26"/>
      <c r="AA25" s="30">
        <v>6.0</v>
      </c>
      <c r="AB25" s="42" t="str">
        <f>IF($AI$18+7*(6-1)&gt;$A$38,"",TEXT($AI$18+7*(6-1),"m/d")&amp;"-"&amp;TEXT($AI$18+7*(6-1)+6,"m/d"))</f>
        <v/>
      </c>
      <c r="AC25" s="29" t="str">
        <f>IF($AB25="","",(SUMIFS($G$8:$G$38,$A$8:$A$38,"&gt;="&amp;$AI$18+7*(6-1),$A$8:$A$38,"&lt;="&amp;$AI$18+7*(6-1)+6)+SUMIFS('2027年01月'!$G$8:$G$38,'2027年01月'!$A$8:$A$38,"&gt;="&amp;$AI$18+7*(6-1),'2027年01月'!$A$8:$A$38,"&lt;="&amp;$AI$18+7*(6-1)+6)))</f>
        <v/>
      </c>
      <c r="AD25" s="31" t="str">
        <f>IF($AB25="","",IFERROR((SUMIFS($M$8:$M$38,$A$8:$A$38,"&gt;="&amp;$AI$18+7*(6-1),$A$8:$A$38,"&lt;="&amp;$AI$18+7*(6-1)+6)+SUMIFS('2027年01月'!$M$8:$M$38,'2027年01月'!$A$8:$A$38,"&gt;="&amp;$AI$18+7*(6-1),'2027年01月'!$A$8:$A$38,"&lt;="&amp;$AI$18+7*(6-1)+6))/(SUMIFS($O$8:$O$38,$A$8:$A$38,"&gt;="&amp;$AI$18+7*(6-1),$A$8:$A$38,"&lt;="&amp;$AI$18+7*(6-1)+6)+SUMIFS('2027年01月'!$O$8:$O$38,'2027年01月'!$A$8:$A$38,"&gt;="&amp;$AI$18+7*(6-1),'2027年01月'!$A$8:$A$38,"&lt;="&amp;$AI$18+7*(6-1)+6)),""))</f>
        <v/>
      </c>
      <c r="AE25" s="29" t="str">
        <f>IF($AB25="","",IFERROR((SUMIFS($G$8:$G$38,$A$8:$A$38,"&gt;="&amp;$AI$18+7*(6-1),$A$8:$A$38,"&lt;="&amp;$AI$18+7*(6-1)+6)+SUMIFS('2027年01月'!$G$8:$G$38,'2027年01月'!$A$8:$A$38,"&gt;="&amp;$AI$18+7*(6-1),'2027年01月'!$A$8:$A$38,"&lt;="&amp;$AI$18+7*(6-1)+6))/(SUMIFS($M$8:$M$38,$A$8:$A$38,"&gt;="&amp;$AI$18+7*(6-1),$A$8:$A$38,"&lt;="&amp;$AI$18+7*(6-1)+6)+SUMIFS('2027年01月'!$M$8:$M$38,'2027年01月'!$A$8:$A$38,"&gt;="&amp;$AI$18+7*(6-1),'2027年01月'!$A$8:$A$38,"&lt;="&amp;$AI$18+7*(6-1)+6)),""))</f>
        <v/>
      </c>
      <c r="AF25" s="43" t="str">
        <f>IF($AB25="","",IFERROR((SUMIFS($N$8:$N$38,$A$8:$A$38,"&gt;="&amp;$AI$18+7*(6-1),$A$8:$A$38,"&lt;="&amp;$AI$18+7*(6-1)+6)+SUMIFS('2027年01月'!$N$8:$N$38,'2027年01月'!$A$8:$A$38,"&gt;="&amp;$AI$18+7*(6-1),'2027年01月'!$A$8:$A$38,"&lt;="&amp;$AI$18+7*(6-1)+6))/(SUMIFS($M$8:$M$38,$A$8:$A$38,"&gt;="&amp;$AI$18+7*(6-1),$A$8:$A$38,"&lt;="&amp;$AI$18+7*(6-1)+6)+SUMIFS('2027年01月'!$M$8:$M$38,'2027年01月'!$A$8:$A$38,"&gt;="&amp;$AI$18+7*(6-1),'2027年01月'!$A$8:$A$38,"&lt;="&amp;$AI$18+7*(6-1)+6)),""))</f>
        <v/>
      </c>
      <c r="AG25" s="31" t="str">
        <f>IF($AB25="","",IFERROR((SUMIFS($P$8:$P$38,$A$8:$A$38,"&gt;="&amp;$AI$18+7*(6-1),$A$8:$A$38,"&lt;="&amp;$AI$18+7*(6-1)+6)+SUMIFS('2027年01月'!$P$8:$P$38,'2027年01月'!$A$8:$A$38,"&gt;="&amp;$AI$18+7*(6-1),'2027年01月'!$A$8:$A$38,"&lt;="&amp;$AI$18+7*(6-1)+6))/(SUMIFS($O$8:$O$38,$A$8:$A$38,"&gt;="&amp;$AI$18+7*(6-1),$A$8:$A$38,"&lt;="&amp;$AI$18+7*(6-1)+6)+SUMIFS('2027年01月'!$O$8:$O$38,'2027年01月'!$A$8:$A$38,"&gt;="&amp;$AI$18+7*(6-1),'2027年01月'!$A$8:$A$38,"&lt;="&amp;$AI$18+7*(6-1)+6)),""))</f>
        <v/>
      </c>
    </row>
    <row r="26" ht="15.75" customHeight="1">
      <c r="A26" s="16">
        <v>46375.0</v>
      </c>
      <c r="B26" s="13" t="str">
        <f t="shared" si="2"/>
        <v>土</v>
      </c>
      <c r="C26" s="18"/>
      <c r="D26" s="15">
        <f t="shared" si="3"/>
        <v>0</v>
      </c>
      <c r="E26" s="18"/>
      <c r="F26" s="18"/>
      <c r="G26" s="15" t="str">
        <f t="shared" si="4"/>
        <v/>
      </c>
      <c r="H26" s="15" t="str">
        <f t="shared" si="5"/>
        <v/>
      </c>
      <c r="I26" s="17" t="str">
        <f t="shared" ref="I26:J26" si="33">IF(G26="","",IFERROR(G26/C26,""))</f>
        <v/>
      </c>
      <c r="J26" s="17" t="str">
        <f t="shared" si="33"/>
        <v/>
      </c>
      <c r="K26" s="15" t="str">
        <f t="shared" si="7"/>
        <v/>
      </c>
      <c r="L26" s="20" t="str">
        <f t="shared" si="8"/>
        <v>—</v>
      </c>
      <c r="M26" s="22"/>
      <c r="N26" s="22"/>
      <c r="O26" s="22"/>
      <c r="P26" s="22"/>
      <c r="Q26" s="22"/>
      <c r="R26" s="17" t="str">
        <f t="shared" si="9"/>
        <v/>
      </c>
      <c r="S26" s="15" t="str">
        <f t="shared" si="10"/>
        <v/>
      </c>
      <c r="T26" s="24" t="str">
        <f t="shared" si="11"/>
        <v/>
      </c>
      <c r="U26" s="17" t="str">
        <f t="shared" si="12"/>
        <v/>
      </c>
      <c r="V26" s="22"/>
      <c r="W26" s="22"/>
      <c r="X26" s="18"/>
      <c r="Y26" s="26"/>
      <c r="AA26" s="35" t="s">
        <v>135</v>
      </c>
    </row>
    <row r="27" ht="15.75" customHeight="1">
      <c r="A27" s="32">
        <v>46376.0</v>
      </c>
      <c r="B27" s="21" t="str">
        <f t="shared" si="2"/>
        <v>日</v>
      </c>
      <c r="C27" s="18"/>
      <c r="D27" s="23">
        <f t="shared" si="3"/>
        <v>0</v>
      </c>
      <c r="E27" s="18"/>
      <c r="F27" s="18"/>
      <c r="G27" s="23" t="str">
        <f t="shared" si="4"/>
        <v/>
      </c>
      <c r="H27" s="23" t="str">
        <f t="shared" si="5"/>
        <v/>
      </c>
      <c r="I27" s="25" t="str">
        <f t="shared" ref="I27:J27" si="34">IF(G27="","",IFERROR(G27/C27,""))</f>
        <v/>
      </c>
      <c r="J27" s="25" t="str">
        <f t="shared" si="34"/>
        <v/>
      </c>
      <c r="K27" s="23" t="str">
        <f t="shared" si="7"/>
        <v/>
      </c>
      <c r="L27" s="33" t="str">
        <f t="shared" si="8"/>
        <v>—</v>
      </c>
      <c r="M27" s="22"/>
      <c r="N27" s="22"/>
      <c r="O27" s="22"/>
      <c r="P27" s="22"/>
      <c r="Q27" s="22"/>
      <c r="R27" s="25" t="str">
        <f t="shared" si="9"/>
        <v/>
      </c>
      <c r="S27" s="23" t="str">
        <f t="shared" si="10"/>
        <v/>
      </c>
      <c r="T27" s="34" t="str">
        <f t="shared" si="11"/>
        <v/>
      </c>
      <c r="U27" s="25" t="str">
        <f t="shared" si="12"/>
        <v/>
      </c>
      <c r="V27" s="22"/>
      <c r="W27" s="22"/>
      <c r="X27" s="18"/>
      <c r="Y27" s="26"/>
      <c r="AA27" s="35" t="s">
        <v>137</v>
      </c>
    </row>
    <row r="28" ht="15.75" customHeight="1">
      <c r="A28" s="16">
        <v>46377.0</v>
      </c>
      <c r="B28" s="13" t="str">
        <f t="shared" si="2"/>
        <v>月</v>
      </c>
      <c r="C28" s="18"/>
      <c r="D28" s="15">
        <f t="shared" si="3"/>
        <v>0</v>
      </c>
      <c r="E28" s="18"/>
      <c r="F28" s="18"/>
      <c r="G28" s="15" t="str">
        <f t="shared" si="4"/>
        <v/>
      </c>
      <c r="H28" s="15" t="str">
        <f t="shared" si="5"/>
        <v/>
      </c>
      <c r="I28" s="17" t="str">
        <f t="shared" ref="I28:J28" si="35">IF(G28="","",IFERROR(G28/C28,""))</f>
        <v/>
      </c>
      <c r="J28" s="17" t="str">
        <f t="shared" si="35"/>
        <v/>
      </c>
      <c r="K28" s="15" t="str">
        <f t="shared" si="7"/>
        <v/>
      </c>
      <c r="L28" s="20" t="str">
        <f t="shared" si="8"/>
        <v>—</v>
      </c>
      <c r="M28" s="22"/>
      <c r="N28" s="22"/>
      <c r="O28" s="22"/>
      <c r="P28" s="22"/>
      <c r="Q28" s="22"/>
      <c r="R28" s="17" t="str">
        <f t="shared" si="9"/>
        <v/>
      </c>
      <c r="S28" s="15" t="str">
        <f t="shared" si="10"/>
        <v/>
      </c>
      <c r="T28" s="24" t="str">
        <f t="shared" si="11"/>
        <v/>
      </c>
      <c r="U28" s="17" t="str">
        <f t="shared" si="12"/>
        <v/>
      </c>
      <c r="V28" s="22"/>
      <c r="W28" s="22"/>
      <c r="X28" s="18"/>
      <c r="Y28" s="26"/>
      <c r="AA28" s="35" t="s">
        <v>138</v>
      </c>
    </row>
    <row r="29" ht="15.75" customHeight="1">
      <c r="A29" s="32">
        <v>46378.0</v>
      </c>
      <c r="B29" s="21" t="str">
        <f t="shared" si="2"/>
        <v>火</v>
      </c>
      <c r="C29" s="18"/>
      <c r="D29" s="23">
        <f t="shared" si="3"/>
        <v>0</v>
      </c>
      <c r="E29" s="18"/>
      <c r="F29" s="18"/>
      <c r="G29" s="23" t="str">
        <f t="shared" si="4"/>
        <v/>
      </c>
      <c r="H29" s="23" t="str">
        <f t="shared" si="5"/>
        <v/>
      </c>
      <c r="I29" s="25" t="str">
        <f t="shared" ref="I29:J29" si="36">IF(G29="","",IFERROR(G29/C29,""))</f>
        <v/>
      </c>
      <c r="J29" s="25" t="str">
        <f t="shared" si="36"/>
        <v/>
      </c>
      <c r="K29" s="23" t="str">
        <f t="shared" si="7"/>
        <v/>
      </c>
      <c r="L29" s="33" t="str">
        <f t="shared" si="8"/>
        <v>—</v>
      </c>
      <c r="M29" s="22"/>
      <c r="N29" s="22"/>
      <c r="O29" s="22"/>
      <c r="P29" s="22"/>
      <c r="Q29" s="22"/>
      <c r="R29" s="25" t="str">
        <f t="shared" si="9"/>
        <v/>
      </c>
      <c r="S29" s="23" t="str">
        <f t="shared" si="10"/>
        <v/>
      </c>
      <c r="T29" s="34" t="str">
        <f t="shared" si="11"/>
        <v/>
      </c>
      <c r="U29" s="25" t="str">
        <f t="shared" si="12"/>
        <v/>
      </c>
      <c r="V29" s="22"/>
      <c r="W29" s="22"/>
      <c r="X29" s="18"/>
      <c r="Y29" s="26"/>
    </row>
    <row r="30" ht="15.75" customHeight="1">
      <c r="A30" s="16">
        <v>46379.0</v>
      </c>
      <c r="B30" s="13" t="str">
        <f t="shared" si="2"/>
        <v>水</v>
      </c>
      <c r="C30" s="18"/>
      <c r="D30" s="15">
        <f t="shared" si="3"/>
        <v>0</v>
      </c>
      <c r="E30" s="18"/>
      <c r="F30" s="18"/>
      <c r="G30" s="15" t="str">
        <f t="shared" si="4"/>
        <v/>
      </c>
      <c r="H30" s="15" t="str">
        <f t="shared" si="5"/>
        <v/>
      </c>
      <c r="I30" s="17" t="str">
        <f t="shared" ref="I30:J30" si="37">IF(G30="","",IFERROR(G30/C30,""))</f>
        <v/>
      </c>
      <c r="J30" s="17" t="str">
        <f t="shared" si="37"/>
        <v/>
      </c>
      <c r="K30" s="15" t="str">
        <f t="shared" si="7"/>
        <v/>
      </c>
      <c r="L30" s="20" t="str">
        <f t="shared" si="8"/>
        <v>—</v>
      </c>
      <c r="M30" s="22"/>
      <c r="N30" s="22"/>
      <c r="O30" s="22"/>
      <c r="P30" s="22"/>
      <c r="Q30" s="22"/>
      <c r="R30" s="17" t="str">
        <f t="shared" si="9"/>
        <v/>
      </c>
      <c r="S30" s="15" t="str">
        <f t="shared" si="10"/>
        <v/>
      </c>
      <c r="T30" s="24" t="str">
        <f t="shared" si="11"/>
        <v/>
      </c>
      <c r="U30" s="17" t="str">
        <f t="shared" si="12"/>
        <v/>
      </c>
      <c r="V30" s="22"/>
      <c r="W30" s="22"/>
      <c r="X30" s="18"/>
      <c r="Y30" s="26"/>
    </row>
    <row r="31" ht="15.75" customHeight="1">
      <c r="A31" s="32">
        <v>46380.0</v>
      </c>
      <c r="B31" s="21" t="str">
        <f t="shared" si="2"/>
        <v>木</v>
      </c>
      <c r="C31" s="18"/>
      <c r="D31" s="23">
        <f t="shared" si="3"/>
        <v>0</v>
      </c>
      <c r="E31" s="18"/>
      <c r="F31" s="18"/>
      <c r="G31" s="23" t="str">
        <f t="shared" si="4"/>
        <v/>
      </c>
      <c r="H31" s="23" t="str">
        <f t="shared" si="5"/>
        <v/>
      </c>
      <c r="I31" s="25" t="str">
        <f t="shared" ref="I31:J31" si="38">IF(G31="","",IFERROR(G31/C31,""))</f>
        <v/>
      </c>
      <c r="J31" s="25" t="str">
        <f t="shared" si="38"/>
        <v/>
      </c>
      <c r="K31" s="23" t="str">
        <f t="shared" si="7"/>
        <v/>
      </c>
      <c r="L31" s="33" t="str">
        <f t="shared" si="8"/>
        <v>—</v>
      </c>
      <c r="M31" s="22"/>
      <c r="N31" s="22"/>
      <c r="O31" s="22"/>
      <c r="P31" s="22"/>
      <c r="Q31" s="22"/>
      <c r="R31" s="25" t="str">
        <f t="shared" si="9"/>
        <v/>
      </c>
      <c r="S31" s="23" t="str">
        <f t="shared" si="10"/>
        <v/>
      </c>
      <c r="T31" s="34" t="str">
        <f t="shared" si="11"/>
        <v/>
      </c>
      <c r="U31" s="25" t="str">
        <f t="shared" si="12"/>
        <v/>
      </c>
      <c r="V31" s="22"/>
      <c r="W31" s="22"/>
      <c r="X31" s="18"/>
      <c r="Y31" s="26"/>
    </row>
    <row r="32" ht="15.75" customHeight="1">
      <c r="A32" s="16">
        <v>46381.0</v>
      </c>
      <c r="B32" s="13" t="str">
        <f t="shared" si="2"/>
        <v>金</v>
      </c>
      <c r="C32" s="18"/>
      <c r="D32" s="15">
        <f t="shared" si="3"/>
        <v>0</v>
      </c>
      <c r="E32" s="18"/>
      <c r="F32" s="18"/>
      <c r="G32" s="15" t="str">
        <f t="shared" si="4"/>
        <v/>
      </c>
      <c r="H32" s="15" t="str">
        <f t="shared" si="5"/>
        <v/>
      </c>
      <c r="I32" s="17" t="str">
        <f t="shared" ref="I32:J32" si="39">IF(G32="","",IFERROR(G32/C32,""))</f>
        <v/>
      </c>
      <c r="J32" s="17" t="str">
        <f t="shared" si="39"/>
        <v/>
      </c>
      <c r="K32" s="15" t="str">
        <f t="shared" si="7"/>
        <v/>
      </c>
      <c r="L32" s="20" t="str">
        <f t="shared" si="8"/>
        <v>—</v>
      </c>
      <c r="M32" s="22"/>
      <c r="N32" s="22"/>
      <c r="O32" s="22"/>
      <c r="P32" s="22"/>
      <c r="Q32" s="22"/>
      <c r="R32" s="17" t="str">
        <f t="shared" si="9"/>
        <v/>
      </c>
      <c r="S32" s="15" t="str">
        <f t="shared" si="10"/>
        <v/>
      </c>
      <c r="T32" s="24" t="str">
        <f t="shared" si="11"/>
        <v/>
      </c>
      <c r="U32" s="17" t="str">
        <f t="shared" si="12"/>
        <v/>
      </c>
      <c r="V32" s="22"/>
      <c r="W32" s="22"/>
      <c r="X32" s="18"/>
      <c r="Y32" s="26"/>
    </row>
    <row r="33" ht="15.75" customHeight="1">
      <c r="A33" s="32">
        <v>46382.0</v>
      </c>
      <c r="B33" s="21" t="str">
        <f t="shared" si="2"/>
        <v>土</v>
      </c>
      <c r="C33" s="18"/>
      <c r="D33" s="23">
        <f t="shared" si="3"/>
        <v>0</v>
      </c>
      <c r="E33" s="18"/>
      <c r="F33" s="18"/>
      <c r="G33" s="23" t="str">
        <f t="shared" si="4"/>
        <v/>
      </c>
      <c r="H33" s="23" t="str">
        <f t="shared" si="5"/>
        <v/>
      </c>
      <c r="I33" s="25" t="str">
        <f t="shared" ref="I33:J33" si="40">IF(G33="","",IFERROR(G33/C33,""))</f>
        <v/>
      </c>
      <c r="J33" s="25" t="str">
        <f t="shared" si="40"/>
        <v/>
      </c>
      <c r="K33" s="23" t="str">
        <f t="shared" si="7"/>
        <v/>
      </c>
      <c r="L33" s="33" t="str">
        <f t="shared" si="8"/>
        <v>—</v>
      </c>
      <c r="M33" s="22"/>
      <c r="N33" s="22"/>
      <c r="O33" s="22"/>
      <c r="P33" s="22"/>
      <c r="Q33" s="22"/>
      <c r="R33" s="25" t="str">
        <f t="shared" si="9"/>
        <v/>
      </c>
      <c r="S33" s="23" t="str">
        <f t="shared" si="10"/>
        <v/>
      </c>
      <c r="T33" s="34" t="str">
        <f t="shared" si="11"/>
        <v/>
      </c>
      <c r="U33" s="25" t="str">
        <f t="shared" si="12"/>
        <v/>
      </c>
      <c r="V33" s="22"/>
      <c r="W33" s="22"/>
      <c r="X33" s="18"/>
      <c r="Y33" s="26"/>
    </row>
    <row r="34" ht="15.75" customHeight="1">
      <c r="A34" s="16">
        <v>46383.0</v>
      </c>
      <c r="B34" s="13" t="str">
        <f t="shared" si="2"/>
        <v>日</v>
      </c>
      <c r="C34" s="18"/>
      <c r="D34" s="15">
        <f t="shared" si="3"/>
        <v>0</v>
      </c>
      <c r="E34" s="18"/>
      <c r="F34" s="18"/>
      <c r="G34" s="15" t="str">
        <f t="shared" si="4"/>
        <v/>
      </c>
      <c r="H34" s="15" t="str">
        <f t="shared" si="5"/>
        <v/>
      </c>
      <c r="I34" s="17" t="str">
        <f t="shared" ref="I34:J34" si="41">IF(G34="","",IFERROR(G34/C34,""))</f>
        <v/>
      </c>
      <c r="J34" s="17" t="str">
        <f t="shared" si="41"/>
        <v/>
      </c>
      <c r="K34" s="15" t="str">
        <f t="shared" si="7"/>
        <v/>
      </c>
      <c r="L34" s="20" t="str">
        <f t="shared" si="8"/>
        <v>—</v>
      </c>
      <c r="M34" s="22"/>
      <c r="N34" s="22"/>
      <c r="O34" s="22"/>
      <c r="P34" s="22"/>
      <c r="Q34" s="22"/>
      <c r="R34" s="17" t="str">
        <f t="shared" si="9"/>
        <v/>
      </c>
      <c r="S34" s="15" t="str">
        <f t="shared" si="10"/>
        <v/>
      </c>
      <c r="T34" s="24" t="str">
        <f t="shared" si="11"/>
        <v/>
      </c>
      <c r="U34" s="17" t="str">
        <f t="shared" si="12"/>
        <v/>
      </c>
      <c r="V34" s="22"/>
      <c r="W34" s="22"/>
      <c r="X34" s="18"/>
      <c r="Y34" s="26"/>
    </row>
    <row r="35" ht="15.75" customHeight="1">
      <c r="A35" s="32">
        <v>46384.0</v>
      </c>
      <c r="B35" s="21" t="str">
        <f t="shared" si="2"/>
        <v>月</v>
      </c>
      <c r="C35" s="18"/>
      <c r="D35" s="23">
        <f t="shared" si="3"/>
        <v>0</v>
      </c>
      <c r="E35" s="18"/>
      <c r="F35" s="18"/>
      <c r="G35" s="23" t="str">
        <f t="shared" si="4"/>
        <v/>
      </c>
      <c r="H35" s="23" t="str">
        <f t="shared" si="5"/>
        <v/>
      </c>
      <c r="I35" s="25" t="str">
        <f t="shared" ref="I35:J35" si="42">IF(G35="","",IFERROR(G35/C35,""))</f>
        <v/>
      </c>
      <c r="J35" s="25" t="str">
        <f t="shared" si="42"/>
        <v/>
      </c>
      <c r="K35" s="23" t="str">
        <f t="shared" si="7"/>
        <v/>
      </c>
      <c r="L35" s="33" t="str">
        <f t="shared" si="8"/>
        <v>—</v>
      </c>
      <c r="M35" s="22"/>
      <c r="N35" s="22"/>
      <c r="O35" s="22"/>
      <c r="P35" s="22"/>
      <c r="Q35" s="22"/>
      <c r="R35" s="25" t="str">
        <f t="shared" si="9"/>
        <v/>
      </c>
      <c r="S35" s="23" t="str">
        <f t="shared" si="10"/>
        <v/>
      </c>
      <c r="T35" s="34" t="str">
        <f t="shared" si="11"/>
        <v/>
      </c>
      <c r="U35" s="25" t="str">
        <f t="shared" si="12"/>
        <v/>
      </c>
      <c r="V35" s="22"/>
      <c r="W35" s="22"/>
      <c r="X35" s="18"/>
      <c r="Y35" s="26"/>
    </row>
    <row r="36" ht="15.75" customHeight="1">
      <c r="A36" s="16">
        <v>46385.0</v>
      </c>
      <c r="B36" s="13" t="str">
        <f t="shared" si="2"/>
        <v>火</v>
      </c>
      <c r="C36" s="18"/>
      <c r="D36" s="15">
        <f t="shared" si="3"/>
        <v>0</v>
      </c>
      <c r="E36" s="18"/>
      <c r="F36" s="18"/>
      <c r="G36" s="15" t="str">
        <f t="shared" si="4"/>
        <v/>
      </c>
      <c r="H36" s="15" t="str">
        <f t="shared" si="5"/>
        <v/>
      </c>
      <c r="I36" s="17" t="str">
        <f t="shared" ref="I36:J36" si="43">IF(G36="","",IFERROR(G36/C36,""))</f>
        <v/>
      </c>
      <c r="J36" s="17" t="str">
        <f t="shared" si="43"/>
        <v/>
      </c>
      <c r="K36" s="15" t="str">
        <f t="shared" si="7"/>
        <v/>
      </c>
      <c r="L36" s="20" t="str">
        <f t="shared" si="8"/>
        <v>—</v>
      </c>
      <c r="M36" s="22"/>
      <c r="N36" s="22"/>
      <c r="O36" s="22"/>
      <c r="P36" s="22"/>
      <c r="Q36" s="22"/>
      <c r="R36" s="17" t="str">
        <f t="shared" si="9"/>
        <v/>
      </c>
      <c r="S36" s="15" t="str">
        <f t="shared" si="10"/>
        <v/>
      </c>
      <c r="T36" s="24" t="str">
        <f t="shared" si="11"/>
        <v/>
      </c>
      <c r="U36" s="17" t="str">
        <f t="shared" si="12"/>
        <v/>
      </c>
      <c r="V36" s="22"/>
      <c r="W36" s="22"/>
      <c r="X36" s="18"/>
      <c r="Y36" s="26"/>
    </row>
    <row r="37" ht="15.75" customHeight="1">
      <c r="A37" s="32">
        <v>46386.0</v>
      </c>
      <c r="B37" s="21" t="str">
        <f t="shared" si="2"/>
        <v>水</v>
      </c>
      <c r="C37" s="18"/>
      <c r="D37" s="23">
        <f t="shared" si="3"/>
        <v>0</v>
      </c>
      <c r="E37" s="18"/>
      <c r="F37" s="18"/>
      <c r="G37" s="23" t="str">
        <f t="shared" si="4"/>
        <v/>
      </c>
      <c r="H37" s="23" t="str">
        <f t="shared" si="5"/>
        <v/>
      </c>
      <c r="I37" s="25" t="str">
        <f t="shared" ref="I37:J37" si="44">IF(G37="","",IFERROR(G37/C37,""))</f>
        <v/>
      </c>
      <c r="J37" s="25" t="str">
        <f t="shared" si="44"/>
        <v/>
      </c>
      <c r="K37" s="23" t="str">
        <f t="shared" si="7"/>
        <v/>
      </c>
      <c r="L37" s="33" t="str">
        <f t="shared" si="8"/>
        <v>—</v>
      </c>
      <c r="M37" s="22"/>
      <c r="N37" s="22"/>
      <c r="O37" s="22"/>
      <c r="P37" s="22"/>
      <c r="Q37" s="22"/>
      <c r="R37" s="25" t="str">
        <f t="shared" si="9"/>
        <v/>
      </c>
      <c r="S37" s="23" t="str">
        <f t="shared" si="10"/>
        <v/>
      </c>
      <c r="T37" s="34" t="str">
        <f t="shared" si="11"/>
        <v/>
      </c>
      <c r="U37" s="25" t="str">
        <f t="shared" si="12"/>
        <v/>
      </c>
      <c r="V37" s="22"/>
      <c r="W37" s="22"/>
      <c r="X37" s="18"/>
      <c r="Y37" s="26"/>
    </row>
    <row r="38" ht="15.75" customHeight="1">
      <c r="A38" s="16">
        <v>46387.0</v>
      </c>
      <c r="B38" s="13" t="str">
        <f t="shared" si="2"/>
        <v>木</v>
      </c>
      <c r="C38" s="18"/>
      <c r="D38" s="15">
        <f t="shared" si="3"/>
        <v>0</v>
      </c>
      <c r="E38" s="18"/>
      <c r="F38" s="18"/>
      <c r="G38" s="15" t="str">
        <f t="shared" si="4"/>
        <v/>
      </c>
      <c r="H38" s="15" t="str">
        <f t="shared" si="5"/>
        <v/>
      </c>
      <c r="I38" s="17" t="str">
        <f t="shared" ref="I38:J38" si="45">IF(G38="","",IFERROR(G38/C38,""))</f>
        <v/>
      </c>
      <c r="J38" s="17" t="str">
        <f t="shared" si="45"/>
        <v/>
      </c>
      <c r="K38" s="15" t="str">
        <f t="shared" si="7"/>
        <v/>
      </c>
      <c r="L38" s="20" t="str">
        <f t="shared" si="8"/>
        <v>—</v>
      </c>
      <c r="M38" s="22"/>
      <c r="N38" s="22"/>
      <c r="O38" s="22"/>
      <c r="P38" s="22"/>
      <c r="Q38" s="22"/>
      <c r="R38" s="17" t="str">
        <f t="shared" si="9"/>
        <v/>
      </c>
      <c r="S38" s="15" t="str">
        <f t="shared" si="10"/>
        <v/>
      </c>
      <c r="T38" s="24" t="str">
        <f t="shared" si="11"/>
        <v/>
      </c>
      <c r="U38" s="17" t="str">
        <f t="shared" si="12"/>
        <v/>
      </c>
      <c r="V38" s="22"/>
      <c r="W38" s="22"/>
      <c r="X38" s="18"/>
      <c r="Y38" s="26"/>
    </row>
    <row r="39" ht="15.75" customHeight="1">
      <c r="A39" s="45" t="s">
        <v>92</v>
      </c>
      <c r="B39" s="36"/>
      <c r="C39" s="37">
        <f>SUM(C8:C38)</f>
        <v>0</v>
      </c>
      <c r="D39" s="37">
        <f>C39</f>
        <v>0</v>
      </c>
      <c r="E39" s="37">
        <f t="shared" ref="E39:G39" si="46">SUM(E8:E38)</f>
        <v>0</v>
      </c>
      <c r="F39" s="37">
        <f t="shared" si="46"/>
        <v>0</v>
      </c>
      <c r="G39" s="37">
        <f t="shared" si="46"/>
        <v>0</v>
      </c>
      <c r="H39" s="37">
        <f>G39</f>
        <v>0</v>
      </c>
      <c r="I39" s="39" t="str">
        <f>IFERROR(G39/C39,"")</f>
        <v/>
      </c>
      <c r="J39" s="39" t="str">
        <f>IFERROR(G39/C39,"")</f>
        <v/>
      </c>
      <c r="K39" s="37">
        <f>G39-C39</f>
        <v>0</v>
      </c>
      <c r="L39" s="46"/>
      <c r="M39" s="41">
        <f t="shared" ref="M39:Q39" si="47">SUM(M8:M38)</f>
        <v>0</v>
      </c>
      <c r="N39" s="41">
        <f t="shared" si="47"/>
        <v>0</v>
      </c>
      <c r="O39" s="41">
        <f t="shared" si="47"/>
        <v>0</v>
      </c>
      <c r="P39" s="41">
        <f t="shared" si="47"/>
        <v>0</v>
      </c>
      <c r="Q39" s="41">
        <f t="shared" si="47"/>
        <v>0</v>
      </c>
      <c r="R39" s="39" t="str">
        <f t="shared" si="9"/>
        <v/>
      </c>
      <c r="S39" s="37" t="str">
        <f t="shared" si="10"/>
        <v/>
      </c>
      <c r="T39" s="47" t="str">
        <f t="shared" si="11"/>
        <v/>
      </c>
      <c r="U39" s="39" t="str">
        <f t="shared" si="12"/>
        <v/>
      </c>
      <c r="V39" s="41">
        <f>SUM(V8:V38)</f>
        <v>0</v>
      </c>
      <c r="W39" s="41" t="str">
        <f>IFERROR(LOOKUP(9.99E+307,W8:W38),"")</f>
        <v/>
      </c>
      <c r="X39" s="37">
        <f>SUM(X8:X38)</f>
        <v>0</v>
      </c>
      <c r="Y39" s="48" t="s">
        <v>93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127</v>
      </c>
      <c r="H3" s="6"/>
      <c r="I3" s="5" t="s">
        <v>7</v>
      </c>
      <c r="J3" s="6"/>
      <c r="K3" s="5" t="s">
        <v>8</v>
      </c>
      <c r="L3" s="6"/>
    </row>
    <row r="4">
      <c r="A4" s="7">
        <f>IF('設定'!$B$17="",SUM(C8:C38),'設定'!$B$17)</f>
        <v>8000000</v>
      </c>
      <c r="B4" s="6"/>
      <c r="C4" s="8">
        <f>SUM(G8:G38)</f>
        <v>0</v>
      </c>
      <c r="D4" s="6"/>
      <c r="E4" s="9">
        <f>IFERROR(C4/A4,0)</f>
        <v>0</v>
      </c>
      <c r="F4" s="6"/>
      <c r="G4" s="10">
        <f>COUNTIF(G8:G38,"&gt;0")</f>
        <v>0</v>
      </c>
      <c r="H4" s="6"/>
      <c r="I4" s="8">
        <f>A4-C4</f>
        <v>8000000</v>
      </c>
      <c r="J4" s="6"/>
      <c r="K4" s="8">
        <f>IF((31-G4)&gt;0,(A4-C4)/(31-G4),0)</f>
        <v>258064.5161</v>
      </c>
      <c r="L4" s="6"/>
    </row>
    <row r="5">
      <c r="A5" s="5" t="s">
        <v>16</v>
      </c>
      <c r="B5" s="6"/>
      <c r="C5" s="5" t="s">
        <v>17</v>
      </c>
      <c r="D5" s="6"/>
      <c r="E5" s="5" t="s">
        <v>18</v>
      </c>
      <c r="F5" s="6"/>
      <c r="G5" s="5" t="s">
        <v>19</v>
      </c>
      <c r="H5" s="6"/>
      <c r="I5" s="5" t="s">
        <v>20</v>
      </c>
      <c r="J5" s="6"/>
      <c r="K5" s="5" t="s">
        <v>21</v>
      </c>
      <c r="L5" s="6"/>
    </row>
    <row r="6">
      <c r="A6" s="8">
        <f>SUM(C8:C38)</f>
        <v>0</v>
      </c>
      <c r="B6" s="6"/>
      <c r="C6" s="8">
        <f>IFERROR(C4/G4*31,0)</f>
        <v>0</v>
      </c>
      <c r="D6" s="6"/>
      <c r="E6" s="9">
        <f>IFERROR(M39/O39,0)</f>
        <v>0</v>
      </c>
      <c r="F6" s="6"/>
      <c r="G6" s="8">
        <f>IFERROR(G39/M39,0)</f>
        <v>0</v>
      </c>
      <c r="H6" s="6"/>
      <c r="I6" s="12">
        <f>IFERROR(N39/M39,0)</f>
        <v>0</v>
      </c>
      <c r="J6" s="6"/>
      <c r="K6" s="9">
        <f>IFERROR(P39/O39,0)</f>
        <v>0</v>
      </c>
      <c r="L6" s="6"/>
    </row>
    <row r="7" ht="30.0" customHeight="1">
      <c r="A7" s="11" t="s">
        <v>32</v>
      </c>
      <c r="B7" s="11" t="s">
        <v>33</v>
      </c>
      <c r="C7" s="11" t="s">
        <v>34</v>
      </c>
      <c r="D7" s="11" t="s">
        <v>28</v>
      </c>
      <c r="E7" s="11" t="s">
        <v>35</v>
      </c>
      <c r="F7" s="11" t="s">
        <v>36</v>
      </c>
      <c r="G7" s="11" t="s">
        <v>37</v>
      </c>
      <c r="H7" s="11" t="s">
        <v>29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26</v>
      </c>
      <c r="N7" s="11" t="s">
        <v>42</v>
      </c>
      <c r="O7" s="11" t="s">
        <v>27</v>
      </c>
      <c r="P7" s="11" t="s">
        <v>43</v>
      </c>
      <c r="Q7" s="11" t="s">
        <v>44</v>
      </c>
      <c r="R7" s="11" t="s">
        <v>18</v>
      </c>
      <c r="S7" s="11" t="s">
        <v>19</v>
      </c>
      <c r="T7" s="11" t="s">
        <v>20</v>
      </c>
      <c r="U7" s="11" t="s">
        <v>21</v>
      </c>
      <c r="V7" s="11" t="s">
        <v>45</v>
      </c>
      <c r="W7" s="11" t="s">
        <v>46</v>
      </c>
      <c r="X7" s="11" t="s">
        <v>47</v>
      </c>
      <c r="Y7" s="11" t="s">
        <v>48</v>
      </c>
      <c r="AA7" s="14" t="s">
        <v>49</v>
      </c>
      <c r="AB7" s="14" t="s">
        <v>50</v>
      </c>
      <c r="AC7" s="14" t="s">
        <v>51</v>
      </c>
      <c r="AD7" s="14" t="s">
        <v>18</v>
      </c>
      <c r="AE7" s="14" t="s">
        <v>19</v>
      </c>
    </row>
    <row r="8">
      <c r="A8" s="16">
        <v>46388.0</v>
      </c>
      <c r="B8" s="13" t="str">
        <f t="shared" ref="B8:B38" si="2">MID("日月火水木金土",WEEKDAY(A8),1)</f>
        <v>金</v>
      </c>
      <c r="C8" s="18"/>
      <c r="D8" s="15">
        <f t="shared" ref="D8:D38" si="3">SUM($C$8:C8)</f>
        <v>0</v>
      </c>
      <c r="E8" s="18"/>
      <c r="F8" s="18"/>
      <c r="G8" s="15" t="str">
        <f t="shared" ref="G8:G38" si="4">IF(COUNT(E8:F8)=0,"",SUM(E8:F8))</f>
        <v/>
      </c>
      <c r="H8" s="15" t="str">
        <f t="shared" ref="H8:H38" si="5">IF(G8="","",SUM($G$8:G8))</f>
        <v/>
      </c>
      <c r="I8" s="17" t="str">
        <f t="shared" ref="I8:J8" si="1">IF(G8="","",IFERROR(G8/C8,""))</f>
        <v/>
      </c>
      <c r="J8" s="17" t="str">
        <f t="shared" si="1"/>
        <v/>
      </c>
      <c r="K8" s="15" t="str">
        <f t="shared" ref="K8:K38" si="7">IF(H8="","",IF(D8=0,"",H8-D8))</f>
        <v/>
      </c>
      <c r="L8" s="20" t="str">
        <f t="shared" ref="L8:L38" si="8">IF(G8="","—",IF(D8=0,"予算未入力",IF(H8&gt;=D8,"◎ ペース内","▲ 遅れ")))</f>
        <v>—</v>
      </c>
      <c r="M8" s="22"/>
      <c r="N8" s="22"/>
      <c r="O8" s="22"/>
      <c r="P8" s="22"/>
      <c r="Q8" s="22"/>
      <c r="R8" s="17" t="str">
        <f t="shared" ref="R8:R39" si="9">IFERROR(M8/O8,"")</f>
        <v/>
      </c>
      <c r="S8" s="15" t="str">
        <f t="shared" ref="S8:S39" si="10">IFERROR(G8/M8,"")</f>
        <v/>
      </c>
      <c r="T8" s="24" t="str">
        <f t="shared" ref="T8:T39" si="11">IFERROR(N8/M8,"")</f>
        <v/>
      </c>
      <c r="U8" s="17" t="str">
        <f t="shared" ref="U8:U39" si="12">IFERROR(P8/O8,"")</f>
        <v/>
      </c>
      <c r="V8" s="22"/>
      <c r="W8" s="22"/>
      <c r="X8" s="18"/>
      <c r="Y8" s="26"/>
      <c r="AA8" s="27" t="s">
        <v>22</v>
      </c>
      <c r="AB8" s="29">
        <f t="shared" ref="AB8:AB14" si="13">IFERROR(AVERAGEIFS($G$8:$G$38,$B$8:$B$38,AA8,$G$8:$G$38,"&gt;0"),0)</f>
        <v>0</v>
      </c>
      <c r="AC8" s="30">
        <f t="shared" ref="AC8:AC14" si="14">COUNTIFS($B$8:$B$38,AA8,$G$8:$G$38,"&gt;0")</f>
        <v>0</v>
      </c>
      <c r="AD8" s="31">
        <f t="shared" ref="AD8:AD14" si="15">IFERROR(SUMIF($B$8:$B$38,AA8,$M$8:$M$38)/SUMIF($B$8:$B$38,AA8,$O$8:$O$38),0)</f>
        <v>0</v>
      </c>
      <c r="AE8" s="29">
        <f t="shared" ref="AE8:AE14" si="16">IFERROR(SUMIF($B$8:$B$38,AA8,$G$8:$G$38)/SUMIF($B$8:$B$38,AA8,$M$8:$M$38),0)</f>
        <v>0</v>
      </c>
    </row>
    <row r="9">
      <c r="A9" s="32">
        <v>46389.0</v>
      </c>
      <c r="B9" s="21" t="str">
        <f t="shared" si="2"/>
        <v>土</v>
      </c>
      <c r="C9" s="18"/>
      <c r="D9" s="23">
        <f t="shared" si="3"/>
        <v>0</v>
      </c>
      <c r="E9" s="18"/>
      <c r="F9" s="18"/>
      <c r="G9" s="23" t="str">
        <f t="shared" si="4"/>
        <v/>
      </c>
      <c r="H9" s="23" t="str">
        <f t="shared" si="5"/>
        <v/>
      </c>
      <c r="I9" s="25" t="str">
        <f t="shared" ref="I9:J9" si="6">IF(G9="","",IFERROR(G9/C9,""))</f>
        <v/>
      </c>
      <c r="J9" s="25" t="str">
        <f t="shared" si="6"/>
        <v/>
      </c>
      <c r="K9" s="23" t="str">
        <f t="shared" si="7"/>
        <v/>
      </c>
      <c r="L9" s="33" t="str">
        <f t="shared" si="8"/>
        <v>—</v>
      </c>
      <c r="M9" s="22"/>
      <c r="N9" s="22"/>
      <c r="O9" s="22"/>
      <c r="P9" s="22"/>
      <c r="Q9" s="22"/>
      <c r="R9" s="25" t="str">
        <f t="shared" si="9"/>
        <v/>
      </c>
      <c r="S9" s="23" t="str">
        <f t="shared" si="10"/>
        <v/>
      </c>
      <c r="T9" s="34" t="str">
        <f t="shared" si="11"/>
        <v/>
      </c>
      <c r="U9" s="25" t="str">
        <f t="shared" si="12"/>
        <v/>
      </c>
      <c r="V9" s="22"/>
      <c r="W9" s="22"/>
      <c r="X9" s="18"/>
      <c r="Y9" s="26"/>
      <c r="AA9" s="27" t="s">
        <v>59</v>
      </c>
      <c r="AB9" s="29">
        <f t="shared" si="13"/>
        <v>0</v>
      </c>
      <c r="AC9" s="30">
        <f t="shared" si="14"/>
        <v>0</v>
      </c>
      <c r="AD9" s="31">
        <f t="shared" si="15"/>
        <v>0</v>
      </c>
      <c r="AE9" s="29">
        <f t="shared" si="16"/>
        <v>0</v>
      </c>
    </row>
    <row r="10">
      <c r="A10" s="16">
        <v>46390.0</v>
      </c>
      <c r="B10" s="13" t="str">
        <f t="shared" si="2"/>
        <v>日</v>
      </c>
      <c r="C10" s="18"/>
      <c r="D10" s="15">
        <f t="shared" si="3"/>
        <v>0</v>
      </c>
      <c r="E10" s="18"/>
      <c r="F10" s="18"/>
      <c r="G10" s="15" t="str">
        <f t="shared" si="4"/>
        <v/>
      </c>
      <c r="H10" s="15" t="str">
        <f t="shared" si="5"/>
        <v/>
      </c>
      <c r="I10" s="17" t="str">
        <f t="shared" ref="I10:J10" si="17">IF(G10="","",IFERROR(G10/C10,""))</f>
        <v/>
      </c>
      <c r="J10" s="17" t="str">
        <f t="shared" si="17"/>
        <v/>
      </c>
      <c r="K10" s="15" t="str">
        <f t="shared" si="7"/>
        <v/>
      </c>
      <c r="L10" s="20" t="str">
        <f t="shared" si="8"/>
        <v>—</v>
      </c>
      <c r="M10" s="22"/>
      <c r="N10" s="22"/>
      <c r="O10" s="22"/>
      <c r="P10" s="22"/>
      <c r="Q10" s="22"/>
      <c r="R10" s="17" t="str">
        <f t="shared" si="9"/>
        <v/>
      </c>
      <c r="S10" s="15" t="str">
        <f t="shared" si="10"/>
        <v/>
      </c>
      <c r="T10" s="24" t="str">
        <f t="shared" si="11"/>
        <v/>
      </c>
      <c r="U10" s="17" t="str">
        <f t="shared" si="12"/>
        <v/>
      </c>
      <c r="V10" s="22"/>
      <c r="W10" s="22"/>
      <c r="X10" s="18"/>
      <c r="Y10" s="26"/>
      <c r="AA10" s="27" t="s">
        <v>61</v>
      </c>
      <c r="AB10" s="29">
        <f t="shared" si="13"/>
        <v>0</v>
      </c>
      <c r="AC10" s="30">
        <f t="shared" si="14"/>
        <v>0</v>
      </c>
      <c r="AD10" s="31">
        <f t="shared" si="15"/>
        <v>0</v>
      </c>
      <c r="AE10" s="29">
        <f t="shared" si="16"/>
        <v>0</v>
      </c>
    </row>
    <row r="11">
      <c r="A11" s="32">
        <v>46391.0</v>
      </c>
      <c r="B11" s="21" t="str">
        <f t="shared" si="2"/>
        <v>月</v>
      </c>
      <c r="C11" s="18"/>
      <c r="D11" s="23">
        <f t="shared" si="3"/>
        <v>0</v>
      </c>
      <c r="E11" s="18"/>
      <c r="F11" s="18"/>
      <c r="G11" s="23" t="str">
        <f t="shared" si="4"/>
        <v/>
      </c>
      <c r="H11" s="23" t="str">
        <f t="shared" si="5"/>
        <v/>
      </c>
      <c r="I11" s="25" t="str">
        <f t="shared" ref="I11:J11" si="18">IF(G11="","",IFERROR(G11/C11,""))</f>
        <v/>
      </c>
      <c r="J11" s="25" t="str">
        <f t="shared" si="18"/>
        <v/>
      </c>
      <c r="K11" s="23" t="str">
        <f t="shared" si="7"/>
        <v/>
      </c>
      <c r="L11" s="33" t="str">
        <f t="shared" si="8"/>
        <v>—</v>
      </c>
      <c r="M11" s="22"/>
      <c r="N11" s="22"/>
      <c r="O11" s="22"/>
      <c r="P11" s="22"/>
      <c r="Q11" s="22"/>
      <c r="R11" s="25" t="str">
        <f t="shared" si="9"/>
        <v/>
      </c>
      <c r="S11" s="23" t="str">
        <f t="shared" si="10"/>
        <v/>
      </c>
      <c r="T11" s="34" t="str">
        <f t="shared" si="11"/>
        <v/>
      </c>
      <c r="U11" s="25" t="str">
        <f t="shared" si="12"/>
        <v/>
      </c>
      <c r="V11" s="22"/>
      <c r="W11" s="22"/>
      <c r="X11" s="18"/>
      <c r="Y11" s="26"/>
      <c r="AA11" s="27" t="s">
        <v>63</v>
      </c>
      <c r="AB11" s="29">
        <f t="shared" si="13"/>
        <v>0</v>
      </c>
      <c r="AC11" s="30">
        <f t="shared" si="14"/>
        <v>0</v>
      </c>
      <c r="AD11" s="31">
        <f t="shared" si="15"/>
        <v>0</v>
      </c>
      <c r="AE11" s="29">
        <f t="shared" si="16"/>
        <v>0</v>
      </c>
    </row>
    <row r="12">
      <c r="A12" s="16">
        <v>46392.0</v>
      </c>
      <c r="B12" s="13" t="str">
        <f t="shared" si="2"/>
        <v>火</v>
      </c>
      <c r="C12" s="18"/>
      <c r="D12" s="15">
        <f t="shared" si="3"/>
        <v>0</v>
      </c>
      <c r="E12" s="18"/>
      <c r="F12" s="18"/>
      <c r="G12" s="15" t="str">
        <f t="shared" si="4"/>
        <v/>
      </c>
      <c r="H12" s="15" t="str">
        <f t="shared" si="5"/>
        <v/>
      </c>
      <c r="I12" s="17" t="str">
        <f t="shared" ref="I12:J12" si="19">IF(G12="","",IFERROR(G12/C12,""))</f>
        <v/>
      </c>
      <c r="J12" s="17" t="str">
        <f t="shared" si="19"/>
        <v/>
      </c>
      <c r="K12" s="15" t="str">
        <f t="shared" si="7"/>
        <v/>
      </c>
      <c r="L12" s="20" t="str">
        <f t="shared" si="8"/>
        <v>—</v>
      </c>
      <c r="M12" s="22"/>
      <c r="N12" s="22"/>
      <c r="O12" s="22"/>
      <c r="P12" s="22"/>
      <c r="Q12" s="22"/>
      <c r="R12" s="17" t="str">
        <f t="shared" si="9"/>
        <v/>
      </c>
      <c r="S12" s="15" t="str">
        <f t="shared" si="10"/>
        <v/>
      </c>
      <c r="T12" s="24" t="str">
        <f t="shared" si="11"/>
        <v/>
      </c>
      <c r="U12" s="17" t="str">
        <f t="shared" si="12"/>
        <v/>
      </c>
      <c r="V12" s="22"/>
      <c r="W12" s="22"/>
      <c r="X12" s="18"/>
      <c r="Y12" s="26"/>
      <c r="AA12" s="27" t="s">
        <v>65</v>
      </c>
      <c r="AB12" s="29">
        <f t="shared" si="13"/>
        <v>0</v>
      </c>
      <c r="AC12" s="30">
        <f t="shared" si="14"/>
        <v>0</v>
      </c>
      <c r="AD12" s="31">
        <f t="shared" si="15"/>
        <v>0</v>
      </c>
      <c r="AE12" s="29">
        <f t="shared" si="16"/>
        <v>0</v>
      </c>
    </row>
    <row r="13">
      <c r="A13" s="32">
        <v>46393.0</v>
      </c>
      <c r="B13" s="21" t="str">
        <f t="shared" si="2"/>
        <v>水</v>
      </c>
      <c r="C13" s="18"/>
      <c r="D13" s="23">
        <f t="shared" si="3"/>
        <v>0</v>
      </c>
      <c r="E13" s="18"/>
      <c r="F13" s="18"/>
      <c r="G13" s="23" t="str">
        <f t="shared" si="4"/>
        <v/>
      </c>
      <c r="H13" s="23" t="str">
        <f t="shared" si="5"/>
        <v/>
      </c>
      <c r="I13" s="25" t="str">
        <f t="shared" ref="I13:J13" si="20">IF(G13="","",IFERROR(G13/C13,""))</f>
        <v/>
      </c>
      <c r="J13" s="25" t="str">
        <f t="shared" si="20"/>
        <v/>
      </c>
      <c r="K13" s="23" t="str">
        <f t="shared" si="7"/>
        <v/>
      </c>
      <c r="L13" s="33" t="str">
        <f t="shared" si="8"/>
        <v>—</v>
      </c>
      <c r="M13" s="22"/>
      <c r="N13" s="22"/>
      <c r="O13" s="22"/>
      <c r="P13" s="22"/>
      <c r="Q13" s="22"/>
      <c r="R13" s="25" t="str">
        <f t="shared" si="9"/>
        <v/>
      </c>
      <c r="S13" s="23" t="str">
        <f t="shared" si="10"/>
        <v/>
      </c>
      <c r="T13" s="34" t="str">
        <f t="shared" si="11"/>
        <v/>
      </c>
      <c r="U13" s="25" t="str">
        <f t="shared" si="12"/>
        <v/>
      </c>
      <c r="V13" s="22"/>
      <c r="W13" s="22"/>
      <c r="X13" s="18"/>
      <c r="Y13" s="26"/>
      <c r="AA13" s="27" t="s">
        <v>67</v>
      </c>
      <c r="AB13" s="29">
        <f t="shared" si="13"/>
        <v>0</v>
      </c>
      <c r="AC13" s="30">
        <f t="shared" si="14"/>
        <v>0</v>
      </c>
      <c r="AD13" s="31">
        <f t="shared" si="15"/>
        <v>0</v>
      </c>
      <c r="AE13" s="29">
        <f t="shared" si="16"/>
        <v>0</v>
      </c>
    </row>
    <row r="14">
      <c r="A14" s="16">
        <v>46394.0</v>
      </c>
      <c r="B14" s="13" t="str">
        <f t="shared" si="2"/>
        <v>木</v>
      </c>
      <c r="C14" s="18"/>
      <c r="D14" s="15">
        <f t="shared" si="3"/>
        <v>0</v>
      </c>
      <c r="E14" s="18"/>
      <c r="F14" s="18"/>
      <c r="G14" s="15" t="str">
        <f t="shared" si="4"/>
        <v/>
      </c>
      <c r="H14" s="15" t="str">
        <f t="shared" si="5"/>
        <v/>
      </c>
      <c r="I14" s="17" t="str">
        <f t="shared" ref="I14:J14" si="21">IF(G14="","",IFERROR(G14/C14,""))</f>
        <v/>
      </c>
      <c r="J14" s="17" t="str">
        <f t="shared" si="21"/>
        <v/>
      </c>
      <c r="K14" s="15" t="str">
        <f t="shared" si="7"/>
        <v/>
      </c>
      <c r="L14" s="20" t="str">
        <f t="shared" si="8"/>
        <v>—</v>
      </c>
      <c r="M14" s="22"/>
      <c r="N14" s="22"/>
      <c r="O14" s="22"/>
      <c r="P14" s="22"/>
      <c r="Q14" s="22"/>
      <c r="R14" s="17" t="str">
        <f t="shared" si="9"/>
        <v/>
      </c>
      <c r="S14" s="15" t="str">
        <f t="shared" si="10"/>
        <v/>
      </c>
      <c r="T14" s="24" t="str">
        <f t="shared" si="11"/>
        <v/>
      </c>
      <c r="U14" s="17" t="str">
        <f t="shared" si="12"/>
        <v/>
      </c>
      <c r="V14" s="22"/>
      <c r="W14" s="22"/>
      <c r="X14" s="18"/>
      <c r="Y14" s="26"/>
      <c r="AA14" s="27" t="s">
        <v>69</v>
      </c>
      <c r="AB14" s="29">
        <f t="shared" si="13"/>
        <v>0</v>
      </c>
      <c r="AC14" s="30">
        <f t="shared" si="14"/>
        <v>0</v>
      </c>
      <c r="AD14" s="31">
        <f t="shared" si="15"/>
        <v>0</v>
      </c>
      <c r="AE14" s="29">
        <f t="shared" si="16"/>
        <v>0</v>
      </c>
    </row>
    <row r="15">
      <c r="A15" s="32">
        <v>46395.0</v>
      </c>
      <c r="B15" s="21" t="str">
        <f t="shared" si="2"/>
        <v>金</v>
      </c>
      <c r="C15" s="18"/>
      <c r="D15" s="23">
        <f t="shared" si="3"/>
        <v>0</v>
      </c>
      <c r="E15" s="18"/>
      <c r="F15" s="18"/>
      <c r="G15" s="23" t="str">
        <f t="shared" si="4"/>
        <v/>
      </c>
      <c r="H15" s="23" t="str">
        <f t="shared" si="5"/>
        <v/>
      </c>
      <c r="I15" s="25" t="str">
        <f t="shared" ref="I15:J15" si="22">IF(G15="","",IFERROR(G15/C15,""))</f>
        <v/>
      </c>
      <c r="J15" s="25" t="str">
        <f t="shared" si="22"/>
        <v/>
      </c>
      <c r="K15" s="23" t="str">
        <f t="shared" si="7"/>
        <v/>
      </c>
      <c r="L15" s="33" t="str">
        <f t="shared" si="8"/>
        <v>—</v>
      </c>
      <c r="M15" s="22"/>
      <c r="N15" s="22"/>
      <c r="O15" s="22"/>
      <c r="P15" s="22"/>
      <c r="Q15" s="22"/>
      <c r="R15" s="25" t="str">
        <f t="shared" si="9"/>
        <v/>
      </c>
      <c r="S15" s="23" t="str">
        <f t="shared" si="10"/>
        <v/>
      </c>
      <c r="T15" s="34" t="str">
        <f t="shared" si="11"/>
        <v/>
      </c>
      <c r="U15" s="25" t="str">
        <f t="shared" si="12"/>
        <v/>
      </c>
      <c r="V15" s="22"/>
      <c r="W15" s="22"/>
      <c r="X15" s="18"/>
      <c r="Y15" s="26"/>
    </row>
    <row r="16">
      <c r="A16" s="16">
        <v>46396.0</v>
      </c>
      <c r="B16" s="13" t="str">
        <f t="shared" si="2"/>
        <v>土</v>
      </c>
      <c r="C16" s="18"/>
      <c r="D16" s="15">
        <f t="shared" si="3"/>
        <v>0</v>
      </c>
      <c r="E16" s="18"/>
      <c r="F16" s="18"/>
      <c r="G16" s="15" t="str">
        <f t="shared" si="4"/>
        <v/>
      </c>
      <c r="H16" s="15" t="str">
        <f t="shared" si="5"/>
        <v/>
      </c>
      <c r="I16" s="17" t="str">
        <f t="shared" ref="I16:J16" si="23">IF(G16="","",IFERROR(G16/C16,""))</f>
        <v/>
      </c>
      <c r="J16" s="17" t="str">
        <f t="shared" si="23"/>
        <v/>
      </c>
      <c r="K16" s="15" t="str">
        <f t="shared" si="7"/>
        <v/>
      </c>
      <c r="L16" s="20" t="str">
        <f t="shared" si="8"/>
        <v>—</v>
      </c>
      <c r="M16" s="22"/>
      <c r="N16" s="22"/>
      <c r="O16" s="22"/>
      <c r="P16" s="22"/>
      <c r="Q16" s="22"/>
      <c r="R16" s="17" t="str">
        <f t="shared" si="9"/>
        <v/>
      </c>
      <c r="S16" s="15" t="str">
        <f t="shared" si="10"/>
        <v/>
      </c>
      <c r="T16" s="24" t="str">
        <f t="shared" si="11"/>
        <v/>
      </c>
      <c r="U16" s="17" t="str">
        <f t="shared" si="12"/>
        <v/>
      </c>
      <c r="V16" s="22"/>
      <c r="W16" s="22"/>
      <c r="X16" s="18"/>
      <c r="Y16" s="26"/>
      <c r="AA16" s="35" t="s">
        <v>71</v>
      </c>
    </row>
    <row r="17">
      <c r="A17" s="32">
        <v>46397.0</v>
      </c>
      <c r="B17" s="21" t="str">
        <f t="shared" si="2"/>
        <v>日</v>
      </c>
      <c r="C17" s="18"/>
      <c r="D17" s="23">
        <f t="shared" si="3"/>
        <v>0</v>
      </c>
      <c r="E17" s="18"/>
      <c r="F17" s="18"/>
      <c r="G17" s="23" t="str">
        <f t="shared" si="4"/>
        <v/>
      </c>
      <c r="H17" s="23" t="str">
        <f t="shared" si="5"/>
        <v/>
      </c>
      <c r="I17" s="25" t="str">
        <f t="shared" ref="I17:J17" si="24">IF(G17="","",IFERROR(G17/C17,""))</f>
        <v/>
      </c>
      <c r="J17" s="25" t="str">
        <f t="shared" si="24"/>
        <v/>
      </c>
      <c r="K17" s="23" t="str">
        <f t="shared" si="7"/>
        <v/>
      </c>
      <c r="L17" s="33" t="str">
        <f t="shared" si="8"/>
        <v>—</v>
      </c>
      <c r="M17" s="22"/>
      <c r="N17" s="22"/>
      <c r="O17" s="22"/>
      <c r="P17" s="22"/>
      <c r="Q17" s="22"/>
      <c r="R17" s="25" t="str">
        <f t="shared" si="9"/>
        <v/>
      </c>
      <c r="S17" s="23" t="str">
        <f t="shared" si="10"/>
        <v/>
      </c>
      <c r="T17" s="34" t="str">
        <f t="shared" si="11"/>
        <v/>
      </c>
      <c r="U17" s="25" t="str">
        <f t="shared" si="12"/>
        <v/>
      </c>
      <c r="V17" s="22"/>
      <c r="W17" s="22"/>
      <c r="X17" s="18"/>
      <c r="Y17" s="26"/>
    </row>
    <row r="18">
      <c r="A18" s="16">
        <v>46398.0</v>
      </c>
      <c r="B18" s="13" t="str">
        <f t="shared" si="2"/>
        <v>月</v>
      </c>
      <c r="C18" s="18"/>
      <c r="D18" s="15">
        <f t="shared" si="3"/>
        <v>0</v>
      </c>
      <c r="E18" s="18"/>
      <c r="F18" s="18"/>
      <c r="G18" s="15" t="str">
        <f t="shared" si="4"/>
        <v/>
      </c>
      <c r="H18" s="15" t="str">
        <f t="shared" si="5"/>
        <v/>
      </c>
      <c r="I18" s="17" t="str">
        <f t="shared" ref="I18:J18" si="25">IF(G18="","",IFERROR(G18/C18,""))</f>
        <v/>
      </c>
      <c r="J18" s="17" t="str">
        <f t="shared" si="25"/>
        <v/>
      </c>
      <c r="K18" s="15" t="str">
        <f t="shared" si="7"/>
        <v/>
      </c>
      <c r="L18" s="20" t="str">
        <f t="shared" si="8"/>
        <v>—</v>
      </c>
      <c r="M18" s="22"/>
      <c r="N18" s="22"/>
      <c r="O18" s="22"/>
      <c r="P18" s="22"/>
      <c r="Q18" s="22"/>
      <c r="R18" s="17" t="str">
        <f t="shared" si="9"/>
        <v/>
      </c>
      <c r="S18" s="15" t="str">
        <f t="shared" si="10"/>
        <v/>
      </c>
      <c r="T18" s="24" t="str">
        <f t="shared" si="11"/>
        <v/>
      </c>
      <c r="U18" s="17" t="str">
        <f t="shared" si="12"/>
        <v/>
      </c>
      <c r="V18" s="22"/>
      <c r="W18" s="22"/>
      <c r="X18" s="18"/>
      <c r="Y18" s="26"/>
      <c r="AA18" s="38" t="s">
        <v>191</v>
      </c>
      <c r="AH18" s="35" t="s">
        <v>129</v>
      </c>
      <c r="AI18" s="40">
        <f>$A$8+MOD(1-WEEKDAY($A$8,2)+7,7)</f>
        <v>46392</v>
      </c>
    </row>
    <row r="19">
      <c r="A19" s="32">
        <v>46399.0</v>
      </c>
      <c r="B19" s="21" t="str">
        <f t="shared" si="2"/>
        <v>火</v>
      </c>
      <c r="C19" s="18"/>
      <c r="D19" s="23">
        <f t="shared" si="3"/>
        <v>0</v>
      </c>
      <c r="E19" s="18"/>
      <c r="F19" s="18"/>
      <c r="G19" s="23" t="str">
        <f t="shared" si="4"/>
        <v/>
      </c>
      <c r="H19" s="23" t="str">
        <f t="shared" si="5"/>
        <v/>
      </c>
      <c r="I19" s="25" t="str">
        <f t="shared" ref="I19:J19" si="26">IF(G19="","",IFERROR(G19/C19,""))</f>
        <v/>
      </c>
      <c r="J19" s="25" t="str">
        <f t="shared" si="26"/>
        <v/>
      </c>
      <c r="K19" s="23" t="str">
        <f t="shared" si="7"/>
        <v/>
      </c>
      <c r="L19" s="33" t="str">
        <f t="shared" si="8"/>
        <v>—</v>
      </c>
      <c r="M19" s="22"/>
      <c r="N19" s="22"/>
      <c r="O19" s="22"/>
      <c r="P19" s="22"/>
      <c r="Q19" s="22"/>
      <c r="R19" s="25" t="str">
        <f t="shared" si="9"/>
        <v/>
      </c>
      <c r="S19" s="23" t="str">
        <f t="shared" si="10"/>
        <v/>
      </c>
      <c r="T19" s="34" t="str">
        <f t="shared" si="11"/>
        <v/>
      </c>
      <c r="U19" s="25" t="str">
        <f t="shared" si="12"/>
        <v/>
      </c>
      <c r="V19" s="22"/>
      <c r="W19" s="22"/>
      <c r="X19" s="18"/>
      <c r="Y19" s="26"/>
      <c r="AA19" s="14" t="s">
        <v>76</v>
      </c>
      <c r="AB19" s="14" t="s">
        <v>77</v>
      </c>
      <c r="AC19" s="14" t="s">
        <v>78</v>
      </c>
      <c r="AD19" s="14" t="s">
        <v>18</v>
      </c>
      <c r="AE19" s="14" t="s">
        <v>19</v>
      </c>
      <c r="AF19" s="14" t="s">
        <v>20</v>
      </c>
      <c r="AG19" s="14" t="s">
        <v>21</v>
      </c>
    </row>
    <row r="20">
      <c r="A20" s="16">
        <v>46400.0</v>
      </c>
      <c r="B20" s="13" t="str">
        <f t="shared" si="2"/>
        <v>水</v>
      </c>
      <c r="C20" s="18"/>
      <c r="D20" s="15">
        <f t="shared" si="3"/>
        <v>0</v>
      </c>
      <c r="E20" s="18"/>
      <c r="F20" s="18"/>
      <c r="G20" s="15" t="str">
        <f t="shared" si="4"/>
        <v/>
      </c>
      <c r="H20" s="15" t="str">
        <f t="shared" si="5"/>
        <v/>
      </c>
      <c r="I20" s="17" t="str">
        <f t="shared" ref="I20:J20" si="27">IF(G20="","",IFERROR(G20/C20,""))</f>
        <v/>
      </c>
      <c r="J20" s="17" t="str">
        <f t="shared" si="27"/>
        <v/>
      </c>
      <c r="K20" s="15" t="str">
        <f t="shared" si="7"/>
        <v/>
      </c>
      <c r="L20" s="20" t="str">
        <f t="shared" si="8"/>
        <v>—</v>
      </c>
      <c r="M20" s="22"/>
      <c r="N20" s="22"/>
      <c r="O20" s="22"/>
      <c r="P20" s="22"/>
      <c r="Q20" s="22"/>
      <c r="R20" s="17" t="str">
        <f t="shared" si="9"/>
        <v/>
      </c>
      <c r="S20" s="15" t="str">
        <f t="shared" si="10"/>
        <v/>
      </c>
      <c r="T20" s="24" t="str">
        <f t="shared" si="11"/>
        <v/>
      </c>
      <c r="U20" s="17" t="str">
        <f t="shared" si="12"/>
        <v/>
      </c>
      <c r="V20" s="22"/>
      <c r="W20" s="22"/>
      <c r="X20" s="18"/>
      <c r="Y20" s="26"/>
      <c r="AA20" s="30">
        <v>1.0</v>
      </c>
      <c r="AB20" s="42" t="str">
        <f>IF($AI$18+7*(1-1)&gt;$A$38,"",TEXT($AI$18+7*(1-1),"m/d")&amp;"-"&amp;TEXT($AI$18+7*(1-1)+6,"m/d"))</f>
        <v>1/5-1/11</v>
      </c>
      <c r="AC20" s="29">
        <f>IF($AB20="","",(SUMIFS($G$8:$G$38,$A$8:$A$38,"&gt;="&amp;$AI$18+7*(1-1),$A$8:$A$38,"&lt;="&amp;$AI$18+7*(1-1)+6)+SUMIFS('2027年02月'!$G$8:$G$35,'2027年02月'!$A$8:$A$35,"&gt;="&amp;$AI$18+7*(1-1),'2027年02月'!$A$8:$A$35,"&lt;="&amp;$AI$18+7*(1-1)+6)))</f>
        <v>0</v>
      </c>
      <c r="AD20" s="31" t="str">
        <f>IF($AB20="","",IFERROR((SUMIFS($M$8:$M$38,$A$8:$A$38,"&gt;="&amp;$AI$18+7*(1-1),$A$8:$A$38,"&lt;="&amp;$AI$18+7*(1-1)+6)+SUMIFS('2027年02月'!$M$8:$M$35,'2027年02月'!$A$8:$A$35,"&gt;="&amp;$AI$18+7*(1-1),'2027年02月'!$A$8:$A$35,"&lt;="&amp;$AI$18+7*(1-1)+6))/(SUMIFS($O$8:$O$38,$A$8:$A$38,"&gt;="&amp;$AI$18+7*(1-1),$A$8:$A$38,"&lt;="&amp;$AI$18+7*(1-1)+6)+SUMIFS('2027年02月'!$O$8:$O$35,'2027年02月'!$A$8:$A$35,"&gt;="&amp;$AI$18+7*(1-1),'2027年02月'!$A$8:$A$35,"&lt;="&amp;$AI$18+7*(1-1)+6)),""))</f>
        <v/>
      </c>
      <c r="AE20" s="29" t="str">
        <f>IF($AB20="","",IFERROR((SUMIFS($G$8:$G$38,$A$8:$A$38,"&gt;="&amp;$AI$18+7*(1-1),$A$8:$A$38,"&lt;="&amp;$AI$18+7*(1-1)+6)+SUMIFS('2027年02月'!$G$8:$G$35,'2027年02月'!$A$8:$A$35,"&gt;="&amp;$AI$18+7*(1-1),'2027年02月'!$A$8:$A$35,"&lt;="&amp;$AI$18+7*(1-1)+6))/(SUMIFS($M$8:$M$38,$A$8:$A$38,"&gt;="&amp;$AI$18+7*(1-1),$A$8:$A$38,"&lt;="&amp;$AI$18+7*(1-1)+6)+SUMIFS('2027年02月'!$M$8:$M$35,'2027年02月'!$A$8:$A$35,"&gt;="&amp;$AI$18+7*(1-1),'2027年02月'!$A$8:$A$35,"&lt;="&amp;$AI$18+7*(1-1)+6)),""))</f>
        <v/>
      </c>
      <c r="AF20" s="43" t="str">
        <f>IF($AB20="","",IFERROR((SUMIFS($N$8:$N$38,$A$8:$A$38,"&gt;="&amp;$AI$18+7*(1-1),$A$8:$A$38,"&lt;="&amp;$AI$18+7*(1-1)+6)+SUMIFS('2027年02月'!$N$8:$N$35,'2027年02月'!$A$8:$A$35,"&gt;="&amp;$AI$18+7*(1-1),'2027年02月'!$A$8:$A$35,"&lt;="&amp;$AI$18+7*(1-1)+6))/(SUMIFS($M$8:$M$38,$A$8:$A$38,"&gt;="&amp;$AI$18+7*(1-1),$A$8:$A$38,"&lt;="&amp;$AI$18+7*(1-1)+6)+SUMIFS('2027年02月'!$M$8:$M$35,'2027年02月'!$A$8:$A$35,"&gt;="&amp;$AI$18+7*(1-1),'2027年02月'!$A$8:$A$35,"&lt;="&amp;$AI$18+7*(1-1)+6)),""))</f>
        <v/>
      </c>
      <c r="AG20" s="31" t="str">
        <f>IF($AB20="","",IFERROR((SUMIFS($P$8:$P$38,$A$8:$A$38,"&gt;="&amp;$AI$18+7*(1-1),$A$8:$A$38,"&lt;="&amp;$AI$18+7*(1-1)+6)+SUMIFS('2027年02月'!$P$8:$P$35,'2027年02月'!$A$8:$A$35,"&gt;="&amp;$AI$18+7*(1-1),'2027年02月'!$A$8:$A$35,"&lt;="&amp;$AI$18+7*(1-1)+6))/(SUMIFS($O$8:$O$38,$A$8:$A$38,"&gt;="&amp;$AI$18+7*(1-1),$A$8:$A$38,"&lt;="&amp;$AI$18+7*(1-1)+6)+SUMIFS('2027年02月'!$O$8:$O$35,'2027年02月'!$A$8:$A$35,"&gt;="&amp;$AI$18+7*(1-1),'2027年02月'!$A$8:$A$35,"&lt;="&amp;$AI$18+7*(1-1)+6)),""))</f>
        <v/>
      </c>
    </row>
    <row r="21" ht="15.75" customHeight="1">
      <c r="A21" s="32">
        <v>46401.0</v>
      </c>
      <c r="B21" s="21" t="str">
        <f t="shared" si="2"/>
        <v>木</v>
      </c>
      <c r="C21" s="18"/>
      <c r="D21" s="23">
        <f t="shared" si="3"/>
        <v>0</v>
      </c>
      <c r="E21" s="18"/>
      <c r="F21" s="18"/>
      <c r="G21" s="23" t="str">
        <f t="shared" si="4"/>
        <v/>
      </c>
      <c r="H21" s="23" t="str">
        <f t="shared" si="5"/>
        <v/>
      </c>
      <c r="I21" s="25" t="str">
        <f t="shared" ref="I21:J21" si="28">IF(G21="","",IFERROR(G21/C21,""))</f>
        <v/>
      </c>
      <c r="J21" s="25" t="str">
        <f t="shared" si="28"/>
        <v/>
      </c>
      <c r="K21" s="23" t="str">
        <f t="shared" si="7"/>
        <v/>
      </c>
      <c r="L21" s="33" t="str">
        <f t="shared" si="8"/>
        <v>—</v>
      </c>
      <c r="M21" s="22"/>
      <c r="N21" s="22"/>
      <c r="O21" s="22"/>
      <c r="P21" s="22"/>
      <c r="Q21" s="22"/>
      <c r="R21" s="25" t="str">
        <f t="shared" si="9"/>
        <v/>
      </c>
      <c r="S21" s="23" t="str">
        <f t="shared" si="10"/>
        <v/>
      </c>
      <c r="T21" s="34" t="str">
        <f t="shared" si="11"/>
        <v/>
      </c>
      <c r="U21" s="25" t="str">
        <f t="shared" si="12"/>
        <v/>
      </c>
      <c r="V21" s="22"/>
      <c r="W21" s="22"/>
      <c r="X21" s="18"/>
      <c r="Y21" s="26"/>
      <c r="AA21" s="30">
        <v>2.0</v>
      </c>
      <c r="AB21" s="42" t="str">
        <f>IF($AI$18+7*(2-1)&gt;$A$38,"",TEXT($AI$18+7*(2-1),"m/d")&amp;"-"&amp;TEXT($AI$18+7*(2-1)+6,"m/d"))</f>
        <v>1/12-1/18</v>
      </c>
      <c r="AC21" s="29">
        <f>IF($AB21="","",(SUMIFS($G$8:$G$38,$A$8:$A$38,"&gt;="&amp;$AI$18+7*(2-1),$A$8:$A$38,"&lt;="&amp;$AI$18+7*(2-1)+6)+SUMIFS('2027年02月'!$G$8:$G$35,'2027年02月'!$A$8:$A$35,"&gt;="&amp;$AI$18+7*(2-1),'2027年02月'!$A$8:$A$35,"&lt;="&amp;$AI$18+7*(2-1)+6)))</f>
        <v>0</v>
      </c>
      <c r="AD21" s="31" t="str">
        <f>IF($AB21="","",IFERROR((SUMIFS($M$8:$M$38,$A$8:$A$38,"&gt;="&amp;$AI$18+7*(2-1),$A$8:$A$38,"&lt;="&amp;$AI$18+7*(2-1)+6)+SUMIFS('2027年02月'!$M$8:$M$35,'2027年02月'!$A$8:$A$35,"&gt;="&amp;$AI$18+7*(2-1),'2027年02月'!$A$8:$A$35,"&lt;="&amp;$AI$18+7*(2-1)+6))/(SUMIFS($O$8:$O$38,$A$8:$A$38,"&gt;="&amp;$AI$18+7*(2-1),$A$8:$A$38,"&lt;="&amp;$AI$18+7*(2-1)+6)+SUMIFS('2027年02月'!$O$8:$O$35,'2027年02月'!$A$8:$A$35,"&gt;="&amp;$AI$18+7*(2-1),'2027年02月'!$A$8:$A$35,"&lt;="&amp;$AI$18+7*(2-1)+6)),""))</f>
        <v/>
      </c>
      <c r="AE21" s="29" t="str">
        <f>IF($AB21="","",IFERROR((SUMIFS($G$8:$G$38,$A$8:$A$38,"&gt;="&amp;$AI$18+7*(2-1),$A$8:$A$38,"&lt;="&amp;$AI$18+7*(2-1)+6)+SUMIFS('2027年02月'!$G$8:$G$35,'2027年02月'!$A$8:$A$35,"&gt;="&amp;$AI$18+7*(2-1),'2027年02月'!$A$8:$A$35,"&lt;="&amp;$AI$18+7*(2-1)+6))/(SUMIFS($M$8:$M$38,$A$8:$A$38,"&gt;="&amp;$AI$18+7*(2-1),$A$8:$A$38,"&lt;="&amp;$AI$18+7*(2-1)+6)+SUMIFS('2027年02月'!$M$8:$M$35,'2027年02月'!$A$8:$A$35,"&gt;="&amp;$AI$18+7*(2-1),'2027年02月'!$A$8:$A$35,"&lt;="&amp;$AI$18+7*(2-1)+6)),""))</f>
        <v/>
      </c>
      <c r="AF21" s="43" t="str">
        <f>IF($AB21="","",IFERROR((SUMIFS($N$8:$N$38,$A$8:$A$38,"&gt;="&amp;$AI$18+7*(2-1),$A$8:$A$38,"&lt;="&amp;$AI$18+7*(2-1)+6)+SUMIFS('2027年02月'!$N$8:$N$35,'2027年02月'!$A$8:$A$35,"&gt;="&amp;$AI$18+7*(2-1),'2027年02月'!$A$8:$A$35,"&lt;="&amp;$AI$18+7*(2-1)+6))/(SUMIFS($M$8:$M$38,$A$8:$A$38,"&gt;="&amp;$AI$18+7*(2-1),$A$8:$A$38,"&lt;="&amp;$AI$18+7*(2-1)+6)+SUMIFS('2027年02月'!$M$8:$M$35,'2027年02月'!$A$8:$A$35,"&gt;="&amp;$AI$18+7*(2-1),'2027年02月'!$A$8:$A$35,"&lt;="&amp;$AI$18+7*(2-1)+6)),""))</f>
        <v/>
      </c>
      <c r="AG21" s="31" t="str">
        <f>IF($AB21="","",IFERROR((SUMIFS($P$8:$P$38,$A$8:$A$38,"&gt;="&amp;$AI$18+7*(2-1),$A$8:$A$38,"&lt;="&amp;$AI$18+7*(2-1)+6)+SUMIFS('2027年02月'!$P$8:$P$35,'2027年02月'!$A$8:$A$35,"&gt;="&amp;$AI$18+7*(2-1),'2027年02月'!$A$8:$A$35,"&lt;="&amp;$AI$18+7*(2-1)+6))/(SUMIFS($O$8:$O$38,$A$8:$A$38,"&gt;="&amp;$AI$18+7*(2-1),$A$8:$A$38,"&lt;="&amp;$AI$18+7*(2-1)+6)+SUMIFS('2027年02月'!$O$8:$O$35,'2027年02月'!$A$8:$A$35,"&gt;="&amp;$AI$18+7*(2-1),'2027年02月'!$A$8:$A$35,"&lt;="&amp;$AI$18+7*(2-1)+6)),""))</f>
        <v/>
      </c>
    </row>
    <row r="22" ht="15.75" customHeight="1">
      <c r="A22" s="16">
        <v>46402.0</v>
      </c>
      <c r="B22" s="13" t="str">
        <f t="shared" si="2"/>
        <v>金</v>
      </c>
      <c r="C22" s="18"/>
      <c r="D22" s="15">
        <f t="shared" si="3"/>
        <v>0</v>
      </c>
      <c r="E22" s="18"/>
      <c r="F22" s="18"/>
      <c r="G22" s="15" t="str">
        <f t="shared" si="4"/>
        <v/>
      </c>
      <c r="H22" s="15" t="str">
        <f t="shared" si="5"/>
        <v/>
      </c>
      <c r="I22" s="17" t="str">
        <f t="shared" ref="I22:J22" si="29">IF(G22="","",IFERROR(G22/C22,""))</f>
        <v/>
      </c>
      <c r="J22" s="17" t="str">
        <f t="shared" si="29"/>
        <v/>
      </c>
      <c r="K22" s="15" t="str">
        <f t="shared" si="7"/>
        <v/>
      </c>
      <c r="L22" s="20" t="str">
        <f t="shared" si="8"/>
        <v>—</v>
      </c>
      <c r="M22" s="22"/>
      <c r="N22" s="22"/>
      <c r="O22" s="22"/>
      <c r="P22" s="22"/>
      <c r="Q22" s="22"/>
      <c r="R22" s="17" t="str">
        <f t="shared" si="9"/>
        <v/>
      </c>
      <c r="S22" s="15" t="str">
        <f t="shared" si="10"/>
        <v/>
      </c>
      <c r="T22" s="24" t="str">
        <f t="shared" si="11"/>
        <v/>
      </c>
      <c r="U22" s="17" t="str">
        <f t="shared" si="12"/>
        <v/>
      </c>
      <c r="V22" s="22"/>
      <c r="W22" s="22"/>
      <c r="X22" s="18"/>
      <c r="Y22" s="26"/>
      <c r="AA22" s="30">
        <v>3.0</v>
      </c>
      <c r="AB22" s="42" t="str">
        <f>IF($AI$18+7*(3-1)&gt;$A$38,"",TEXT($AI$18+7*(3-1),"m/d")&amp;"-"&amp;TEXT($AI$18+7*(3-1)+6,"m/d"))</f>
        <v>1/19-1/25</v>
      </c>
      <c r="AC22" s="29">
        <f>IF($AB22="","",(SUMIFS($G$8:$G$38,$A$8:$A$38,"&gt;="&amp;$AI$18+7*(3-1),$A$8:$A$38,"&lt;="&amp;$AI$18+7*(3-1)+6)+SUMIFS('2027年02月'!$G$8:$G$35,'2027年02月'!$A$8:$A$35,"&gt;="&amp;$AI$18+7*(3-1),'2027年02月'!$A$8:$A$35,"&lt;="&amp;$AI$18+7*(3-1)+6)))</f>
        <v>0</v>
      </c>
      <c r="AD22" s="31" t="str">
        <f>IF($AB22="","",IFERROR((SUMIFS($M$8:$M$38,$A$8:$A$38,"&gt;="&amp;$AI$18+7*(3-1),$A$8:$A$38,"&lt;="&amp;$AI$18+7*(3-1)+6)+SUMIFS('2027年02月'!$M$8:$M$35,'2027年02月'!$A$8:$A$35,"&gt;="&amp;$AI$18+7*(3-1),'2027年02月'!$A$8:$A$35,"&lt;="&amp;$AI$18+7*(3-1)+6))/(SUMIFS($O$8:$O$38,$A$8:$A$38,"&gt;="&amp;$AI$18+7*(3-1),$A$8:$A$38,"&lt;="&amp;$AI$18+7*(3-1)+6)+SUMIFS('2027年02月'!$O$8:$O$35,'2027年02月'!$A$8:$A$35,"&gt;="&amp;$AI$18+7*(3-1),'2027年02月'!$A$8:$A$35,"&lt;="&amp;$AI$18+7*(3-1)+6)),""))</f>
        <v/>
      </c>
      <c r="AE22" s="29" t="str">
        <f>IF($AB22="","",IFERROR((SUMIFS($G$8:$G$38,$A$8:$A$38,"&gt;="&amp;$AI$18+7*(3-1),$A$8:$A$38,"&lt;="&amp;$AI$18+7*(3-1)+6)+SUMIFS('2027年02月'!$G$8:$G$35,'2027年02月'!$A$8:$A$35,"&gt;="&amp;$AI$18+7*(3-1),'2027年02月'!$A$8:$A$35,"&lt;="&amp;$AI$18+7*(3-1)+6))/(SUMIFS($M$8:$M$38,$A$8:$A$38,"&gt;="&amp;$AI$18+7*(3-1),$A$8:$A$38,"&lt;="&amp;$AI$18+7*(3-1)+6)+SUMIFS('2027年02月'!$M$8:$M$35,'2027年02月'!$A$8:$A$35,"&gt;="&amp;$AI$18+7*(3-1),'2027年02月'!$A$8:$A$35,"&lt;="&amp;$AI$18+7*(3-1)+6)),""))</f>
        <v/>
      </c>
      <c r="AF22" s="43" t="str">
        <f>IF($AB22="","",IFERROR((SUMIFS($N$8:$N$38,$A$8:$A$38,"&gt;="&amp;$AI$18+7*(3-1),$A$8:$A$38,"&lt;="&amp;$AI$18+7*(3-1)+6)+SUMIFS('2027年02月'!$N$8:$N$35,'2027年02月'!$A$8:$A$35,"&gt;="&amp;$AI$18+7*(3-1),'2027年02月'!$A$8:$A$35,"&lt;="&amp;$AI$18+7*(3-1)+6))/(SUMIFS($M$8:$M$38,$A$8:$A$38,"&gt;="&amp;$AI$18+7*(3-1),$A$8:$A$38,"&lt;="&amp;$AI$18+7*(3-1)+6)+SUMIFS('2027年02月'!$M$8:$M$35,'2027年02月'!$A$8:$A$35,"&gt;="&amp;$AI$18+7*(3-1),'2027年02月'!$A$8:$A$35,"&lt;="&amp;$AI$18+7*(3-1)+6)),""))</f>
        <v/>
      </c>
      <c r="AG22" s="31" t="str">
        <f>IF($AB22="","",IFERROR((SUMIFS($P$8:$P$38,$A$8:$A$38,"&gt;="&amp;$AI$18+7*(3-1),$A$8:$A$38,"&lt;="&amp;$AI$18+7*(3-1)+6)+SUMIFS('2027年02月'!$P$8:$P$35,'2027年02月'!$A$8:$A$35,"&gt;="&amp;$AI$18+7*(3-1),'2027年02月'!$A$8:$A$35,"&lt;="&amp;$AI$18+7*(3-1)+6))/(SUMIFS($O$8:$O$38,$A$8:$A$38,"&gt;="&amp;$AI$18+7*(3-1),$A$8:$A$38,"&lt;="&amp;$AI$18+7*(3-1)+6)+SUMIFS('2027年02月'!$O$8:$O$35,'2027年02月'!$A$8:$A$35,"&gt;="&amp;$AI$18+7*(3-1),'2027年02月'!$A$8:$A$35,"&lt;="&amp;$AI$18+7*(3-1)+6)),""))</f>
        <v/>
      </c>
    </row>
    <row r="23" ht="15.75" customHeight="1">
      <c r="A23" s="32">
        <v>46403.0</v>
      </c>
      <c r="B23" s="21" t="str">
        <f t="shared" si="2"/>
        <v>土</v>
      </c>
      <c r="C23" s="18"/>
      <c r="D23" s="23">
        <f t="shared" si="3"/>
        <v>0</v>
      </c>
      <c r="E23" s="18"/>
      <c r="F23" s="18"/>
      <c r="G23" s="23" t="str">
        <f t="shared" si="4"/>
        <v/>
      </c>
      <c r="H23" s="23" t="str">
        <f t="shared" si="5"/>
        <v/>
      </c>
      <c r="I23" s="25" t="str">
        <f t="shared" ref="I23:J23" si="30">IF(G23="","",IFERROR(G23/C23,""))</f>
        <v/>
      </c>
      <c r="J23" s="25" t="str">
        <f t="shared" si="30"/>
        <v/>
      </c>
      <c r="K23" s="23" t="str">
        <f t="shared" si="7"/>
        <v/>
      </c>
      <c r="L23" s="33" t="str">
        <f t="shared" si="8"/>
        <v>—</v>
      </c>
      <c r="M23" s="22"/>
      <c r="N23" s="22"/>
      <c r="O23" s="22"/>
      <c r="P23" s="22"/>
      <c r="Q23" s="22"/>
      <c r="R23" s="25" t="str">
        <f t="shared" si="9"/>
        <v/>
      </c>
      <c r="S23" s="23" t="str">
        <f t="shared" si="10"/>
        <v/>
      </c>
      <c r="T23" s="34" t="str">
        <f t="shared" si="11"/>
        <v/>
      </c>
      <c r="U23" s="25" t="str">
        <f t="shared" si="12"/>
        <v/>
      </c>
      <c r="V23" s="22"/>
      <c r="W23" s="22"/>
      <c r="X23" s="18"/>
      <c r="Y23" s="26"/>
      <c r="AA23" s="30">
        <v>4.0</v>
      </c>
      <c r="AB23" s="42" t="str">
        <f>IF($AI$18+7*(4-1)&gt;$A$38,"",TEXT($AI$18+7*(4-1),"m/d")&amp;"-"&amp;TEXT($AI$18+7*(4-1)+6,"m/d"))</f>
        <v>1/26-2/1</v>
      </c>
      <c r="AC23" s="29">
        <f>IF($AB23="","",(SUMIFS($G$8:$G$38,$A$8:$A$38,"&gt;="&amp;$AI$18+7*(4-1),$A$8:$A$38,"&lt;="&amp;$AI$18+7*(4-1)+6)+SUMIFS('2027年02月'!$G$8:$G$35,'2027年02月'!$A$8:$A$35,"&gt;="&amp;$AI$18+7*(4-1),'2027年02月'!$A$8:$A$35,"&lt;="&amp;$AI$18+7*(4-1)+6)))</f>
        <v>0</v>
      </c>
      <c r="AD23" s="31" t="str">
        <f>IF($AB23="","",IFERROR((SUMIFS($M$8:$M$38,$A$8:$A$38,"&gt;="&amp;$AI$18+7*(4-1),$A$8:$A$38,"&lt;="&amp;$AI$18+7*(4-1)+6)+SUMIFS('2027年02月'!$M$8:$M$35,'2027年02月'!$A$8:$A$35,"&gt;="&amp;$AI$18+7*(4-1),'2027年02月'!$A$8:$A$35,"&lt;="&amp;$AI$18+7*(4-1)+6))/(SUMIFS($O$8:$O$38,$A$8:$A$38,"&gt;="&amp;$AI$18+7*(4-1),$A$8:$A$38,"&lt;="&amp;$AI$18+7*(4-1)+6)+SUMIFS('2027年02月'!$O$8:$O$35,'2027年02月'!$A$8:$A$35,"&gt;="&amp;$AI$18+7*(4-1),'2027年02月'!$A$8:$A$35,"&lt;="&amp;$AI$18+7*(4-1)+6)),""))</f>
        <v/>
      </c>
      <c r="AE23" s="29" t="str">
        <f>IF($AB23="","",IFERROR((SUMIFS($G$8:$G$38,$A$8:$A$38,"&gt;="&amp;$AI$18+7*(4-1),$A$8:$A$38,"&lt;="&amp;$AI$18+7*(4-1)+6)+SUMIFS('2027年02月'!$G$8:$G$35,'2027年02月'!$A$8:$A$35,"&gt;="&amp;$AI$18+7*(4-1),'2027年02月'!$A$8:$A$35,"&lt;="&amp;$AI$18+7*(4-1)+6))/(SUMIFS($M$8:$M$38,$A$8:$A$38,"&gt;="&amp;$AI$18+7*(4-1),$A$8:$A$38,"&lt;="&amp;$AI$18+7*(4-1)+6)+SUMIFS('2027年02月'!$M$8:$M$35,'2027年02月'!$A$8:$A$35,"&gt;="&amp;$AI$18+7*(4-1),'2027年02月'!$A$8:$A$35,"&lt;="&amp;$AI$18+7*(4-1)+6)),""))</f>
        <v/>
      </c>
      <c r="AF23" s="43" t="str">
        <f>IF($AB23="","",IFERROR((SUMIFS($N$8:$N$38,$A$8:$A$38,"&gt;="&amp;$AI$18+7*(4-1),$A$8:$A$38,"&lt;="&amp;$AI$18+7*(4-1)+6)+SUMIFS('2027年02月'!$N$8:$N$35,'2027年02月'!$A$8:$A$35,"&gt;="&amp;$AI$18+7*(4-1),'2027年02月'!$A$8:$A$35,"&lt;="&amp;$AI$18+7*(4-1)+6))/(SUMIFS($M$8:$M$38,$A$8:$A$38,"&gt;="&amp;$AI$18+7*(4-1),$A$8:$A$38,"&lt;="&amp;$AI$18+7*(4-1)+6)+SUMIFS('2027年02月'!$M$8:$M$35,'2027年02月'!$A$8:$A$35,"&gt;="&amp;$AI$18+7*(4-1),'2027年02月'!$A$8:$A$35,"&lt;="&amp;$AI$18+7*(4-1)+6)),""))</f>
        <v/>
      </c>
      <c r="AG23" s="31" t="str">
        <f>IF($AB23="","",IFERROR((SUMIFS($P$8:$P$38,$A$8:$A$38,"&gt;="&amp;$AI$18+7*(4-1),$A$8:$A$38,"&lt;="&amp;$AI$18+7*(4-1)+6)+SUMIFS('2027年02月'!$P$8:$P$35,'2027年02月'!$A$8:$A$35,"&gt;="&amp;$AI$18+7*(4-1),'2027年02月'!$A$8:$A$35,"&lt;="&amp;$AI$18+7*(4-1)+6))/(SUMIFS($O$8:$O$38,$A$8:$A$38,"&gt;="&amp;$AI$18+7*(4-1),$A$8:$A$38,"&lt;="&amp;$AI$18+7*(4-1)+6)+SUMIFS('2027年02月'!$O$8:$O$35,'2027年02月'!$A$8:$A$35,"&gt;="&amp;$AI$18+7*(4-1),'2027年02月'!$A$8:$A$35,"&lt;="&amp;$AI$18+7*(4-1)+6)),""))</f>
        <v/>
      </c>
    </row>
    <row r="24" ht="15.75" customHeight="1">
      <c r="A24" s="16">
        <v>46404.0</v>
      </c>
      <c r="B24" s="13" t="str">
        <f t="shared" si="2"/>
        <v>日</v>
      </c>
      <c r="C24" s="18"/>
      <c r="D24" s="15">
        <f t="shared" si="3"/>
        <v>0</v>
      </c>
      <c r="E24" s="18"/>
      <c r="F24" s="18"/>
      <c r="G24" s="15" t="str">
        <f t="shared" si="4"/>
        <v/>
      </c>
      <c r="H24" s="15" t="str">
        <f t="shared" si="5"/>
        <v/>
      </c>
      <c r="I24" s="17" t="str">
        <f t="shared" ref="I24:J24" si="31">IF(G24="","",IFERROR(G24/C24,""))</f>
        <v/>
      </c>
      <c r="J24" s="17" t="str">
        <f t="shared" si="31"/>
        <v/>
      </c>
      <c r="K24" s="15" t="str">
        <f t="shared" si="7"/>
        <v/>
      </c>
      <c r="L24" s="20" t="str">
        <f t="shared" si="8"/>
        <v>—</v>
      </c>
      <c r="M24" s="22"/>
      <c r="N24" s="22"/>
      <c r="O24" s="22"/>
      <c r="P24" s="22"/>
      <c r="Q24" s="22"/>
      <c r="R24" s="17" t="str">
        <f t="shared" si="9"/>
        <v/>
      </c>
      <c r="S24" s="15" t="str">
        <f t="shared" si="10"/>
        <v/>
      </c>
      <c r="T24" s="24" t="str">
        <f t="shared" si="11"/>
        <v/>
      </c>
      <c r="U24" s="17" t="str">
        <f t="shared" si="12"/>
        <v/>
      </c>
      <c r="V24" s="22"/>
      <c r="W24" s="22"/>
      <c r="X24" s="18"/>
      <c r="Y24" s="26"/>
      <c r="AA24" s="30">
        <v>5.0</v>
      </c>
      <c r="AB24" s="42" t="str">
        <f>IF($AI$18+7*(5-1)&gt;$A$38,"",TEXT($AI$18+7*(5-1),"m/d")&amp;"-"&amp;TEXT($AI$18+7*(5-1)+6,"m/d"))</f>
        <v/>
      </c>
      <c r="AC24" s="29" t="str">
        <f>IF($AB24="","",(SUMIFS($G$8:$G$38,$A$8:$A$38,"&gt;="&amp;$AI$18+7*(5-1),$A$8:$A$38,"&lt;="&amp;$AI$18+7*(5-1)+6)+SUMIFS('2027年02月'!$G$8:$G$35,'2027年02月'!$A$8:$A$35,"&gt;="&amp;$AI$18+7*(5-1),'2027年02月'!$A$8:$A$35,"&lt;="&amp;$AI$18+7*(5-1)+6)))</f>
        <v/>
      </c>
      <c r="AD24" s="31" t="str">
        <f>IF($AB24="","",IFERROR((SUMIFS($M$8:$M$38,$A$8:$A$38,"&gt;="&amp;$AI$18+7*(5-1),$A$8:$A$38,"&lt;="&amp;$AI$18+7*(5-1)+6)+SUMIFS('2027年02月'!$M$8:$M$35,'2027年02月'!$A$8:$A$35,"&gt;="&amp;$AI$18+7*(5-1),'2027年02月'!$A$8:$A$35,"&lt;="&amp;$AI$18+7*(5-1)+6))/(SUMIFS($O$8:$O$38,$A$8:$A$38,"&gt;="&amp;$AI$18+7*(5-1),$A$8:$A$38,"&lt;="&amp;$AI$18+7*(5-1)+6)+SUMIFS('2027年02月'!$O$8:$O$35,'2027年02月'!$A$8:$A$35,"&gt;="&amp;$AI$18+7*(5-1),'2027年02月'!$A$8:$A$35,"&lt;="&amp;$AI$18+7*(5-1)+6)),""))</f>
        <v/>
      </c>
      <c r="AE24" s="29" t="str">
        <f>IF($AB24="","",IFERROR((SUMIFS($G$8:$G$38,$A$8:$A$38,"&gt;="&amp;$AI$18+7*(5-1),$A$8:$A$38,"&lt;="&amp;$AI$18+7*(5-1)+6)+SUMIFS('2027年02月'!$G$8:$G$35,'2027年02月'!$A$8:$A$35,"&gt;="&amp;$AI$18+7*(5-1),'2027年02月'!$A$8:$A$35,"&lt;="&amp;$AI$18+7*(5-1)+6))/(SUMIFS($M$8:$M$38,$A$8:$A$38,"&gt;="&amp;$AI$18+7*(5-1),$A$8:$A$38,"&lt;="&amp;$AI$18+7*(5-1)+6)+SUMIFS('2027年02月'!$M$8:$M$35,'2027年02月'!$A$8:$A$35,"&gt;="&amp;$AI$18+7*(5-1),'2027年02月'!$A$8:$A$35,"&lt;="&amp;$AI$18+7*(5-1)+6)),""))</f>
        <v/>
      </c>
      <c r="AF24" s="43" t="str">
        <f>IF($AB24="","",IFERROR((SUMIFS($N$8:$N$38,$A$8:$A$38,"&gt;="&amp;$AI$18+7*(5-1),$A$8:$A$38,"&lt;="&amp;$AI$18+7*(5-1)+6)+SUMIFS('2027年02月'!$N$8:$N$35,'2027年02月'!$A$8:$A$35,"&gt;="&amp;$AI$18+7*(5-1),'2027年02月'!$A$8:$A$35,"&lt;="&amp;$AI$18+7*(5-1)+6))/(SUMIFS($M$8:$M$38,$A$8:$A$38,"&gt;="&amp;$AI$18+7*(5-1),$A$8:$A$38,"&lt;="&amp;$AI$18+7*(5-1)+6)+SUMIFS('2027年02月'!$M$8:$M$35,'2027年02月'!$A$8:$A$35,"&gt;="&amp;$AI$18+7*(5-1),'2027年02月'!$A$8:$A$35,"&lt;="&amp;$AI$18+7*(5-1)+6)),""))</f>
        <v/>
      </c>
      <c r="AG24" s="31" t="str">
        <f>IF($AB24="","",IFERROR((SUMIFS($P$8:$P$38,$A$8:$A$38,"&gt;="&amp;$AI$18+7*(5-1),$A$8:$A$38,"&lt;="&amp;$AI$18+7*(5-1)+6)+SUMIFS('2027年02月'!$P$8:$P$35,'2027年02月'!$A$8:$A$35,"&gt;="&amp;$AI$18+7*(5-1),'2027年02月'!$A$8:$A$35,"&lt;="&amp;$AI$18+7*(5-1)+6))/(SUMIFS($O$8:$O$38,$A$8:$A$38,"&gt;="&amp;$AI$18+7*(5-1),$A$8:$A$38,"&lt;="&amp;$AI$18+7*(5-1)+6)+SUMIFS('2027年02月'!$O$8:$O$35,'2027年02月'!$A$8:$A$35,"&gt;="&amp;$AI$18+7*(5-1),'2027年02月'!$A$8:$A$35,"&lt;="&amp;$AI$18+7*(5-1)+6)),""))</f>
        <v/>
      </c>
    </row>
    <row r="25" ht="15.75" customHeight="1">
      <c r="A25" s="32">
        <v>46405.0</v>
      </c>
      <c r="B25" s="21" t="str">
        <f t="shared" si="2"/>
        <v>月</v>
      </c>
      <c r="C25" s="18"/>
      <c r="D25" s="23">
        <f t="shared" si="3"/>
        <v>0</v>
      </c>
      <c r="E25" s="18"/>
      <c r="F25" s="18"/>
      <c r="G25" s="23" t="str">
        <f t="shared" si="4"/>
        <v/>
      </c>
      <c r="H25" s="23" t="str">
        <f t="shared" si="5"/>
        <v/>
      </c>
      <c r="I25" s="25" t="str">
        <f t="shared" ref="I25:J25" si="32">IF(G25="","",IFERROR(G25/C25,""))</f>
        <v/>
      </c>
      <c r="J25" s="25" t="str">
        <f t="shared" si="32"/>
        <v/>
      </c>
      <c r="K25" s="23" t="str">
        <f t="shared" si="7"/>
        <v/>
      </c>
      <c r="L25" s="33" t="str">
        <f t="shared" si="8"/>
        <v>—</v>
      </c>
      <c r="M25" s="22"/>
      <c r="N25" s="22"/>
      <c r="O25" s="22"/>
      <c r="P25" s="22"/>
      <c r="Q25" s="22"/>
      <c r="R25" s="25" t="str">
        <f t="shared" si="9"/>
        <v/>
      </c>
      <c r="S25" s="23" t="str">
        <f t="shared" si="10"/>
        <v/>
      </c>
      <c r="T25" s="34" t="str">
        <f t="shared" si="11"/>
        <v/>
      </c>
      <c r="U25" s="25" t="str">
        <f t="shared" si="12"/>
        <v/>
      </c>
      <c r="V25" s="22"/>
      <c r="W25" s="22"/>
      <c r="X25" s="18"/>
      <c r="Y25" s="26"/>
      <c r="AA25" s="30">
        <v>6.0</v>
      </c>
      <c r="AB25" s="42" t="str">
        <f>IF($AI$18+7*(6-1)&gt;$A$38,"",TEXT($AI$18+7*(6-1),"m/d")&amp;"-"&amp;TEXT($AI$18+7*(6-1)+6,"m/d"))</f>
        <v/>
      </c>
      <c r="AC25" s="29" t="str">
        <f>IF($AB25="","",(SUMIFS($G$8:$G$38,$A$8:$A$38,"&gt;="&amp;$AI$18+7*(6-1),$A$8:$A$38,"&lt;="&amp;$AI$18+7*(6-1)+6)+SUMIFS('2027年02月'!$G$8:$G$35,'2027年02月'!$A$8:$A$35,"&gt;="&amp;$AI$18+7*(6-1),'2027年02月'!$A$8:$A$35,"&lt;="&amp;$AI$18+7*(6-1)+6)))</f>
        <v/>
      </c>
      <c r="AD25" s="31" t="str">
        <f>IF($AB25="","",IFERROR((SUMIFS($M$8:$M$38,$A$8:$A$38,"&gt;="&amp;$AI$18+7*(6-1),$A$8:$A$38,"&lt;="&amp;$AI$18+7*(6-1)+6)+SUMIFS('2027年02月'!$M$8:$M$35,'2027年02月'!$A$8:$A$35,"&gt;="&amp;$AI$18+7*(6-1),'2027年02月'!$A$8:$A$35,"&lt;="&amp;$AI$18+7*(6-1)+6))/(SUMIFS($O$8:$O$38,$A$8:$A$38,"&gt;="&amp;$AI$18+7*(6-1),$A$8:$A$38,"&lt;="&amp;$AI$18+7*(6-1)+6)+SUMIFS('2027年02月'!$O$8:$O$35,'2027年02月'!$A$8:$A$35,"&gt;="&amp;$AI$18+7*(6-1),'2027年02月'!$A$8:$A$35,"&lt;="&amp;$AI$18+7*(6-1)+6)),""))</f>
        <v/>
      </c>
      <c r="AE25" s="29" t="str">
        <f>IF($AB25="","",IFERROR((SUMIFS($G$8:$G$38,$A$8:$A$38,"&gt;="&amp;$AI$18+7*(6-1),$A$8:$A$38,"&lt;="&amp;$AI$18+7*(6-1)+6)+SUMIFS('2027年02月'!$G$8:$G$35,'2027年02月'!$A$8:$A$35,"&gt;="&amp;$AI$18+7*(6-1),'2027年02月'!$A$8:$A$35,"&lt;="&amp;$AI$18+7*(6-1)+6))/(SUMIFS($M$8:$M$38,$A$8:$A$38,"&gt;="&amp;$AI$18+7*(6-1),$A$8:$A$38,"&lt;="&amp;$AI$18+7*(6-1)+6)+SUMIFS('2027年02月'!$M$8:$M$35,'2027年02月'!$A$8:$A$35,"&gt;="&amp;$AI$18+7*(6-1),'2027年02月'!$A$8:$A$35,"&lt;="&amp;$AI$18+7*(6-1)+6)),""))</f>
        <v/>
      </c>
      <c r="AF25" s="43" t="str">
        <f>IF($AB25="","",IFERROR((SUMIFS($N$8:$N$38,$A$8:$A$38,"&gt;="&amp;$AI$18+7*(6-1),$A$8:$A$38,"&lt;="&amp;$AI$18+7*(6-1)+6)+SUMIFS('2027年02月'!$N$8:$N$35,'2027年02月'!$A$8:$A$35,"&gt;="&amp;$AI$18+7*(6-1),'2027年02月'!$A$8:$A$35,"&lt;="&amp;$AI$18+7*(6-1)+6))/(SUMIFS($M$8:$M$38,$A$8:$A$38,"&gt;="&amp;$AI$18+7*(6-1),$A$8:$A$38,"&lt;="&amp;$AI$18+7*(6-1)+6)+SUMIFS('2027年02月'!$M$8:$M$35,'2027年02月'!$A$8:$A$35,"&gt;="&amp;$AI$18+7*(6-1),'2027年02月'!$A$8:$A$35,"&lt;="&amp;$AI$18+7*(6-1)+6)),""))</f>
        <v/>
      </c>
      <c r="AG25" s="31" t="str">
        <f>IF($AB25="","",IFERROR((SUMIFS($P$8:$P$38,$A$8:$A$38,"&gt;="&amp;$AI$18+7*(6-1),$A$8:$A$38,"&lt;="&amp;$AI$18+7*(6-1)+6)+SUMIFS('2027年02月'!$P$8:$P$35,'2027年02月'!$A$8:$A$35,"&gt;="&amp;$AI$18+7*(6-1),'2027年02月'!$A$8:$A$35,"&lt;="&amp;$AI$18+7*(6-1)+6))/(SUMIFS($O$8:$O$38,$A$8:$A$38,"&gt;="&amp;$AI$18+7*(6-1),$A$8:$A$38,"&lt;="&amp;$AI$18+7*(6-1)+6)+SUMIFS('2027年02月'!$O$8:$O$35,'2027年02月'!$A$8:$A$35,"&gt;="&amp;$AI$18+7*(6-1),'2027年02月'!$A$8:$A$35,"&lt;="&amp;$AI$18+7*(6-1)+6)),""))</f>
        <v/>
      </c>
    </row>
    <row r="26" ht="15.75" customHeight="1">
      <c r="A26" s="16">
        <v>46406.0</v>
      </c>
      <c r="B26" s="13" t="str">
        <f t="shared" si="2"/>
        <v>火</v>
      </c>
      <c r="C26" s="18"/>
      <c r="D26" s="15">
        <f t="shared" si="3"/>
        <v>0</v>
      </c>
      <c r="E26" s="18"/>
      <c r="F26" s="18"/>
      <c r="G26" s="15" t="str">
        <f t="shared" si="4"/>
        <v/>
      </c>
      <c r="H26" s="15" t="str">
        <f t="shared" si="5"/>
        <v/>
      </c>
      <c r="I26" s="17" t="str">
        <f t="shared" ref="I26:J26" si="33">IF(G26="","",IFERROR(G26/C26,""))</f>
        <v/>
      </c>
      <c r="J26" s="17" t="str">
        <f t="shared" si="33"/>
        <v/>
      </c>
      <c r="K26" s="15" t="str">
        <f t="shared" si="7"/>
        <v/>
      </c>
      <c r="L26" s="20" t="str">
        <f t="shared" si="8"/>
        <v>—</v>
      </c>
      <c r="M26" s="22"/>
      <c r="N26" s="22"/>
      <c r="O26" s="22"/>
      <c r="P26" s="22"/>
      <c r="Q26" s="22"/>
      <c r="R26" s="17" t="str">
        <f t="shared" si="9"/>
        <v/>
      </c>
      <c r="S26" s="15" t="str">
        <f t="shared" si="10"/>
        <v/>
      </c>
      <c r="T26" s="24" t="str">
        <f t="shared" si="11"/>
        <v/>
      </c>
      <c r="U26" s="17" t="str">
        <f t="shared" si="12"/>
        <v/>
      </c>
      <c r="V26" s="22"/>
      <c r="W26" s="22"/>
      <c r="X26" s="18"/>
      <c r="Y26" s="26"/>
      <c r="AA26" s="35" t="s">
        <v>139</v>
      </c>
    </row>
    <row r="27" ht="15.75" customHeight="1">
      <c r="A27" s="32">
        <v>46407.0</v>
      </c>
      <c r="B27" s="21" t="str">
        <f t="shared" si="2"/>
        <v>水</v>
      </c>
      <c r="C27" s="18"/>
      <c r="D27" s="23">
        <f t="shared" si="3"/>
        <v>0</v>
      </c>
      <c r="E27" s="18"/>
      <c r="F27" s="18"/>
      <c r="G27" s="23" t="str">
        <f t="shared" si="4"/>
        <v/>
      </c>
      <c r="H27" s="23" t="str">
        <f t="shared" si="5"/>
        <v/>
      </c>
      <c r="I27" s="25" t="str">
        <f t="shared" ref="I27:J27" si="34">IF(G27="","",IFERROR(G27/C27,""))</f>
        <v/>
      </c>
      <c r="J27" s="25" t="str">
        <f t="shared" si="34"/>
        <v/>
      </c>
      <c r="K27" s="23" t="str">
        <f t="shared" si="7"/>
        <v/>
      </c>
      <c r="L27" s="33" t="str">
        <f t="shared" si="8"/>
        <v>—</v>
      </c>
      <c r="M27" s="22"/>
      <c r="N27" s="22"/>
      <c r="O27" s="22"/>
      <c r="P27" s="22"/>
      <c r="Q27" s="22"/>
      <c r="R27" s="25" t="str">
        <f t="shared" si="9"/>
        <v/>
      </c>
      <c r="S27" s="23" t="str">
        <f t="shared" si="10"/>
        <v/>
      </c>
      <c r="T27" s="34" t="str">
        <f t="shared" si="11"/>
        <v/>
      </c>
      <c r="U27" s="25" t="str">
        <f t="shared" si="12"/>
        <v/>
      </c>
      <c r="V27" s="22"/>
      <c r="W27" s="22"/>
      <c r="X27" s="18"/>
      <c r="Y27" s="26"/>
      <c r="AA27" s="35" t="s">
        <v>140</v>
      </c>
    </row>
    <row r="28" ht="15.75" customHeight="1">
      <c r="A28" s="16">
        <v>46408.0</v>
      </c>
      <c r="B28" s="13" t="str">
        <f t="shared" si="2"/>
        <v>木</v>
      </c>
      <c r="C28" s="18"/>
      <c r="D28" s="15">
        <f t="shared" si="3"/>
        <v>0</v>
      </c>
      <c r="E28" s="18"/>
      <c r="F28" s="18"/>
      <c r="G28" s="15" t="str">
        <f t="shared" si="4"/>
        <v/>
      </c>
      <c r="H28" s="15" t="str">
        <f t="shared" si="5"/>
        <v/>
      </c>
      <c r="I28" s="17" t="str">
        <f t="shared" ref="I28:J28" si="35">IF(G28="","",IFERROR(G28/C28,""))</f>
        <v/>
      </c>
      <c r="J28" s="17" t="str">
        <f t="shared" si="35"/>
        <v/>
      </c>
      <c r="K28" s="15" t="str">
        <f t="shared" si="7"/>
        <v/>
      </c>
      <c r="L28" s="20" t="str">
        <f t="shared" si="8"/>
        <v>—</v>
      </c>
      <c r="M28" s="22"/>
      <c r="N28" s="22"/>
      <c r="O28" s="22"/>
      <c r="P28" s="22"/>
      <c r="Q28" s="22"/>
      <c r="R28" s="17" t="str">
        <f t="shared" si="9"/>
        <v/>
      </c>
      <c r="S28" s="15" t="str">
        <f t="shared" si="10"/>
        <v/>
      </c>
      <c r="T28" s="24" t="str">
        <f t="shared" si="11"/>
        <v/>
      </c>
      <c r="U28" s="17" t="str">
        <f t="shared" si="12"/>
        <v/>
      </c>
      <c r="V28" s="22"/>
      <c r="W28" s="22"/>
      <c r="X28" s="18"/>
      <c r="Y28" s="26"/>
      <c r="AA28" s="35" t="s">
        <v>141</v>
      </c>
    </row>
    <row r="29" ht="15.75" customHeight="1">
      <c r="A29" s="32">
        <v>46409.0</v>
      </c>
      <c r="B29" s="21" t="str">
        <f t="shared" si="2"/>
        <v>金</v>
      </c>
      <c r="C29" s="18"/>
      <c r="D29" s="23">
        <f t="shared" si="3"/>
        <v>0</v>
      </c>
      <c r="E29" s="18"/>
      <c r="F29" s="18"/>
      <c r="G29" s="23" t="str">
        <f t="shared" si="4"/>
        <v/>
      </c>
      <c r="H29" s="23" t="str">
        <f t="shared" si="5"/>
        <v/>
      </c>
      <c r="I29" s="25" t="str">
        <f t="shared" ref="I29:J29" si="36">IF(G29="","",IFERROR(G29/C29,""))</f>
        <v/>
      </c>
      <c r="J29" s="25" t="str">
        <f t="shared" si="36"/>
        <v/>
      </c>
      <c r="K29" s="23" t="str">
        <f t="shared" si="7"/>
        <v/>
      </c>
      <c r="L29" s="33" t="str">
        <f t="shared" si="8"/>
        <v>—</v>
      </c>
      <c r="M29" s="22"/>
      <c r="N29" s="22"/>
      <c r="O29" s="22"/>
      <c r="P29" s="22"/>
      <c r="Q29" s="22"/>
      <c r="R29" s="25" t="str">
        <f t="shared" si="9"/>
        <v/>
      </c>
      <c r="S29" s="23" t="str">
        <f t="shared" si="10"/>
        <v/>
      </c>
      <c r="T29" s="34" t="str">
        <f t="shared" si="11"/>
        <v/>
      </c>
      <c r="U29" s="25" t="str">
        <f t="shared" si="12"/>
        <v/>
      </c>
      <c r="V29" s="22"/>
      <c r="W29" s="22"/>
      <c r="X29" s="18"/>
      <c r="Y29" s="26"/>
    </row>
    <row r="30" ht="15.75" customHeight="1">
      <c r="A30" s="16">
        <v>46410.0</v>
      </c>
      <c r="B30" s="13" t="str">
        <f t="shared" si="2"/>
        <v>土</v>
      </c>
      <c r="C30" s="18"/>
      <c r="D30" s="15">
        <f t="shared" si="3"/>
        <v>0</v>
      </c>
      <c r="E30" s="18"/>
      <c r="F30" s="18"/>
      <c r="G30" s="15" t="str">
        <f t="shared" si="4"/>
        <v/>
      </c>
      <c r="H30" s="15" t="str">
        <f t="shared" si="5"/>
        <v/>
      </c>
      <c r="I30" s="17" t="str">
        <f t="shared" ref="I30:J30" si="37">IF(G30="","",IFERROR(G30/C30,""))</f>
        <v/>
      </c>
      <c r="J30" s="17" t="str">
        <f t="shared" si="37"/>
        <v/>
      </c>
      <c r="K30" s="15" t="str">
        <f t="shared" si="7"/>
        <v/>
      </c>
      <c r="L30" s="20" t="str">
        <f t="shared" si="8"/>
        <v>—</v>
      </c>
      <c r="M30" s="22"/>
      <c r="N30" s="22"/>
      <c r="O30" s="22"/>
      <c r="P30" s="22"/>
      <c r="Q30" s="22"/>
      <c r="R30" s="17" t="str">
        <f t="shared" si="9"/>
        <v/>
      </c>
      <c r="S30" s="15" t="str">
        <f t="shared" si="10"/>
        <v/>
      </c>
      <c r="T30" s="24" t="str">
        <f t="shared" si="11"/>
        <v/>
      </c>
      <c r="U30" s="17" t="str">
        <f t="shared" si="12"/>
        <v/>
      </c>
      <c r="V30" s="22"/>
      <c r="W30" s="22"/>
      <c r="X30" s="18"/>
      <c r="Y30" s="26"/>
    </row>
    <row r="31" ht="15.75" customHeight="1">
      <c r="A31" s="32">
        <v>46411.0</v>
      </c>
      <c r="B31" s="21" t="str">
        <f t="shared" si="2"/>
        <v>日</v>
      </c>
      <c r="C31" s="18"/>
      <c r="D31" s="23">
        <f t="shared" si="3"/>
        <v>0</v>
      </c>
      <c r="E31" s="18"/>
      <c r="F31" s="18"/>
      <c r="G31" s="23" t="str">
        <f t="shared" si="4"/>
        <v/>
      </c>
      <c r="H31" s="23" t="str">
        <f t="shared" si="5"/>
        <v/>
      </c>
      <c r="I31" s="25" t="str">
        <f t="shared" ref="I31:J31" si="38">IF(G31="","",IFERROR(G31/C31,""))</f>
        <v/>
      </c>
      <c r="J31" s="25" t="str">
        <f t="shared" si="38"/>
        <v/>
      </c>
      <c r="K31" s="23" t="str">
        <f t="shared" si="7"/>
        <v/>
      </c>
      <c r="L31" s="33" t="str">
        <f t="shared" si="8"/>
        <v>—</v>
      </c>
      <c r="M31" s="22"/>
      <c r="N31" s="22"/>
      <c r="O31" s="22"/>
      <c r="P31" s="22"/>
      <c r="Q31" s="22"/>
      <c r="R31" s="25" t="str">
        <f t="shared" si="9"/>
        <v/>
      </c>
      <c r="S31" s="23" t="str">
        <f t="shared" si="10"/>
        <v/>
      </c>
      <c r="T31" s="34" t="str">
        <f t="shared" si="11"/>
        <v/>
      </c>
      <c r="U31" s="25" t="str">
        <f t="shared" si="12"/>
        <v/>
      </c>
      <c r="V31" s="22"/>
      <c r="W31" s="22"/>
      <c r="X31" s="18"/>
      <c r="Y31" s="26"/>
    </row>
    <row r="32" ht="15.75" customHeight="1">
      <c r="A32" s="16">
        <v>46412.0</v>
      </c>
      <c r="B32" s="13" t="str">
        <f t="shared" si="2"/>
        <v>月</v>
      </c>
      <c r="C32" s="18"/>
      <c r="D32" s="15">
        <f t="shared" si="3"/>
        <v>0</v>
      </c>
      <c r="E32" s="18"/>
      <c r="F32" s="18"/>
      <c r="G32" s="15" t="str">
        <f t="shared" si="4"/>
        <v/>
      </c>
      <c r="H32" s="15" t="str">
        <f t="shared" si="5"/>
        <v/>
      </c>
      <c r="I32" s="17" t="str">
        <f t="shared" ref="I32:J32" si="39">IF(G32="","",IFERROR(G32/C32,""))</f>
        <v/>
      </c>
      <c r="J32" s="17" t="str">
        <f t="shared" si="39"/>
        <v/>
      </c>
      <c r="K32" s="15" t="str">
        <f t="shared" si="7"/>
        <v/>
      </c>
      <c r="L32" s="20" t="str">
        <f t="shared" si="8"/>
        <v>—</v>
      </c>
      <c r="M32" s="22"/>
      <c r="N32" s="22"/>
      <c r="O32" s="22"/>
      <c r="P32" s="22"/>
      <c r="Q32" s="22"/>
      <c r="R32" s="17" t="str">
        <f t="shared" si="9"/>
        <v/>
      </c>
      <c r="S32" s="15" t="str">
        <f t="shared" si="10"/>
        <v/>
      </c>
      <c r="T32" s="24" t="str">
        <f t="shared" si="11"/>
        <v/>
      </c>
      <c r="U32" s="17" t="str">
        <f t="shared" si="12"/>
        <v/>
      </c>
      <c r="V32" s="22"/>
      <c r="W32" s="22"/>
      <c r="X32" s="18"/>
      <c r="Y32" s="26"/>
    </row>
    <row r="33" ht="15.75" customHeight="1">
      <c r="A33" s="32">
        <v>46413.0</v>
      </c>
      <c r="B33" s="21" t="str">
        <f t="shared" si="2"/>
        <v>火</v>
      </c>
      <c r="C33" s="18"/>
      <c r="D33" s="23">
        <f t="shared" si="3"/>
        <v>0</v>
      </c>
      <c r="E33" s="18"/>
      <c r="F33" s="18"/>
      <c r="G33" s="23" t="str">
        <f t="shared" si="4"/>
        <v/>
      </c>
      <c r="H33" s="23" t="str">
        <f t="shared" si="5"/>
        <v/>
      </c>
      <c r="I33" s="25" t="str">
        <f t="shared" ref="I33:J33" si="40">IF(G33="","",IFERROR(G33/C33,""))</f>
        <v/>
      </c>
      <c r="J33" s="25" t="str">
        <f t="shared" si="40"/>
        <v/>
      </c>
      <c r="K33" s="23" t="str">
        <f t="shared" si="7"/>
        <v/>
      </c>
      <c r="L33" s="33" t="str">
        <f t="shared" si="8"/>
        <v>—</v>
      </c>
      <c r="M33" s="22"/>
      <c r="N33" s="22"/>
      <c r="O33" s="22"/>
      <c r="P33" s="22"/>
      <c r="Q33" s="22"/>
      <c r="R33" s="25" t="str">
        <f t="shared" si="9"/>
        <v/>
      </c>
      <c r="S33" s="23" t="str">
        <f t="shared" si="10"/>
        <v/>
      </c>
      <c r="T33" s="34" t="str">
        <f t="shared" si="11"/>
        <v/>
      </c>
      <c r="U33" s="25" t="str">
        <f t="shared" si="12"/>
        <v/>
      </c>
      <c r="V33" s="22"/>
      <c r="W33" s="22"/>
      <c r="X33" s="18"/>
      <c r="Y33" s="26"/>
    </row>
    <row r="34" ht="15.75" customHeight="1">
      <c r="A34" s="16">
        <v>46414.0</v>
      </c>
      <c r="B34" s="13" t="str">
        <f t="shared" si="2"/>
        <v>水</v>
      </c>
      <c r="C34" s="18"/>
      <c r="D34" s="15">
        <f t="shared" si="3"/>
        <v>0</v>
      </c>
      <c r="E34" s="18"/>
      <c r="F34" s="18"/>
      <c r="G34" s="15" t="str">
        <f t="shared" si="4"/>
        <v/>
      </c>
      <c r="H34" s="15" t="str">
        <f t="shared" si="5"/>
        <v/>
      </c>
      <c r="I34" s="17" t="str">
        <f t="shared" ref="I34:J34" si="41">IF(G34="","",IFERROR(G34/C34,""))</f>
        <v/>
      </c>
      <c r="J34" s="17" t="str">
        <f t="shared" si="41"/>
        <v/>
      </c>
      <c r="K34" s="15" t="str">
        <f t="shared" si="7"/>
        <v/>
      </c>
      <c r="L34" s="20" t="str">
        <f t="shared" si="8"/>
        <v>—</v>
      </c>
      <c r="M34" s="22"/>
      <c r="N34" s="22"/>
      <c r="O34" s="22"/>
      <c r="P34" s="22"/>
      <c r="Q34" s="22"/>
      <c r="R34" s="17" t="str">
        <f t="shared" si="9"/>
        <v/>
      </c>
      <c r="S34" s="15" t="str">
        <f t="shared" si="10"/>
        <v/>
      </c>
      <c r="T34" s="24" t="str">
        <f t="shared" si="11"/>
        <v/>
      </c>
      <c r="U34" s="17" t="str">
        <f t="shared" si="12"/>
        <v/>
      </c>
      <c r="V34" s="22"/>
      <c r="W34" s="22"/>
      <c r="X34" s="18"/>
      <c r="Y34" s="26"/>
    </row>
    <row r="35" ht="15.75" customHeight="1">
      <c r="A35" s="32">
        <v>46415.0</v>
      </c>
      <c r="B35" s="21" t="str">
        <f t="shared" si="2"/>
        <v>木</v>
      </c>
      <c r="C35" s="18"/>
      <c r="D35" s="23">
        <f t="shared" si="3"/>
        <v>0</v>
      </c>
      <c r="E35" s="18"/>
      <c r="F35" s="18"/>
      <c r="G35" s="23" t="str">
        <f t="shared" si="4"/>
        <v/>
      </c>
      <c r="H35" s="23" t="str">
        <f t="shared" si="5"/>
        <v/>
      </c>
      <c r="I35" s="25" t="str">
        <f t="shared" ref="I35:J35" si="42">IF(G35="","",IFERROR(G35/C35,""))</f>
        <v/>
      </c>
      <c r="J35" s="25" t="str">
        <f t="shared" si="42"/>
        <v/>
      </c>
      <c r="K35" s="23" t="str">
        <f t="shared" si="7"/>
        <v/>
      </c>
      <c r="L35" s="33" t="str">
        <f t="shared" si="8"/>
        <v>—</v>
      </c>
      <c r="M35" s="22"/>
      <c r="N35" s="22"/>
      <c r="O35" s="22"/>
      <c r="P35" s="22"/>
      <c r="Q35" s="22"/>
      <c r="R35" s="25" t="str">
        <f t="shared" si="9"/>
        <v/>
      </c>
      <c r="S35" s="23" t="str">
        <f t="shared" si="10"/>
        <v/>
      </c>
      <c r="T35" s="34" t="str">
        <f t="shared" si="11"/>
        <v/>
      </c>
      <c r="U35" s="25" t="str">
        <f t="shared" si="12"/>
        <v/>
      </c>
      <c r="V35" s="22"/>
      <c r="W35" s="22"/>
      <c r="X35" s="18"/>
      <c r="Y35" s="26"/>
    </row>
    <row r="36" ht="15.75" customHeight="1">
      <c r="A36" s="16">
        <v>46416.0</v>
      </c>
      <c r="B36" s="13" t="str">
        <f t="shared" si="2"/>
        <v>金</v>
      </c>
      <c r="C36" s="18"/>
      <c r="D36" s="15">
        <f t="shared" si="3"/>
        <v>0</v>
      </c>
      <c r="E36" s="18"/>
      <c r="F36" s="18"/>
      <c r="G36" s="15" t="str">
        <f t="shared" si="4"/>
        <v/>
      </c>
      <c r="H36" s="15" t="str">
        <f t="shared" si="5"/>
        <v/>
      </c>
      <c r="I36" s="17" t="str">
        <f t="shared" ref="I36:J36" si="43">IF(G36="","",IFERROR(G36/C36,""))</f>
        <v/>
      </c>
      <c r="J36" s="17" t="str">
        <f t="shared" si="43"/>
        <v/>
      </c>
      <c r="K36" s="15" t="str">
        <f t="shared" si="7"/>
        <v/>
      </c>
      <c r="L36" s="20" t="str">
        <f t="shared" si="8"/>
        <v>—</v>
      </c>
      <c r="M36" s="22"/>
      <c r="N36" s="22"/>
      <c r="O36" s="22"/>
      <c r="P36" s="22"/>
      <c r="Q36" s="22"/>
      <c r="R36" s="17" t="str">
        <f t="shared" si="9"/>
        <v/>
      </c>
      <c r="S36" s="15" t="str">
        <f t="shared" si="10"/>
        <v/>
      </c>
      <c r="T36" s="24" t="str">
        <f t="shared" si="11"/>
        <v/>
      </c>
      <c r="U36" s="17" t="str">
        <f t="shared" si="12"/>
        <v/>
      </c>
      <c r="V36" s="22"/>
      <c r="W36" s="22"/>
      <c r="X36" s="18"/>
      <c r="Y36" s="26"/>
    </row>
    <row r="37" ht="15.75" customHeight="1">
      <c r="A37" s="32">
        <v>46417.0</v>
      </c>
      <c r="B37" s="21" t="str">
        <f t="shared" si="2"/>
        <v>土</v>
      </c>
      <c r="C37" s="18"/>
      <c r="D37" s="23">
        <f t="shared" si="3"/>
        <v>0</v>
      </c>
      <c r="E37" s="18"/>
      <c r="F37" s="18"/>
      <c r="G37" s="23" t="str">
        <f t="shared" si="4"/>
        <v/>
      </c>
      <c r="H37" s="23" t="str">
        <f t="shared" si="5"/>
        <v/>
      </c>
      <c r="I37" s="25" t="str">
        <f t="shared" ref="I37:J37" si="44">IF(G37="","",IFERROR(G37/C37,""))</f>
        <v/>
      </c>
      <c r="J37" s="25" t="str">
        <f t="shared" si="44"/>
        <v/>
      </c>
      <c r="K37" s="23" t="str">
        <f t="shared" si="7"/>
        <v/>
      </c>
      <c r="L37" s="33" t="str">
        <f t="shared" si="8"/>
        <v>—</v>
      </c>
      <c r="M37" s="22"/>
      <c r="N37" s="22"/>
      <c r="O37" s="22"/>
      <c r="P37" s="22"/>
      <c r="Q37" s="22"/>
      <c r="R37" s="25" t="str">
        <f t="shared" si="9"/>
        <v/>
      </c>
      <c r="S37" s="23" t="str">
        <f t="shared" si="10"/>
        <v/>
      </c>
      <c r="T37" s="34" t="str">
        <f t="shared" si="11"/>
        <v/>
      </c>
      <c r="U37" s="25" t="str">
        <f t="shared" si="12"/>
        <v/>
      </c>
      <c r="V37" s="22"/>
      <c r="W37" s="22"/>
      <c r="X37" s="18"/>
      <c r="Y37" s="26"/>
    </row>
    <row r="38" ht="15.75" customHeight="1">
      <c r="A38" s="16">
        <v>46418.0</v>
      </c>
      <c r="B38" s="13" t="str">
        <f t="shared" si="2"/>
        <v>日</v>
      </c>
      <c r="C38" s="18"/>
      <c r="D38" s="15">
        <f t="shared" si="3"/>
        <v>0</v>
      </c>
      <c r="E38" s="18"/>
      <c r="F38" s="18"/>
      <c r="G38" s="15" t="str">
        <f t="shared" si="4"/>
        <v/>
      </c>
      <c r="H38" s="15" t="str">
        <f t="shared" si="5"/>
        <v/>
      </c>
      <c r="I38" s="17" t="str">
        <f t="shared" ref="I38:J38" si="45">IF(G38="","",IFERROR(G38/C38,""))</f>
        <v/>
      </c>
      <c r="J38" s="17" t="str">
        <f t="shared" si="45"/>
        <v/>
      </c>
      <c r="K38" s="15" t="str">
        <f t="shared" si="7"/>
        <v/>
      </c>
      <c r="L38" s="20" t="str">
        <f t="shared" si="8"/>
        <v>—</v>
      </c>
      <c r="M38" s="22"/>
      <c r="N38" s="22"/>
      <c r="O38" s="22"/>
      <c r="P38" s="22"/>
      <c r="Q38" s="22"/>
      <c r="R38" s="17" t="str">
        <f t="shared" si="9"/>
        <v/>
      </c>
      <c r="S38" s="15" t="str">
        <f t="shared" si="10"/>
        <v/>
      </c>
      <c r="T38" s="24" t="str">
        <f t="shared" si="11"/>
        <v/>
      </c>
      <c r="U38" s="17" t="str">
        <f t="shared" si="12"/>
        <v/>
      </c>
      <c r="V38" s="22"/>
      <c r="W38" s="22"/>
      <c r="X38" s="18"/>
      <c r="Y38" s="26"/>
    </row>
    <row r="39" ht="15.75" customHeight="1">
      <c r="A39" s="45" t="s">
        <v>92</v>
      </c>
      <c r="B39" s="36"/>
      <c r="C39" s="37">
        <f>SUM(C8:C38)</f>
        <v>0</v>
      </c>
      <c r="D39" s="37">
        <f>C39</f>
        <v>0</v>
      </c>
      <c r="E39" s="37">
        <f t="shared" ref="E39:G39" si="46">SUM(E8:E38)</f>
        <v>0</v>
      </c>
      <c r="F39" s="37">
        <f t="shared" si="46"/>
        <v>0</v>
      </c>
      <c r="G39" s="37">
        <f t="shared" si="46"/>
        <v>0</v>
      </c>
      <c r="H39" s="37">
        <f>G39</f>
        <v>0</v>
      </c>
      <c r="I39" s="39" t="str">
        <f>IFERROR(G39/C39,"")</f>
        <v/>
      </c>
      <c r="J39" s="39" t="str">
        <f>IFERROR(G39/C39,"")</f>
        <v/>
      </c>
      <c r="K39" s="37">
        <f>G39-C39</f>
        <v>0</v>
      </c>
      <c r="L39" s="46"/>
      <c r="M39" s="41">
        <f t="shared" ref="M39:Q39" si="47">SUM(M8:M38)</f>
        <v>0</v>
      </c>
      <c r="N39" s="41">
        <f t="shared" si="47"/>
        <v>0</v>
      </c>
      <c r="O39" s="41">
        <f t="shared" si="47"/>
        <v>0</v>
      </c>
      <c r="P39" s="41">
        <f t="shared" si="47"/>
        <v>0</v>
      </c>
      <c r="Q39" s="41">
        <f t="shared" si="47"/>
        <v>0</v>
      </c>
      <c r="R39" s="39" t="str">
        <f t="shared" si="9"/>
        <v/>
      </c>
      <c r="S39" s="37" t="str">
        <f t="shared" si="10"/>
        <v/>
      </c>
      <c r="T39" s="47" t="str">
        <f t="shared" si="11"/>
        <v/>
      </c>
      <c r="U39" s="39" t="str">
        <f t="shared" si="12"/>
        <v/>
      </c>
      <c r="V39" s="41">
        <f>SUM(V8:V38)</f>
        <v>0</v>
      </c>
      <c r="W39" s="41" t="str">
        <f>IFERROR(LOOKUP(9.99E+307,W8:W38),"")</f>
        <v/>
      </c>
      <c r="X39" s="37">
        <f>SUM(X8:X38)</f>
        <v>0</v>
      </c>
      <c r="Y39" s="48" t="s">
        <v>93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131</v>
      </c>
      <c r="H3" s="6"/>
      <c r="I3" s="5" t="s">
        <v>7</v>
      </c>
      <c r="J3" s="6"/>
      <c r="K3" s="5" t="s">
        <v>8</v>
      </c>
      <c r="L3" s="6"/>
    </row>
    <row r="4">
      <c r="A4" s="7">
        <f>IF('設定'!$B$18="",SUM(C8:C35),'設定'!$B$18)</f>
        <v>6000000</v>
      </c>
      <c r="B4" s="6"/>
      <c r="C4" s="8">
        <f>SUM(G8:G35)</f>
        <v>0</v>
      </c>
      <c r="D4" s="6"/>
      <c r="E4" s="9">
        <f>IFERROR(C4/A4,0)</f>
        <v>0</v>
      </c>
      <c r="F4" s="6"/>
      <c r="G4" s="10">
        <f>COUNTIF(G8:G35,"&gt;0")</f>
        <v>0</v>
      </c>
      <c r="H4" s="6"/>
      <c r="I4" s="8">
        <f>A4-C4</f>
        <v>6000000</v>
      </c>
      <c r="J4" s="6"/>
      <c r="K4" s="8">
        <f>IF((28-G4)&gt;0,(A4-C4)/(28-G4),0)</f>
        <v>214285.7143</v>
      </c>
      <c r="L4" s="6"/>
    </row>
    <row r="5">
      <c r="A5" s="5" t="s">
        <v>16</v>
      </c>
      <c r="B5" s="6"/>
      <c r="C5" s="5" t="s">
        <v>17</v>
      </c>
      <c r="D5" s="6"/>
      <c r="E5" s="5" t="s">
        <v>18</v>
      </c>
      <c r="F5" s="6"/>
      <c r="G5" s="5" t="s">
        <v>19</v>
      </c>
      <c r="H5" s="6"/>
      <c r="I5" s="5" t="s">
        <v>20</v>
      </c>
      <c r="J5" s="6"/>
      <c r="K5" s="5" t="s">
        <v>21</v>
      </c>
      <c r="L5" s="6"/>
    </row>
    <row r="6">
      <c r="A6" s="8">
        <f>SUM(C8:C35)</f>
        <v>0</v>
      </c>
      <c r="B6" s="6"/>
      <c r="C6" s="8">
        <f>IFERROR(C4/G4*28,0)</f>
        <v>0</v>
      </c>
      <c r="D6" s="6"/>
      <c r="E6" s="9">
        <f>IFERROR(M36/O36,0)</f>
        <v>0</v>
      </c>
      <c r="F6" s="6"/>
      <c r="G6" s="8">
        <f>IFERROR(G36/M36,0)</f>
        <v>0</v>
      </c>
      <c r="H6" s="6"/>
      <c r="I6" s="12">
        <f>IFERROR(N36/M36,0)</f>
        <v>0</v>
      </c>
      <c r="J6" s="6"/>
      <c r="K6" s="9">
        <f>IFERROR(P36/O36,0)</f>
        <v>0</v>
      </c>
      <c r="L6" s="6"/>
    </row>
    <row r="7" ht="30.0" customHeight="1">
      <c r="A7" s="11" t="s">
        <v>32</v>
      </c>
      <c r="B7" s="11" t="s">
        <v>33</v>
      </c>
      <c r="C7" s="11" t="s">
        <v>34</v>
      </c>
      <c r="D7" s="11" t="s">
        <v>28</v>
      </c>
      <c r="E7" s="11" t="s">
        <v>35</v>
      </c>
      <c r="F7" s="11" t="s">
        <v>36</v>
      </c>
      <c r="G7" s="11" t="s">
        <v>37</v>
      </c>
      <c r="H7" s="11" t="s">
        <v>29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26</v>
      </c>
      <c r="N7" s="11" t="s">
        <v>42</v>
      </c>
      <c r="O7" s="11" t="s">
        <v>27</v>
      </c>
      <c r="P7" s="11" t="s">
        <v>43</v>
      </c>
      <c r="Q7" s="11" t="s">
        <v>44</v>
      </c>
      <c r="R7" s="11" t="s">
        <v>18</v>
      </c>
      <c r="S7" s="11" t="s">
        <v>19</v>
      </c>
      <c r="T7" s="11" t="s">
        <v>20</v>
      </c>
      <c r="U7" s="11" t="s">
        <v>21</v>
      </c>
      <c r="V7" s="11" t="s">
        <v>45</v>
      </c>
      <c r="W7" s="11" t="s">
        <v>46</v>
      </c>
      <c r="X7" s="11" t="s">
        <v>47</v>
      </c>
      <c r="Y7" s="11" t="s">
        <v>48</v>
      </c>
      <c r="AA7" s="14" t="s">
        <v>49</v>
      </c>
      <c r="AB7" s="14" t="s">
        <v>50</v>
      </c>
      <c r="AC7" s="14" t="s">
        <v>51</v>
      </c>
      <c r="AD7" s="14" t="s">
        <v>18</v>
      </c>
      <c r="AE7" s="14" t="s">
        <v>19</v>
      </c>
    </row>
    <row r="8">
      <c r="A8" s="16">
        <v>46419.0</v>
      </c>
      <c r="B8" s="13" t="str">
        <f t="shared" ref="B8:B35" si="2">MID("日月火水木金土",WEEKDAY(A8),1)</f>
        <v>月</v>
      </c>
      <c r="C8" s="18"/>
      <c r="D8" s="15">
        <f t="shared" ref="D8:D35" si="3">SUM($C$8:C8)</f>
        <v>0</v>
      </c>
      <c r="E8" s="18"/>
      <c r="F8" s="18"/>
      <c r="G8" s="15" t="str">
        <f t="shared" ref="G8:G35" si="4">IF(COUNT(E8:F8)=0,"",SUM(E8:F8))</f>
        <v/>
      </c>
      <c r="H8" s="15" t="str">
        <f t="shared" ref="H8:H35" si="5">IF(G8="","",SUM($G$8:G8))</f>
        <v/>
      </c>
      <c r="I8" s="17" t="str">
        <f t="shared" ref="I8:J8" si="1">IF(G8="","",IFERROR(G8/C8,""))</f>
        <v/>
      </c>
      <c r="J8" s="17" t="str">
        <f t="shared" si="1"/>
        <v/>
      </c>
      <c r="K8" s="15" t="str">
        <f t="shared" ref="K8:K35" si="7">IF(H8="","",IF(D8=0,"",H8-D8))</f>
        <v/>
      </c>
      <c r="L8" s="20" t="str">
        <f t="shared" ref="L8:L35" si="8">IF(G8="","—",IF(D8=0,"予算未入力",IF(H8&gt;=D8,"◎ ペース内","▲ 遅れ")))</f>
        <v>—</v>
      </c>
      <c r="M8" s="22"/>
      <c r="N8" s="22"/>
      <c r="O8" s="22"/>
      <c r="P8" s="22"/>
      <c r="Q8" s="22"/>
      <c r="R8" s="17" t="str">
        <f t="shared" ref="R8:R36" si="9">IFERROR(M8/O8,"")</f>
        <v/>
      </c>
      <c r="S8" s="15" t="str">
        <f t="shared" ref="S8:S36" si="10">IFERROR(G8/M8,"")</f>
        <v/>
      </c>
      <c r="T8" s="24" t="str">
        <f t="shared" ref="T8:T36" si="11">IFERROR(N8/M8,"")</f>
        <v/>
      </c>
      <c r="U8" s="17" t="str">
        <f t="shared" ref="U8:U36" si="12">IFERROR(P8/O8,"")</f>
        <v/>
      </c>
      <c r="V8" s="22"/>
      <c r="W8" s="22"/>
      <c r="X8" s="18"/>
      <c r="Y8" s="26"/>
      <c r="AA8" s="27" t="s">
        <v>22</v>
      </c>
      <c r="AB8" s="29">
        <f t="shared" ref="AB8:AB14" si="13">IFERROR(AVERAGEIFS($G$8:$G$35,$B$8:$B$35,AA8,$G$8:$G$35,"&gt;0"),0)</f>
        <v>0</v>
      </c>
      <c r="AC8" s="30">
        <f t="shared" ref="AC8:AC14" si="14">COUNTIFS($B$8:$B$35,AA8,$G$8:$G$35,"&gt;0")</f>
        <v>0</v>
      </c>
      <c r="AD8" s="31">
        <f t="shared" ref="AD8:AD14" si="15">IFERROR(SUMIF($B$8:$B$35,AA8,$M$8:$M$35)/SUMIF($B$8:$B$35,AA8,$O$8:$O$35),0)</f>
        <v>0</v>
      </c>
      <c r="AE8" s="29">
        <f t="shared" ref="AE8:AE14" si="16">IFERROR(SUMIF($B$8:$B$35,AA8,$G$8:$G$35)/SUMIF($B$8:$B$35,AA8,$M$8:$M$35),0)</f>
        <v>0</v>
      </c>
    </row>
    <row r="9">
      <c r="A9" s="32">
        <v>46420.0</v>
      </c>
      <c r="B9" s="21" t="str">
        <f t="shared" si="2"/>
        <v>火</v>
      </c>
      <c r="C9" s="18"/>
      <c r="D9" s="23">
        <f t="shared" si="3"/>
        <v>0</v>
      </c>
      <c r="E9" s="18"/>
      <c r="F9" s="18"/>
      <c r="G9" s="23" t="str">
        <f t="shared" si="4"/>
        <v/>
      </c>
      <c r="H9" s="23" t="str">
        <f t="shared" si="5"/>
        <v/>
      </c>
      <c r="I9" s="25" t="str">
        <f t="shared" ref="I9:J9" si="6">IF(G9="","",IFERROR(G9/C9,""))</f>
        <v/>
      </c>
      <c r="J9" s="25" t="str">
        <f t="shared" si="6"/>
        <v/>
      </c>
      <c r="K9" s="23" t="str">
        <f t="shared" si="7"/>
        <v/>
      </c>
      <c r="L9" s="33" t="str">
        <f t="shared" si="8"/>
        <v>—</v>
      </c>
      <c r="M9" s="22"/>
      <c r="N9" s="22"/>
      <c r="O9" s="22"/>
      <c r="P9" s="22"/>
      <c r="Q9" s="22"/>
      <c r="R9" s="25" t="str">
        <f t="shared" si="9"/>
        <v/>
      </c>
      <c r="S9" s="23" t="str">
        <f t="shared" si="10"/>
        <v/>
      </c>
      <c r="T9" s="34" t="str">
        <f t="shared" si="11"/>
        <v/>
      </c>
      <c r="U9" s="25" t="str">
        <f t="shared" si="12"/>
        <v/>
      </c>
      <c r="V9" s="22"/>
      <c r="W9" s="22"/>
      <c r="X9" s="18"/>
      <c r="Y9" s="26"/>
      <c r="AA9" s="27" t="s">
        <v>59</v>
      </c>
      <c r="AB9" s="29">
        <f t="shared" si="13"/>
        <v>0</v>
      </c>
      <c r="AC9" s="30">
        <f t="shared" si="14"/>
        <v>0</v>
      </c>
      <c r="AD9" s="31">
        <f t="shared" si="15"/>
        <v>0</v>
      </c>
      <c r="AE9" s="29">
        <f t="shared" si="16"/>
        <v>0</v>
      </c>
    </row>
    <row r="10">
      <c r="A10" s="16">
        <v>46421.0</v>
      </c>
      <c r="B10" s="13" t="str">
        <f t="shared" si="2"/>
        <v>水</v>
      </c>
      <c r="C10" s="18"/>
      <c r="D10" s="15">
        <f t="shared" si="3"/>
        <v>0</v>
      </c>
      <c r="E10" s="18"/>
      <c r="F10" s="18"/>
      <c r="G10" s="15" t="str">
        <f t="shared" si="4"/>
        <v/>
      </c>
      <c r="H10" s="15" t="str">
        <f t="shared" si="5"/>
        <v/>
      </c>
      <c r="I10" s="17" t="str">
        <f t="shared" ref="I10:J10" si="17">IF(G10="","",IFERROR(G10/C10,""))</f>
        <v/>
      </c>
      <c r="J10" s="17" t="str">
        <f t="shared" si="17"/>
        <v/>
      </c>
      <c r="K10" s="15" t="str">
        <f t="shared" si="7"/>
        <v/>
      </c>
      <c r="L10" s="20" t="str">
        <f t="shared" si="8"/>
        <v>—</v>
      </c>
      <c r="M10" s="22"/>
      <c r="N10" s="22"/>
      <c r="O10" s="22"/>
      <c r="P10" s="22"/>
      <c r="Q10" s="22"/>
      <c r="R10" s="17" t="str">
        <f t="shared" si="9"/>
        <v/>
      </c>
      <c r="S10" s="15" t="str">
        <f t="shared" si="10"/>
        <v/>
      </c>
      <c r="T10" s="24" t="str">
        <f t="shared" si="11"/>
        <v/>
      </c>
      <c r="U10" s="17" t="str">
        <f t="shared" si="12"/>
        <v/>
      </c>
      <c r="V10" s="22"/>
      <c r="W10" s="22"/>
      <c r="X10" s="18"/>
      <c r="Y10" s="26"/>
      <c r="AA10" s="27" t="s">
        <v>61</v>
      </c>
      <c r="AB10" s="29">
        <f t="shared" si="13"/>
        <v>0</v>
      </c>
      <c r="AC10" s="30">
        <f t="shared" si="14"/>
        <v>0</v>
      </c>
      <c r="AD10" s="31">
        <f t="shared" si="15"/>
        <v>0</v>
      </c>
      <c r="AE10" s="29">
        <f t="shared" si="16"/>
        <v>0</v>
      </c>
    </row>
    <row r="11">
      <c r="A11" s="32">
        <v>46422.0</v>
      </c>
      <c r="B11" s="21" t="str">
        <f t="shared" si="2"/>
        <v>木</v>
      </c>
      <c r="C11" s="18"/>
      <c r="D11" s="23">
        <f t="shared" si="3"/>
        <v>0</v>
      </c>
      <c r="E11" s="18"/>
      <c r="F11" s="18"/>
      <c r="G11" s="23" t="str">
        <f t="shared" si="4"/>
        <v/>
      </c>
      <c r="H11" s="23" t="str">
        <f t="shared" si="5"/>
        <v/>
      </c>
      <c r="I11" s="25" t="str">
        <f t="shared" ref="I11:J11" si="18">IF(G11="","",IFERROR(G11/C11,""))</f>
        <v/>
      </c>
      <c r="J11" s="25" t="str">
        <f t="shared" si="18"/>
        <v/>
      </c>
      <c r="K11" s="23" t="str">
        <f t="shared" si="7"/>
        <v/>
      </c>
      <c r="L11" s="33" t="str">
        <f t="shared" si="8"/>
        <v>—</v>
      </c>
      <c r="M11" s="22"/>
      <c r="N11" s="22"/>
      <c r="O11" s="22"/>
      <c r="P11" s="22"/>
      <c r="Q11" s="22"/>
      <c r="R11" s="25" t="str">
        <f t="shared" si="9"/>
        <v/>
      </c>
      <c r="S11" s="23" t="str">
        <f t="shared" si="10"/>
        <v/>
      </c>
      <c r="T11" s="34" t="str">
        <f t="shared" si="11"/>
        <v/>
      </c>
      <c r="U11" s="25" t="str">
        <f t="shared" si="12"/>
        <v/>
      </c>
      <c r="V11" s="22"/>
      <c r="W11" s="22"/>
      <c r="X11" s="18"/>
      <c r="Y11" s="26"/>
      <c r="AA11" s="27" t="s">
        <v>63</v>
      </c>
      <c r="AB11" s="29">
        <f t="shared" si="13"/>
        <v>0</v>
      </c>
      <c r="AC11" s="30">
        <f t="shared" si="14"/>
        <v>0</v>
      </c>
      <c r="AD11" s="31">
        <f t="shared" si="15"/>
        <v>0</v>
      </c>
      <c r="AE11" s="29">
        <f t="shared" si="16"/>
        <v>0</v>
      </c>
    </row>
    <row r="12">
      <c r="A12" s="16">
        <v>46423.0</v>
      </c>
      <c r="B12" s="13" t="str">
        <f t="shared" si="2"/>
        <v>金</v>
      </c>
      <c r="C12" s="18"/>
      <c r="D12" s="15">
        <f t="shared" si="3"/>
        <v>0</v>
      </c>
      <c r="E12" s="18"/>
      <c r="F12" s="18"/>
      <c r="G12" s="15" t="str">
        <f t="shared" si="4"/>
        <v/>
      </c>
      <c r="H12" s="15" t="str">
        <f t="shared" si="5"/>
        <v/>
      </c>
      <c r="I12" s="17" t="str">
        <f t="shared" ref="I12:J12" si="19">IF(G12="","",IFERROR(G12/C12,""))</f>
        <v/>
      </c>
      <c r="J12" s="17" t="str">
        <f t="shared" si="19"/>
        <v/>
      </c>
      <c r="K12" s="15" t="str">
        <f t="shared" si="7"/>
        <v/>
      </c>
      <c r="L12" s="20" t="str">
        <f t="shared" si="8"/>
        <v>—</v>
      </c>
      <c r="M12" s="22"/>
      <c r="N12" s="22"/>
      <c r="O12" s="22"/>
      <c r="P12" s="22"/>
      <c r="Q12" s="22"/>
      <c r="R12" s="17" t="str">
        <f t="shared" si="9"/>
        <v/>
      </c>
      <c r="S12" s="15" t="str">
        <f t="shared" si="10"/>
        <v/>
      </c>
      <c r="T12" s="24" t="str">
        <f t="shared" si="11"/>
        <v/>
      </c>
      <c r="U12" s="17" t="str">
        <f t="shared" si="12"/>
        <v/>
      </c>
      <c r="V12" s="22"/>
      <c r="W12" s="22"/>
      <c r="X12" s="18"/>
      <c r="Y12" s="26"/>
      <c r="AA12" s="27" t="s">
        <v>65</v>
      </c>
      <c r="AB12" s="29">
        <f t="shared" si="13"/>
        <v>0</v>
      </c>
      <c r="AC12" s="30">
        <f t="shared" si="14"/>
        <v>0</v>
      </c>
      <c r="AD12" s="31">
        <f t="shared" si="15"/>
        <v>0</v>
      </c>
      <c r="AE12" s="29">
        <f t="shared" si="16"/>
        <v>0</v>
      </c>
    </row>
    <row r="13">
      <c r="A13" s="32">
        <v>46424.0</v>
      </c>
      <c r="B13" s="21" t="str">
        <f t="shared" si="2"/>
        <v>土</v>
      </c>
      <c r="C13" s="18"/>
      <c r="D13" s="23">
        <f t="shared" si="3"/>
        <v>0</v>
      </c>
      <c r="E13" s="18"/>
      <c r="F13" s="18"/>
      <c r="G13" s="23" t="str">
        <f t="shared" si="4"/>
        <v/>
      </c>
      <c r="H13" s="23" t="str">
        <f t="shared" si="5"/>
        <v/>
      </c>
      <c r="I13" s="25" t="str">
        <f t="shared" ref="I13:J13" si="20">IF(G13="","",IFERROR(G13/C13,""))</f>
        <v/>
      </c>
      <c r="J13" s="25" t="str">
        <f t="shared" si="20"/>
        <v/>
      </c>
      <c r="K13" s="23" t="str">
        <f t="shared" si="7"/>
        <v/>
      </c>
      <c r="L13" s="33" t="str">
        <f t="shared" si="8"/>
        <v>—</v>
      </c>
      <c r="M13" s="22"/>
      <c r="N13" s="22"/>
      <c r="O13" s="22"/>
      <c r="P13" s="22"/>
      <c r="Q13" s="22"/>
      <c r="R13" s="25" t="str">
        <f t="shared" si="9"/>
        <v/>
      </c>
      <c r="S13" s="23" t="str">
        <f t="shared" si="10"/>
        <v/>
      </c>
      <c r="T13" s="34" t="str">
        <f t="shared" si="11"/>
        <v/>
      </c>
      <c r="U13" s="25" t="str">
        <f t="shared" si="12"/>
        <v/>
      </c>
      <c r="V13" s="22"/>
      <c r="W13" s="22"/>
      <c r="X13" s="18"/>
      <c r="Y13" s="26"/>
      <c r="AA13" s="27" t="s">
        <v>67</v>
      </c>
      <c r="AB13" s="29">
        <f t="shared" si="13"/>
        <v>0</v>
      </c>
      <c r="AC13" s="30">
        <f t="shared" si="14"/>
        <v>0</v>
      </c>
      <c r="AD13" s="31">
        <f t="shared" si="15"/>
        <v>0</v>
      </c>
      <c r="AE13" s="29">
        <f t="shared" si="16"/>
        <v>0</v>
      </c>
    </row>
    <row r="14">
      <c r="A14" s="16">
        <v>46425.0</v>
      </c>
      <c r="B14" s="13" t="str">
        <f t="shared" si="2"/>
        <v>日</v>
      </c>
      <c r="C14" s="18"/>
      <c r="D14" s="15">
        <f t="shared" si="3"/>
        <v>0</v>
      </c>
      <c r="E14" s="18"/>
      <c r="F14" s="18"/>
      <c r="G14" s="15" t="str">
        <f t="shared" si="4"/>
        <v/>
      </c>
      <c r="H14" s="15" t="str">
        <f t="shared" si="5"/>
        <v/>
      </c>
      <c r="I14" s="17" t="str">
        <f t="shared" ref="I14:J14" si="21">IF(G14="","",IFERROR(G14/C14,""))</f>
        <v/>
      </c>
      <c r="J14" s="17" t="str">
        <f t="shared" si="21"/>
        <v/>
      </c>
      <c r="K14" s="15" t="str">
        <f t="shared" si="7"/>
        <v/>
      </c>
      <c r="L14" s="20" t="str">
        <f t="shared" si="8"/>
        <v>—</v>
      </c>
      <c r="M14" s="22"/>
      <c r="N14" s="22"/>
      <c r="O14" s="22"/>
      <c r="P14" s="22"/>
      <c r="Q14" s="22"/>
      <c r="R14" s="17" t="str">
        <f t="shared" si="9"/>
        <v/>
      </c>
      <c r="S14" s="15" t="str">
        <f t="shared" si="10"/>
        <v/>
      </c>
      <c r="T14" s="24" t="str">
        <f t="shared" si="11"/>
        <v/>
      </c>
      <c r="U14" s="17" t="str">
        <f t="shared" si="12"/>
        <v/>
      </c>
      <c r="V14" s="22"/>
      <c r="W14" s="22"/>
      <c r="X14" s="18"/>
      <c r="Y14" s="26"/>
      <c r="AA14" s="27" t="s">
        <v>69</v>
      </c>
      <c r="AB14" s="29">
        <f t="shared" si="13"/>
        <v>0</v>
      </c>
      <c r="AC14" s="30">
        <f t="shared" si="14"/>
        <v>0</v>
      </c>
      <c r="AD14" s="31">
        <f t="shared" si="15"/>
        <v>0</v>
      </c>
      <c r="AE14" s="29">
        <f t="shared" si="16"/>
        <v>0</v>
      </c>
    </row>
    <row r="15">
      <c r="A15" s="32">
        <v>46426.0</v>
      </c>
      <c r="B15" s="21" t="str">
        <f t="shared" si="2"/>
        <v>月</v>
      </c>
      <c r="C15" s="18"/>
      <c r="D15" s="23">
        <f t="shared" si="3"/>
        <v>0</v>
      </c>
      <c r="E15" s="18"/>
      <c r="F15" s="18"/>
      <c r="G15" s="23" t="str">
        <f t="shared" si="4"/>
        <v/>
      </c>
      <c r="H15" s="23" t="str">
        <f t="shared" si="5"/>
        <v/>
      </c>
      <c r="I15" s="25" t="str">
        <f t="shared" ref="I15:J15" si="22">IF(G15="","",IFERROR(G15/C15,""))</f>
        <v/>
      </c>
      <c r="J15" s="25" t="str">
        <f t="shared" si="22"/>
        <v/>
      </c>
      <c r="K15" s="23" t="str">
        <f t="shared" si="7"/>
        <v/>
      </c>
      <c r="L15" s="33" t="str">
        <f t="shared" si="8"/>
        <v>—</v>
      </c>
      <c r="M15" s="22"/>
      <c r="N15" s="22"/>
      <c r="O15" s="22"/>
      <c r="P15" s="22"/>
      <c r="Q15" s="22"/>
      <c r="R15" s="25" t="str">
        <f t="shared" si="9"/>
        <v/>
      </c>
      <c r="S15" s="23" t="str">
        <f t="shared" si="10"/>
        <v/>
      </c>
      <c r="T15" s="34" t="str">
        <f t="shared" si="11"/>
        <v/>
      </c>
      <c r="U15" s="25" t="str">
        <f t="shared" si="12"/>
        <v/>
      </c>
      <c r="V15" s="22"/>
      <c r="W15" s="22"/>
      <c r="X15" s="18"/>
      <c r="Y15" s="26"/>
    </row>
    <row r="16">
      <c r="A16" s="16">
        <v>46427.0</v>
      </c>
      <c r="B16" s="13" t="str">
        <f t="shared" si="2"/>
        <v>火</v>
      </c>
      <c r="C16" s="18"/>
      <c r="D16" s="15">
        <f t="shared" si="3"/>
        <v>0</v>
      </c>
      <c r="E16" s="18"/>
      <c r="F16" s="18"/>
      <c r="G16" s="15" t="str">
        <f t="shared" si="4"/>
        <v/>
      </c>
      <c r="H16" s="15" t="str">
        <f t="shared" si="5"/>
        <v/>
      </c>
      <c r="I16" s="17" t="str">
        <f t="shared" ref="I16:J16" si="23">IF(G16="","",IFERROR(G16/C16,""))</f>
        <v/>
      </c>
      <c r="J16" s="17" t="str">
        <f t="shared" si="23"/>
        <v/>
      </c>
      <c r="K16" s="15" t="str">
        <f t="shared" si="7"/>
        <v/>
      </c>
      <c r="L16" s="20" t="str">
        <f t="shared" si="8"/>
        <v>—</v>
      </c>
      <c r="M16" s="22"/>
      <c r="N16" s="22"/>
      <c r="O16" s="22"/>
      <c r="P16" s="22"/>
      <c r="Q16" s="22"/>
      <c r="R16" s="17" t="str">
        <f t="shared" si="9"/>
        <v/>
      </c>
      <c r="S16" s="15" t="str">
        <f t="shared" si="10"/>
        <v/>
      </c>
      <c r="T16" s="24" t="str">
        <f t="shared" si="11"/>
        <v/>
      </c>
      <c r="U16" s="17" t="str">
        <f t="shared" si="12"/>
        <v/>
      </c>
      <c r="V16" s="22"/>
      <c r="W16" s="22"/>
      <c r="X16" s="18"/>
      <c r="Y16" s="26"/>
      <c r="AA16" s="35" t="s">
        <v>71</v>
      </c>
    </row>
    <row r="17">
      <c r="A17" s="32">
        <v>46428.0</v>
      </c>
      <c r="B17" s="21" t="str">
        <f t="shared" si="2"/>
        <v>水</v>
      </c>
      <c r="C17" s="18"/>
      <c r="D17" s="23">
        <f t="shared" si="3"/>
        <v>0</v>
      </c>
      <c r="E17" s="18"/>
      <c r="F17" s="18"/>
      <c r="G17" s="23" t="str">
        <f t="shared" si="4"/>
        <v/>
      </c>
      <c r="H17" s="23" t="str">
        <f t="shared" si="5"/>
        <v/>
      </c>
      <c r="I17" s="25" t="str">
        <f t="shared" ref="I17:J17" si="24">IF(G17="","",IFERROR(G17/C17,""))</f>
        <v/>
      </c>
      <c r="J17" s="25" t="str">
        <f t="shared" si="24"/>
        <v/>
      </c>
      <c r="K17" s="23" t="str">
        <f t="shared" si="7"/>
        <v/>
      </c>
      <c r="L17" s="33" t="str">
        <f t="shared" si="8"/>
        <v>—</v>
      </c>
      <c r="M17" s="22"/>
      <c r="N17" s="22"/>
      <c r="O17" s="22"/>
      <c r="P17" s="22"/>
      <c r="Q17" s="22"/>
      <c r="R17" s="25" t="str">
        <f t="shared" si="9"/>
        <v/>
      </c>
      <c r="S17" s="23" t="str">
        <f t="shared" si="10"/>
        <v/>
      </c>
      <c r="T17" s="34" t="str">
        <f t="shared" si="11"/>
        <v/>
      </c>
      <c r="U17" s="25" t="str">
        <f t="shared" si="12"/>
        <v/>
      </c>
      <c r="V17" s="22"/>
      <c r="W17" s="22"/>
      <c r="X17" s="18"/>
      <c r="Y17" s="26"/>
    </row>
    <row r="18">
      <c r="A18" s="16">
        <v>46429.0</v>
      </c>
      <c r="B18" s="13" t="str">
        <f t="shared" si="2"/>
        <v>木</v>
      </c>
      <c r="C18" s="18"/>
      <c r="D18" s="15">
        <f t="shared" si="3"/>
        <v>0</v>
      </c>
      <c r="E18" s="18"/>
      <c r="F18" s="18"/>
      <c r="G18" s="15" t="str">
        <f t="shared" si="4"/>
        <v/>
      </c>
      <c r="H18" s="15" t="str">
        <f t="shared" si="5"/>
        <v/>
      </c>
      <c r="I18" s="17" t="str">
        <f t="shared" ref="I18:J18" si="25">IF(G18="","",IFERROR(G18/C18,""))</f>
        <v/>
      </c>
      <c r="J18" s="17" t="str">
        <f t="shared" si="25"/>
        <v/>
      </c>
      <c r="K18" s="15" t="str">
        <f t="shared" si="7"/>
        <v/>
      </c>
      <c r="L18" s="20" t="str">
        <f t="shared" si="8"/>
        <v>—</v>
      </c>
      <c r="M18" s="22"/>
      <c r="N18" s="22"/>
      <c r="O18" s="22"/>
      <c r="P18" s="22"/>
      <c r="Q18" s="22"/>
      <c r="R18" s="17" t="str">
        <f t="shared" si="9"/>
        <v/>
      </c>
      <c r="S18" s="15" t="str">
        <f t="shared" si="10"/>
        <v/>
      </c>
      <c r="T18" s="24" t="str">
        <f t="shared" si="11"/>
        <v/>
      </c>
      <c r="U18" s="17" t="str">
        <f t="shared" si="12"/>
        <v/>
      </c>
      <c r="V18" s="22"/>
      <c r="W18" s="22"/>
      <c r="X18" s="18"/>
      <c r="Y18" s="26"/>
      <c r="AA18" s="38" t="s">
        <v>192</v>
      </c>
      <c r="AH18" s="35" t="s">
        <v>136</v>
      </c>
      <c r="AI18" s="40">
        <f>$A$8+MOD(1-WEEKDAY($A$8,2)+7,7)</f>
        <v>46420</v>
      </c>
    </row>
    <row r="19">
      <c r="A19" s="32">
        <v>46430.0</v>
      </c>
      <c r="B19" s="21" t="str">
        <f t="shared" si="2"/>
        <v>金</v>
      </c>
      <c r="C19" s="18"/>
      <c r="D19" s="23">
        <f t="shared" si="3"/>
        <v>0</v>
      </c>
      <c r="E19" s="18"/>
      <c r="F19" s="18"/>
      <c r="G19" s="23" t="str">
        <f t="shared" si="4"/>
        <v/>
      </c>
      <c r="H19" s="23" t="str">
        <f t="shared" si="5"/>
        <v/>
      </c>
      <c r="I19" s="25" t="str">
        <f t="shared" ref="I19:J19" si="26">IF(G19="","",IFERROR(G19/C19,""))</f>
        <v/>
      </c>
      <c r="J19" s="25" t="str">
        <f t="shared" si="26"/>
        <v/>
      </c>
      <c r="K19" s="23" t="str">
        <f t="shared" si="7"/>
        <v/>
      </c>
      <c r="L19" s="33" t="str">
        <f t="shared" si="8"/>
        <v>—</v>
      </c>
      <c r="M19" s="22"/>
      <c r="N19" s="22"/>
      <c r="O19" s="22"/>
      <c r="P19" s="22"/>
      <c r="Q19" s="22"/>
      <c r="R19" s="25" t="str">
        <f t="shared" si="9"/>
        <v/>
      </c>
      <c r="S19" s="23" t="str">
        <f t="shared" si="10"/>
        <v/>
      </c>
      <c r="T19" s="34" t="str">
        <f t="shared" si="11"/>
        <v/>
      </c>
      <c r="U19" s="25" t="str">
        <f t="shared" si="12"/>
        <v/>
      </c>
      <c r="V19" s="22"/>
      <c r="W19" s="22"/>
      <c r="X19" s="18"/>
      <c r="Y19" s="26"/>
      <c r="AA19" s="14" t="s">
        <v>76</v>
      </c>
      <c r="AB19" s="14" t="s">
        <v>77</v>
      </c>
      <c r="AC19" s="14" t="s">
        <v>78</v>
      </c>
      <c r="AD19" s="14" t="s">
        <v>18</v>
      </c>
      <c r="AE19" s="14" t="s">
        <v>19</v>
      </c>
      <c r="AF19" s="14" t="s">
        <v>20</v>
      </c>
      <c r="AG19" s="14" t="s">
        <v>21</v>
      </c>
    </row>
    <row r="20">
      <c r="A20" s="16">
        <v>46431.0</v>
      </c>
      <c r="B20" s="13" t="str">
        <f t="shared" si="2"/>
        <v>土</v>
      </c>
      <c r="C20" s="18"/>
      <c r="D20" s="15">
        <f t="shared" si="3"/>
        <v>0</v>
      </c>
      <c r="E20" s="18"/>
      <c r="F20" s="18"/>
      <c r="G20" s="15" t="str">
        <f t="shared" si="4"/>
        <v/>
      </c>
      <c r="H20" s="15" t="str">
        <f t="shared" si="5"/>
        <v/>
      </c>
      <c r="I20" s="17" t="str">
        <f t="shared" ref="I20:J20" si="27">IF(G20="","",IFERROR(G20/C20,""))</f>
        <v/>
      </c>
      <c r="J20" s="17" t="str">
        <f t="shared" si="27"/>
        <v/>
      </c>
      <c r="K20" s="15" t="str">
        <f t="shared" si="7"/>
        <v/>
      </c>
      <c r="L20" s="20" t="str">
        <f t="shared" si="8"/>
        <v>—</v>
      </c>
      <c r="M20" s="22"/>
      <c r="N20" s="22"/>
      <c r="O20" s="22"/>
      <c r="P20" s="22"/>
      <c r="Q20" s="22"/>
      <c r="R20" s="17" t="str">
        <f t="shared" si="9"/>
        <v/>
      </c>
      <c r="S20" s="15" t="str">
        <f t="shared" si="10"/>
        <v/>
      </c>
      <c r="T20" s="24" t="str">
        <f t="shared" si="11"/>
        <v/>
      </c>
      <c r="U20" s="17" t="str">
        <f t="shared" si="12"/>
        <v/>
      </c>
      <c r="V20" s="22"/>
      <c r="W20" s="22"/>
      <c r="X20" s="18"/>
      <c r="Y20" s="26"/>
      <c r="AA20" s="30">
        <v>1.0</v>
      </c>
      <c r="AB20" s="42" t="str">
        <f>IF($AI$18+7*(1-1)&gt;$A$35,"",TEXT($AI$18+7*(1-1),"m/d")&amp;"-"&amp;TEXT($AI$18+7*(1-1)+6,"m/d"))</f>
        <v>2/2-2/8</v>
      </c>
      <c r="AC20" s="29">
        <f>IF($AB20="","",(SUMIFS($G$8:$G$35,$A$8:$A$35,"&gt;="&amp;$AI$18+7*(1-1),$A$8:$A$35,"&lt;="&amp;$AI$18+7*(1-1)+6)+SUMIFS('2027年03月'!$G$8:$G$38,'2027年03月'!$A$8:$A$38,"&gt;="&amp;$AI$18+7*(1-1),'2027年03月'!$A$8:$A$38,"&lt;="&amp;$AI$18+7*(1-1)+6)))</f>
        <v>0</v>
      </c>
      <c r="AD20" s="31" t="str">
        <f>IF($AB20="","",IFERROR((SUMIFS($M$8:$M$35,$A$8:$A$35,"&gt;="&amp;$AI$18+7*(1-1),$A$8:$A$35,"&lt;="&amp;$AI$18+7*(1-1)+6)+SUMIFS('2027年03月'!$M$8:$M$38,'2027年03月'!$A$8:$A$38,"&gt;="&amp;$AI$18+7*(1-1),'2027年03月'!$A$8:$A$38,"&lt;="&amp;$AI$18+7*(1-1)+6))/(SUMIFS($O$8:$O$35,$A$8:$A$35,"&gt;="&amp;$AI$18+7*(1-1),$A$8:$A$35,"&lt;="&amp;$AI$18+7*(1-1)+6)+SUMIFS('2027年03月'!$O$8:$O$38,'2027年03月'!$A$8:$A$38,"&gt;="&amp;$AI$18+7*(1-1),'2027年03月'!$A$8:$A$38,"&lt;="&amp;$AI$18+7*(1-1)+6)),""))</f>
        <v/>
      </c>
      <c r="AE20" s="29" t="str">
        <f>IF($AB20="","",IFERROR((SUMIFS($G$8:$G$35,$A$8:$A$35,"&gt;="&amp;$AI$18+7*(1-1),$A$8:$A$35,"&lt;="&amp;$AI$18+7*(1-1)+6)+SUMIFS('2027年03月'!$G$8:$G$38,'2027年03月'!$A$8:$A$38,"&gt;="&amp;$AI$18+7*(1-1),'2027年03月'!$A$8:$A$38,"&lt;="&amp;$AI$18+7*(1-1)+6))/(SUMIFS($M$8:$M$35,$A$8:$A$35,"&gt;="&amp;$AI$18+7*(1-1),$A$8:$A$35,"&lt;="&amp;$AI$18+7*(1-1)+6)+SUMIFS('2027年03月'!$M$8:$M$38,'2027年03月'!$A$8:$A$38,"&gt;="&amp;$AI$18+7*(1-1),'2027年03月'!$A$8:$A$38,"&lt;="&amp;$AI$18+7*(1-1)+6)),""))</f>
        <v/>
      </c>
      <c r="AF20" s="43" t="str">
        <f>IF($AB20="","",IFERROR((SUMIFS($N$8:$N$35,$A$8:$A$35,"&gt;="&amp;$AI$18+7*(1-1),$A$8:$A$35,"&lt;="&amp;$AI$18+7*(1-1)+6)+SUMIFS('2027年03月'!$N$8:$N$38,'2027年03月'!$A$8:$A$38,"&gt;="&amp;$AI$18+7*(1-1),'2027年03月'!$A$8:$A$38,"&lt;="&amp;$AI$18+7*(1-1)+6))/(SUMIFS($M$8:$M$35,$A$8:$A$35,"&gt;="&amp;$AI$18+7*(1-1),$A$8:$A$35,"&lt;="&amp;$AI$18+7*(1-1)+6)+SUMIFS('2027年03月'!$M$8:$M$38,'2027年03月'!$A$8:$A$38,"&gt;="&amp;$AI$18+7*(1-1),'2027年03月'!$A$8:$A$38,"&lt;="&amp;$AI$18+7*(1-1)+6)),""))</f>
        <v/>
      </c>
      <c r="AG20" s="31" t="str">
        <f>IF($AB20="","",IFERROR((SUMIFS($P$8:$P$35,$A$8:$A$35,"&gt;="&amp;$AI$18+7*(1-1),$A$8:$A$35,"&lt;="&amp;$AI$18+7*(1-1)+6)+SUMIFS('2027年03月'!$P$8:$P$38,'2027年03月'!$A$8:$A$38,"&gt;="&amp;$AI$18+7*(1-1),'2027年03月'!$A$8:$A$38,"&lt;="&amp;$AI$18+7*(1-1)+6))/(SUMIFS($O$8:$O$35,$A$8:$A$35,"&gt;="&amp;$AI$18+7*(1-1),$A$8:$A$35,"&lt;="&amp;$AI$18+7*(1-1)+6)+SUMIFS('2027年03月'!$O$8:$O$38,'2027年03月'!$A$8:$A$38,"&gt;="&amp;$AI$18+7*(1-1),'2027年03月'!$A$8:$A$38,"&lt;="&amp;$AI$18+7*(1-1)+6)),""))</f>
        <v/>
      </c>
    </row>
    <row r="21" ht="15.75" customHeight="1">
      <c r="A21" s="32">
        <v>46432.0</v>
      </c>
      <c r="B21" s="21" t="str">
        <f t="shared" si="2"/>
        <v>日</v>
      </c>
      <c r="C21" s="18"/>
      <c r="D21" s="23">
        <f t="shared" si="3"/>
        <v>0</v>
      </c>
      <c r="E21" s="18"/>
      <c r="F21" s="18"/>
      <c r="G21" s="23" t="str">
        <f t="shared" si="4"/>
        <v/>
      </c>
      <c r="H21" s="23" t="str">
        <f t="shared" si="5"/>
        <v/>
      </c>
      <c r="I21" s="25" t="str">
        <f t="shared" ref="I21:J21" si="28">IF(G21="","",IFERROR(G21/C21,""))</f>
        <v/>
      </c>
      <c r="J21" s="25" t="str">
        <f t="shared" si="28"/>
        <v/>
      </c>
      <c r="K21" s="23" t="str">
        <f t="shared" si="7"/>
        <v/>
      </c>
      <c r="L21" s="33" t="str">
        <f t="shared" si="8"/>
        <v>—</v>
      </c>
      <c r="M21" s="22"/>
      <c r="N21" s="22"/>
      <c r="O21" s="22"/>
      <c r="P21" s="22"/>
      <c r="Q21" s="22"/>
      <c r="R21" s="25" t="str">
        <f t="shared" si="9"/>
        <v/>
      </c>
      <c r="S21" s="23" t="str">
        <f t="shared" si="10"/>
        <v/>
      </c>
      <c r="T21" s="34" t="str">
        <f t="shared" si="11"/>
        <v/>
      </c>
      <c r="U21" s="25" t="str">
        <f t="shared" si="12"/>
        <v/>
      </c>
      <c r="V21" s="22"/>
      <c r="W21" s="22"/>
      <c r="X21" s="18"/>
      <c r="Y21" s="26"/>
      <c r="AA21" s="30">
        <v>2.0</v>
      </c>
      <c r="AB21" s="42" t="str">
        <f>IF($AI$18+7*(2-1)&gt;$A$35,"",TEXT($AI$18+7*(2-1),"m/d")&amp;"-"&amp;TEXT($AI$18+7*(2-1)+6,"m/d"))</f>
        <v>2/9-2/15</v>
      </c>
      <c r="AC21" s="29">
        <f>IF($AB21="","",(SUMIFS($G$8:$G$35,$A$8:$A$35,"&gt;="&amp;$AI$18+7*(2-1),$A$8:$A$35,"&lt;="&amp;$AI$18+7*(2-1)+6)+SUMIFS('2027年03月'!$G$8:$G$38,'2027年03月'!$A$8:$A$38,"&gt;="&amp;$AI$18+7*(2-1),'2027年03月'!$A$8:$A$38,"&lt;="&amp;$AI$18+7*(2-1)+6)))</f>
        <v>0</v>
      </c>
      <c r="AD21" s="31" t="str">
        <f>IF($AB21="","",IFERROR((SUMIFS($M$8:$M$35,$A$8:$A$35,"&gt;="&amp;$AI$18+7*(2-1),$A$8:$A$35,"&lt;="&amp;$AI$18+7*(2-1)+6)+SUMIFS('2027年03月'!$M$8:$M$38,'2027年03月'!$A$8:$A$38,"&gt;="&amp;$AI$18+7*(2-1),'2027年03月'!$A$8:$A$38,"&lt;="&amp;$AI$18+7*(2-1)+6))/(SUMIFS($O$8:$O$35,$A$8:$A$35,"&gt;="&amp;$AI$18+7*(2-1),$A$8:$A$35,"&lt;="&amp;$AI$18+7*(2-1)+6)+SUMIFS('2027年03月'!$O$8:$O$38,'2027年03月'!$A$8:$A$38,"&gt;="&amp;$AI$18+7*(2-1),'2027年03月'!$A$8:$A$38,"&lt;="&amp;$AI$18+7*(2-1)+6)),""))</f>
        <v/>
      </c>
      <c r="AE21" s="29" t="str">
        <f>IF($AB21="","",IFERROR((SUMIFS($G$8:$G$35,$A$8:$A$35,"&gt;="&amp;$AI$18+7*(2-1),$A$8:$A$35,"&lt;="&amp;$AI$18+7*(2-1)+6)+SUMIFS('2027年03月'!$G$8:$G$38,'2027年03月'!$A$8:$A$38,"&gt;="&amp;$AI$18+7*(2-1),'2027年03月'!$A$8:$A$38,"&lt;="&amp;$AI$18+7*(2-1)+6))/(SUMIFS($M$8:$M$35,$A$8:$A$35,"&gt;="&amp;$AI$18+7*(2-1),$A$8:$A$35,"&lt;="&amp;$AI$18+7*(2-1)+6)+SUMIFS('2027年03月'!$M$8:$M$38,'2027年03月'!$A$8:$A$38,"&gt;="&amp;$AI$18+7*(2-1),'2027年03月'!$A$8:$A$38,"&lt;="&amp;$AI$18+7*(2-1)+6)),""))</f>
        <v/>
      </c>
      <c r="AF21" s="43" t="str">
        <f>IF($AB21="","",IFERROR((SUMIFS($N$8:$N$35,$A$8:$A$35,"&gt;="&amp;$AI$18+7*(2-1),$A$8:$A$35,"&lt;="&amp;$AI$18+7*(2-1)+6)+SUMIFS('2027年03月'!$N$8:$N$38,'2027年03月'!$A$8:$A$38,"&gt;="&amp;$AI$18+7*(2-1),'2027年03月'!$A$8:$A$38,"&lt;="&amp;$AI$18+7*(2-1)+6))/(SUMIFS($M$8:$M$35,$A$8:$A$35,"&gt;="&amp;$AI$18+7*(2-1),$A$8:$A$35,"&lt;="&amp;$AI$18+7*(2-1)+6)+SUMIFS('2027年03月'!$M$8:$M$38,'2027年03月'!$A$8:$A$38,"&gt;="&amp;$AI$18+7*(2-1),'2027年03月'!$A$8:$A$38,"&lt;="&amp;$AI$18+7*(2-1)+6)),""))</f>
        <v/>
      </c>
      <c r="AG21" s="31" t="str">
        <f>IF($AB21="","",IFERROR((SUMIFS($P$8:$P$35,$A$8:$A$35,"&gt;="&amp;$AI$18+7*(2-1),$A$8:$A$35,"&lt;="&amp;$AI$18+7*(2-1)+6)+SUMIFS('2027年03月'!$P$8:$P$38,'2027年03月'!$A$8:$A$38,"&gt;="&amp;$AI$18+7*(2-1),'2027年03月'!$A$8:$A$38,"&lt;="&amp;$AI$18+7*(2-1)+6))/(SUMIFS($O$8:$O$35,$A$8:$A$35,"&gt;="&amp;$AI$18+7*(2-1),$A$8:$A$35,"&lt;="&amp;$AI$18+7*(2-1)+6)+SUMIFS('2027年03月'!$O$8:$O$38,'2027年03月'!$A$8:$A$38,"&gt;="&amp;$AI$18+7*(2-1),'2027年03月'!$A$8:$A$38,"&lt;="&amp;$AI$18+7*(2-1)+6)),""))</f>
        <v/>
      </c>
    </row>
    <row r="22" ht="15.75" customHeight="1">
      <c r="A22" s="16">
        <v>46433.0</v>
      </c>
      <c r="B22" s="13" t="str">
        <f t="shared" si="2"/>
        <v>月</v>
      </c>
      <c r="C22" s="18"/>
      <c r="D22" s="15">
        <f t="shared" si="3"/>
        <v>0</v>
      </c>
      <c r="E22" s="18"/>
      <c r="F22" s="18"/>
      <c r="G22" s="15" t="str">
        <f t="shared" si="4"/>
        <v/>
      </c>
      <c r="H22" s="15" t="str">
        <f t="shared" si="5"/>
        <v/>
      </c>
      <c r="I22" s="17" t="str">
        <f t="shared" ref="I22:J22" si="29">IF(G22="","",IFERROR(G22/C22,""))</f>
        <v/>
      </c>
      <c r="J22" s="17" t="str">
        <f t="shared" si="29"/>
        <v/>
      </c>
      <c r="K22" s="15" t="str">
        <f t="shared" si="7"/>
        <v/>
      </c>
      <c r="L22" s="20" t="str">
        <f t="shared" si="8"/>
        <v>—</v>
      </c>
      <c r="M22" s="22"/>
      <c r="N22" s="22"/>
      <c r="O22" s="22"/>
      <c r="P22" s="22"/>
      <c r="Q22" s="22"/>
      <c r="R22" s="17" t="str">
        <f t="shared" si="9"/>
        <v/>
      </c>
      <c r="S22" s="15" t="str">
        <f t="shared" si="10"/>
        <v/>
      </c>
      <c r="T22" s="24" t="str">
        <f t="shared" si="11"/>
        <v/>
      </c>
      <c r="U22" s="17" t="str">
        <f t="shared" si="12"/>
        <v/>
      </c>
      <c r="V22" s="22"/>
      <c r="W22" s="22"/>
      <c r="X22" s="18"/>
      <c r="Y22" s="26"/>
      <c r="AA22" s="30">
        <v>3.0</v>
      </c>
      <c r="AB22" s="42" t="str">
        <f>IF($AI$18+7*(3-1)&gt;$A$35,"",TEXT($AI$18+7*(3-1),"m/d")&amp;"-"&amp;TEXT($AI$18+7*(3-1)+6,"m/d"))</f>
        <v>2/16-2/22</v>
      </c>
      <c r="AC22" s="29">
        <f>IF($AB22="","",(SUMIFS($G$8:$G$35,$A$8:$A$35,"&gt;="&amp;$AI$18+7*(3-1),$A$8:$A$35,"&lt;="&amp;$AI$18+7*(3-1)+6)+SUMIFS('2027年03月'!$G$8:$G$38,'2027年03月'!$A$8:$A$38,"&gt;="&amp;$AI$18+7*(3-1),'2027年03月'!$A$8:$A$38,"&lt;="&amp;$AI$18+7*(3-1)+6)))</f>
        <v>0</v>
      </c>
      <c r="AD22" s="31" t="str">
        <f>IF($AB22="","",IFERROR((SUMIFS($M$8:$M$35,$A$8:$A$35,"&gt;="&amp;$AI$18+7*(3-1),$A$8:$A$35,"&lt;="&amp;$AI$18+7*(3-1)+6)+SUMIFS('2027年03月'!$M$8:$M$38,'2027年03月'!$A$8:$A$38,"&gt;="&amp;$AI$18+7*(3-1),'2027年03月'!$A$8:$A$38,"&lt;="&amp;$AI$18+7*(3-1)+6))/(SUMIFS($O$8:$O$35,$A$8:$A$35,"&gt;="&amp;$AI$18+7*(3-1),$A$8:$A$35,"&lt;="&amp;$AI$18+7*(3-1)+6)+SUMIFS('2027年03月'!$O$8:$O$38,'2027年03月'!$A$8:$A$38,"&gt;="&amp;$AI$18+7*(3-1),'2027年03月'!$A$8:$A$38,"&lt;="&amp;$AI$18+7*(3-1)+6)),""))</f>
        <v/>
      </c>
      <c r="AE22" s="29" t="str">
        <f>IF($AB22="","",IFERROR((SUMIFS($G$8:$G$35,$A$8:$A$35,"&gt;="&amp;$AI$18+7*(3-1),$A$8:$A$35,"&lt;="&amp;$AI$18+7*(3-1)+6)+SUMIFS('2027年03月'!$G$8:$G$38,'2027年03月'!$A$8:$A$38,"&gt;="&amp;$AI$18+7*(3-1),'2027年03月'!$A$8:$A$38,"&lt;="&amp;$AI$18+7*(3-1)+6))/(SUMIFS($M$8:$M$35,$A$8:$A$35,"&gt;="&amp;$AI$18+7*(3-1),$A$8:$A$35,"&lt;="&amp;$AI$18+7*(3-1)+6)+SUMIFS('2027年03月'!$M$8:$M$38,'2027年03月'!$A$8:$A$38,"&gt;="&amp;$AI$18+7*(3-1),'2027年03月'!$A$8:$A$38,"&lt;="&amp;$AI$18+7*(3-1)+6)),""))</f>
        <v/>
      </c>
      <c r="AF22" s="43" t="str">
        <f>IF($AB22="","",IFERROR((SUMIFS($N$8:$N$35,$A$8:$A$35,"&gt;="&amp;$AI$18+7*(3-1),$A$8:$A$35,"&lt;="&amp;$AI$18+7*(3-1)+6)+SUMIFS('2027年03月'!$N$8:$N$38,'2027年03月'!$A$8:$A$38,"&gt;="&amp;$AI$18+7*(3-1),'2027年03月'!$A$8:$A$38,"&lt;="&amp;$AI$18+7*(3-1)+6))/(SUMIFS($M$8:$M$35,$A$8:$A$35,"&gt;="&amp;$AI$18+7*(3-1),$A$8:$A$35,"&lt;="&amp;$AI$18+7*(3-1)+6)+SUMIFS('2027年03月'!$M$8:$M$38,'2027年03月'!$A$8:$A$38,"&gt;="&amp;$AI$18+7*(3-1),'2027年03月'!$A$8:$A$38,"&lt;="&amp;$AI$18+7*(3-1)+6)),""))</f>
        <v/>
      </c>
      <c r="AG22" s="31" t="str">
        <f>IF($AB22="","",IFERROR((SUMIFS($P$8:$P$35,$A$8:$A$35,"&gt;="&amp;$AI$18+7*(3-1),$A$8:$A$35,"&lt;="&amp;$AI$18+7*(3-1)+6)+SUMIFS('2027年03月'!$P$8:$P$38,'2027年03月'!$A$8:$A$38,"&gt;="&amp;$AI$18+7*(3-1),'2027年03月'!$A$8:$A$38,"&lt;="&amp;$AI$18+7*(3-1)+6))/(SUMIFS($O$8:$O$35,$A$8:$A$35,"&gt;="&amp;$AI$18+7*(3-1),$A$8:$A$35,"&lt;="&amp;$AI$18+7*(3-1)+6)+SUMIFS('2027年03月'!$O$8:$O$38,'2027年03月'!$A$8:$A$38,"&gt;="&amp;$AI$18+7*(3-1),'2027年03月'!$A$8:$A$38,"&lt;="&amp;$AI$18+7*(3-1)+6)),""))</f>
        <v/>
      </c>
    </row>
    <row r="23" ht="15.75" customHeight="1">
      <c r="A23" s="32">
        <v>46434.0</v>
      </c>
      <c r="B23" s="21" t="str">
        <f t="shared" si="2"/>
        <v>火</v>
      </c>
      <c r="C23" s="18"/>
      <c r="D23" s="23">
        <f t="shared" si="3"/>
        <v>0</v>
      </c>
      <c r="E23" s="18"/>
      <c r="F23" s="18"/>
      <c r="G23" s="23" t="str">
        <f t="shared" si="4"/>
        <v/>
      </c>
      <c r="H23" s="23" t="str">
        <f t="shared" si="5"/>
        <v/>
      </c>
      <c r="I23" s="25" t="str">
        <f t="shared" ref="I23:J23" si="30">IF(G23="","",IFERROR(G23/C23,""))</f>
        <v/>
      </c>
      <c r="J23" s="25" t="str">
        <f t="shared" si="30"/>
        <v/>
      </c>
      <c r="K23" s="23" t="str">
        <f t="shared" si="7"/>
        <v/>
      </c>
      <c r="L23" s="33" t="str">
        <f t="shared" si="8"/>
        <v>—</v>
      </c>
      <c r="M23" s="22"/>
      <c r="N23" s="22"/>
      <c r="O23" s="22"/>
      <c r="P23" s="22"/>
      <c r="Q23" s="22"/>
      <c r="R23" s="25" t="str">
        <f t="shared" si="9"/>
        <v/>
      </c>
      <c r="S23" s="23" t="str">
        <f t="shared" si="10"/>
        <v/>
      </c>
      <c r="T23" s="34" t="str">
        <f t="shared" si="11"/>
        <v/>
      </c>
      <c r="U23" s="25" t="str">
        <f t="shared" si="12"/>
        <v/>
      </c>
      <c r="V23" s="22"/>
      <c r="W23" s="22"/>
      <c r="X23" s="18"/>
      <c r="Y23" s="26"/>
      <c r="AA23" s="30">
        <v>4.0</v>
      </c>
      <c r="AB23" s="42" t="str">
        <f>IF($AI$18+7*(4-1)&gt;$A$35,"",TEXT($AI$18+7*(4-1),"m/d")&amp;"-"&amp;TEXT($AI$18+7*(4-1)+6,"m/d"))</f>
        <v>2/23-3/1</v>
      </c>
      <c r="AC23" s="29">
        <f>IF($AB23="","",(SUMIFS($G$8:$G$35,$A$8:$A$35,"&gt;="&amp;$AI$18+7*(4-1),$A$8:$A$35,"&lt;="&amp;$AI$18+7*(4-1)+6)+SUMIFS('2027年03月'!$G$8:$G$38,'2027年03月'!$A$8:$A$38,"&gt;="&amp;$AI$18+7*(4-1),'2027年03月'!$A$8:$A$38,"&lt;="&amp;$AI$18+7*(4-1)+6)))</f>
        <v>0</v>
      </c>
      <c r="AD23" s="31" t="str">
        <f>IF($AB23="","",IFERROR((SUMIFS($M$8:$M$35,$A$8:$A$35,"&gt;="&amp;$AI$18+7*(4-1),$A$8:$A$35,"&lt;="&amp;$AI$18+7*(4-1)+6)+SUMIFS('2027年03月'!$M$8:$M$38,'2027年03月'!$A$8:$A$38,"&gt;="&amp;$AI$18+7*(4-1),'2027年03月'!$A$8:$A$38,"&lt;="&amp;$AI$18+7*(4-1)+6))/(SUMIFS($O$8:$O$35,$A$8:$A$35,"&gt;="&amp;$AI$18+7*(4-1),$A$8:$A$35,"&lt;="&amp;$AI$18+7*(4-1)+6)+SUMIFS('2027年03月'!$O$8:$O$38,'2027年03月'!$A$8:$A$38,"&gt;="&amp;$AI$18+7*(4-1),'2027年03月'!$A$8:$A$38,"&lt;="&amp;$AI$18+7*(4-1)+6)),""))</f>
        <v/>
      </c>
      <c r="AE23" s="29" t="str">
        <f>IF($AB23="","",IFERROR((SUMIFS($G$8:$G$35,$A$8:$A$35,"&gt;="&amp;$AI$18+7*(4-1),$A$8:$A$35,"&lt;="&amp;$AI$18+7*(4-1)+6)+SUMIFS('2027年03月'!$G$8:$G$38,'2027年03月'!$A$8:$A$38,"&gt;="&amp;$AI$18+7*(4-1),'2027年03月'!$A$8:$A$38,"&lt;="&amp;$AI$18+7*(4-1)+6))/(SUMIFS($M$8:$M$35,$A$8:$A$35,"&gt;="&amp;$AI$18+7*(4-1),$A$8:$A$35,"&lt;="&amp;$AI$18+7*(4-1)+6)+SUMIFS('2027年03月'!$M$8:$M$38,'2027年03月'!$A$8:$A$38,"&gt;="&amp;$AI$18+7*(4-1),'2027年03月'!$A$8:$A$38,"&lt;="&amp;$AI$18+7*(4-1)+6)),""))</f>
        <v/>
      </c>
      <c r="AF23" s="43" t="str">
        <f>IF($AB23="","",IFERROR((SUMIFS($N$8:$N$35,$A$8:$A$35,"&gt;="&amp;$AI$18+7*(4-1),$A$8:$A$35,"&lt;="&amp;$AI$18+7*(4-1)+6)+SUMIFS('2027年03月'!$N$8:$N$38,'2027年03月'!$A$8:$A$38,"&gt;="&amp;$AI$18+7*(4-1),'2027年03月'!$A$8:$A$38,"&lt;="&amp;$AI$18+7*(4-1)+6))/(SUMIFS($M$8:$M$35,$A$8:$A$35,"&gt;="&amp;$AI$18+7*(4-1),$A$8:$A$35,"&lt;="&amp;$AI$18+7*(4-1)+6)+SUMIFS('2027年03月'!$M$8:$M$38,'2027年03月'!$A$8:$A$38,"&gt;="&amp;$AI$18+7*(4-1),'2027年03月'!$A$8:$A$38,"&lt;="&amp;$AI$18+7*(4-1)+6)),""))</f>
        <v/>
      </c>
      <c r="AG23" s="31" t="str">
        <f>IF($AB23="","",IFERROR((SUMIFS($P$8:$P$35,$A$8:$A$35,"&gt;="&amp;$AI$18+7*(4-1),$A$8:$A$35,"&lt;="&amp;$AI$18+7*(4-1)+6)+SUMIFS('2027年03月'!$P$8:$P$38,'2027年03月'!$A$8:$A$38,"&gt;="&amp;$AI$18+7*(4-1),'2027年03月'!$A$8:$A$38,"&lt;="&amp;$AI$18+7*(4-1)+6))/(SUMIFS($O$8:$O$35,$A$8:$A$35,"&gt;="&amp;$AI$18+7*(4-1),$A$8:$A$35,"&lt;="&amp;$AI$18+7*(4-1)+6)+SUMIFS('2027年03月'!$O$8:$O$38,'2027年03月'!$A$8:$A$38,"&gt;="&amp;$AI$18+7*(4-1),'2027年03月'!$A$8:$A$38,"&lt;="&amp;$AI$18+7*(4-1)+6)),""))</f>
        <v/>
      </c>
    </row>
    <row r="24" ht="15.75" customHeight="1">
      <c r="A24" s="16">
        <v>46435.0</v>
      </c>
      <c r="B24" s="13" t="str">
        <f t="shared" si="2"/>
        <v>水</v>
      </c>
      <c r="C24" s="18"/>
      <c r="D24" s="15">
        <f t="shared" si="3"/>
        <v>0</v>
      </c>
      <c r="E24" s="18"/>
      <c r="F24" s="18"/>
      <c r="G24" s="15" t="str">
        <f t="shared" si="4"/>
        <v/>
      </c>
      <c r="H24" s="15" t="str">
        <f t="shared" si="5"/>
        <v/>
      </c>
      <c r="I24" s="17" t="str">
        <f t="shared" ref="I24:J24" si="31">IF(G24="","",IFERROR(G24/C24,""))</f>
        <v/>
      </c>
      <c r="J24" s="17" t="str">
        <f t="shared" si="31"/>
        <v/>
      </c>
      <c r="K24" s="15" t="str">
        <f t="shared" si="7"/>
        <v/>
      </c>
      <c r="L24" s="20" t="str">
        <f t="shared" si="8"/>
        <v>—</v>
      </c>
      <c r="M24" s="22"/>
      <c r="N24" s="22"/>
      <c r="O24" s="22"/>
      <c r="P24" s="22"/>
      <c r="Q24" s="22"/>
      <c r="R24" s="17" t="str">
        <f t="shared" si="9"/>
        <v/>
      </c>
      <c r="S24" s="15" t="str">
        <f t="shared" si="10"/>
        <v/>
      </c>
      <c r="T24" s="24" t="str">
        <f t="shared" si="11"/>
        <v/>
      </c>
      <c r="U24" s="17" t="str">
        <f t="shared" si="12"/>
        <v/>
      </c>
      <c r="V24" s="22"/>
      <c r="W24" s="22"/>
      <c r="X24" s="18"/>
      <c r="Y24" s="26"/>
      <c r="AA24" s="30">
        <v>5.0</v>
      </c>
      <c r="AB24" s="42" t="str">
        <f>IF($AI$18+7*(5-1)&gt;$A$35,"",TEXT($AI$18+7*(5-1),"m/d")&amp;"-"&amp;TEXT($AI$18+7*(5-1)+6,"m/d"))</f>
        <v/>
      </c>
      <c r="AC24" s="29" t="str">
        <f>IF($AB24="","",(SUMIFS($G$8:$G$35,$A$8:$A$35,"&gt;="&amp;$AI$18+7*(5-1),$A$8:$A$35,"&lt;="&amp;$AI$18+7*(5-1)+6)+SUMIFS('2027年03月'!$G$8:$G$38,'2027年03月'!$A$8:$A$38,"&gt;="&amp;$AI$18+7*(5-1),'2027年03月'!$A$8:$A$38,"&lt;="&amp;$AI$18+7*(5-1)+6)))</f>
        <v/>
      </c>
      <c r="AD24" s="31" t="str">
        <f>IF($AB24="","",IFERROR((SUMIFS($M$8:$M$35,$A$8:$A$35,"&gt;="&amp;$AI$18+7*(5-1),$A$8:$A$35,"&lt;="&amp;$AI$18+7*(5-1)+6)+SUMIFS('2027年03月'!$M$8:$M$38,'2027年03月'!$A$8:$A$38,"&gt;="&amp;$AI$18+7*(5-1),'2027年03月'!$A$8:$A$38,"&lt;="&amp;$AI$18+7*(5-1)+6))/(SUMIFS($O$8:$O$35,$A$8:$A$35,"&gt;="&amp;$AI$18+7*(5-1),$A$8:$A$35,"&lt;="&amp;$AI$18+7*(5-1)+6)+SUMIFS('2027年03月'!$O$8:$O$38,'2027年03月'!$A$8:$A$38,"&gt;="&amp;$AI$18+7*(5-1),'2027年03月'!$A$8:$A$38,"&lt;="&amp;$AI$18+7*(5-1)+6)),""))</f>
        <v/>
      </c>
      <c r="AE24" s="29" t="str">
        <f>IF($AB24="","",IFERROR((SUMIFS($G$8:$G$35,$A$8:$A$35,"&gt;="&amp;$AI$18+7*(5-1),$A$8:$A$35,"&lt;="&amp;$AI$18+7*(5-1)+6)+SUMIFS('2027年03月'!$G$8:$G$38,'2027年03月'!$A$8:$A$38,"&gt;="&amp;$AI$18+7*(5-1),'2027年03月'!$A$8:$A$38,"&lt;="&amp;$AI$18+7*(5-1)+6))/(SUMIFS($M$8:$M$35,$A$8:$A$35,"&gt;="&amp;$AI$18+7*(5-1),$A$8:$A$35,"&lt;="&amp;$AI$18+7*(5-1)+6)+SUMIFS('2027年03月'!$M$8:$M$38,'2027年03月'!$A$8:$A$38,"&gt;="&amp;$AI$18+7*(5-1),'2027年03月'!$A$8:$A$38,"&lt;="&amp;$AI$18+7*(5-1)+6)),""))</f>
        <v/>
      </c>
      <c r="AF24" s="43" t="str">
        <f>IF($AB24="","",IFERROR((SUMIFS($N$8:$N$35,$A$8:$A$35,"&gt;="&amp;$AI$18+7*(5-1),$A$8:$A$35,"&lt;="&amp;$AI$18+7*(5-1)+6)+SUMIFS('2027年03月'!$N$8:$N$38,'2027年03月'!$A$8:$A$38,"&gt;="&amp;$AI$18+7*(5-1),'2027年03月'!$A$8:$A$38,"&lt;="&amp;$AI$18+7*(5-1)+6))/(SUMIFS($M$8:$M$35,$A$8:$A$35,"&gt;="&amp;$AI$18+7*(5-1),$A$8:$A$35,"&lt;="&amp;$AI$18+7*(5-1)+6)+SUMIFS('2027年03月'!$M$8:$M$38,'2027年03月'!$A$8:$A$38,"&gt;="&amp;$AI$18+7*(5-1),'2027年03月'!$A$8:$A$38,"&lt;="&amp;$AI$18+7*(5-1)+6)),""))</f>
        <v/>
      </c>
      <c r="AG24" s="31" t="str">
        <f>IF($AB24="","",IFERROR((SUMIFS($P$8:$P$35,$A$8:$A$35,"&gt;="&amp;$AI$18+7*(5-1),$A$8:$A$35,"&lt;="&amp;$AI$18+7*(5-1)+6)+SUMIFS('2027年03月'!$P$8:$P$38,'2027年03月'!$A$8:$A$38,"&gt;="&amp;$AI$18+7*(5-1),'2027年03月'!$A$8:$A$38,"&lt;="&amp;$AI$18+7*(5-1)+6))/(SUMIFS($O$8:$O$35,$A$8:$A$35,"&gt;="&amp;$AI$18+7*(5-1),$A$8:$A$35,"&lt;="&amp;$AI$18+7*(5-1)+6)+SUMIFS('2027年03月'!$O$8:$O$38,'2027年03月'!$A$8:$A$38,"&gt;="&amp;$AI$18+7*(5-1),'2027年03月'!$A$8:$A$38,"&lt;="&amp;$AI$18+7*(5-1)+6)),""))</f>
        <v/>
      </c>
    </row>
    <row r="25" ht="15.75" customHeight="1">
      <c r="A25" s="32">
        <v>46436.0</v>
      </c>
      <c r="B25" s="21" t="str">
        <f t="shared" si="2"/>
        <v>木</v>
      </c>
      <c r="C25" s="18"/>
      <c r="D25" s="23">
        <f t="shared" si="3"/>
        <v>0</v>
      </c>
      <c r="E25" s="18"/>
      <c r="F25" s="18"/>
      <c r="G25" s="23" t="str">
        <f t="shared" si="4"/>
        <v/>
      </c>
      <c r="H25" s="23" t="str">
        <f t="shared" si="5"/>
        <v/>
      </c>
      <c r="I25" s="25" t="str">
        <f t="shared" ref="I25:J25" si="32">IF(G25="","",IFERROR(G25/C25,""))</f>
        <v/>
      </c>
      <c r="J25" s="25" t="str">
        <f t="shared" si="32"/>
        <v/>
      </c>
      <c r="K25" s="23" t="str">
        <f t="shared" si="7"/>
        <v/>
      </c>
      <c r="L25" s="33" t="str">
        <f t="shared" si="8"/>
        <v>—</v>
      </c>
      <c r="M25" s="22"/>
      <c r="N25" s="22"/>
      <c r="O25" s="22"/>
      <c r="P25" s="22"/>
      <c r="Q25" s="22"/>
      <c r="R25" s="25" t="str">
        <f t="shared" si="9"/>
        <v/>
      </c>
      <c r="S25" s="23" t="str">
        <f t="shared" si="10"/>
        <v/>
      </c>
      <c r="T25" s="34" t="str">
        <f t="shared" si="11"/>
        <v/>
      </c>
      <c r="U25" s="25" t="str">
        <f t="shared" si="12"/>
        <v/>
      </c>
      <c r="V25" s="22"/>
      <c r="W25" s="22"/>
      <c r="X25" s="18"/>
      <c r="Y25" s="26"/>
      <c r="AA25" s="30">
        <v>6.0</v>
      </c>
      <c r="AB25" s="42" t="str">
        <f>IF($AI$18+7*(6-1)&gt;$A$35,"",TEXT($AI$18+7*(6-1),"m/d")&amp;"-"&amp;TEXT($AI$18+7*(6-1)+6,"m/d"))</f>
        <v/>
      </c>
      <c r="AC25" s="29" t="str">
        <f>IF($AB25="","",(SUMIFS($G$8:$G$35,$A$8:$A$35,"&gt;="&amp;$AI$18+7*(6-1),$A$8:$A$35,"&lt;="&amp;$AI$18+7*(6-1)+6)+SUMIFS('2027年03月'!$G$8:$G$38,'2027年03月'!$A$8:$A$38,"&gt;="&amp;$AI$18+7*(6-1),'2027年03月'!$A$8:$A$38,"&lt;="&amp;$AI$18+7*(6-1)+6)))</f>
        <v/>
      </c>
      <c r="AD25" s="31" t="str">
        <f>IF($AB25="","",IFERROR((SUMIFS($M$8:$M$35,$A$8:$A$35,"&gt;="&amp;$AI$18+7*(6-1),$A$8:$A$35,"&lt;="&amp;$AI$18+7*(6-1)+6)+SUMIFS('2027年03月'!$M$8:$M$38,'2027年03月'!$A$8:$A$38,"&gt;="&amp;$AI$18+7*(6-1),'2027年03月'!$A$8:$A$38,"&lt;="&amp;$AI$18+7*(6-1)+6))/(SUMIFS($O$8:$O$35,$A$8:$A$35,"&gt;="&amp;$AI$18+7*(6-1),$A$8:$A$35,"&lt;="&amp;$AI$18+7*(6-1)+6)+SUMIFS('2027年03月'!$O$8:$O$38,'2027年03月'!$A$8:$A$38,"&gt;="&amp;$AI$18+7*(6-1),'2027年03月'!$A$8:$A$38,"&lt;="&amp;$AI$18+7*(6-1)+6)),""))</f>
        <v/>
      </c>
      <c r="AE25" s="29" t="str">
        <f>IF($AB25="","",IFERROR((SUMIFS($G$8:$G$35,$A$8:$A$35,"&gt;="&amp;$AI$18+7*(6-1),$A$8:$A$35,"&lt;="&amp;$AI$18+7*(6-1)+6)+SUMIFS('2027年03月'!$G$8:$G$38,'2027年03月'!$A$8:$A$38,"&gt;="&amp;$AI$18+7*(6-1),'2027年03月'!$A$8:$A$38,"&lt;="&amp;$AI$18+7*(6-1)+6))/(SUMIFS($M$8:$M$35,$A$8:$A$35,"&gt;="&amp;$AI$18+7*(6-1),$A$8:$A$35,"&lt;="&amp;$AI$18+7*(6-1)+6)+SUMIFS('2027年03月'!$M$8:$M$38,'2027年03月'!$A$8:$A$38,"&gt;="&amp;$AI$18+7*(6-1),'2027年03月'!$A$8:$A$38,"&lt;="&amp;$AI$18+7*(6-1)+6)),""))</f>
        <v/>
      </c>
      <c r="AF25" s="43" t="str">
        <f>IF($AB25="","",IFERROR((SUMIFS($N$8:$N$35,$A$8:$A$35,"&gt;="&amp;$AI$18+7*(6-1),$A$8:$A$35,"&lt;="&amp;$AI$18+7*(6-1)+6)+SUMIFS('2027年03月'!$N$8:$N$38,'2027年03月'!$A$8:$A$38,"&gt;="&amp;$AI$18+7*(6-1),'2027年03月'!$A$8:$A$38,"&lt;="&amp;$AI$18+7*(6-1)+6))/(SUMIFS($M$8:$M$35,$A$8:$A$35,"&gt;="&amp;$AI$18+7*(6-1),$A$8:$A$35,"&lt;="&amp;$AI$18+7*(6-1)+6)+SUMIFS('2027年03月'!$M$8:$M$38,'2027年03月'!$A$8:$A$38,"&gt;="&amp;$AI$18+7*(6-1),'2027年03月'!$A$8:$A$38,"&lt;="&amp;$AI$18+7*(6-1)+6)),""))</f>
        <v/>
      </c>
      <c r="AG25" s="31" t="str">
        <f>IF($AB25="","",IFERROR((SUMIFS($P$8:$P$35,$A$8:$A$35,"&gt;="&amp;$AI$18+7*(6-1),$A$8:$A$35,"&lt;="&amp;$AI$18+7*(6-1)+6)+SUMIFS('2027年03月'!$P$8:$P$38,'2027年03月'!$A$8:$A$38,"&gt;="&amp;$AI$18+7*(6-1),'2027年03月'!$A$8:$A$38,"&lt;="&amp;$AI$18+7*(6-1)+6))/(SUMIFS($O$8:$O$35,$A$8:$A$35,"&gt;="&amp;$AI$18+7*(6-1),$A$8:$A$35,"&lt;="&amp;$AI$18+7*(6-1)+6)+SUMIFS('2027年03月'!$O$8:$O$38,'2027年03月'!$A$8:$A$38,"&gt;="&amp;$AI$18+7*(6-1),'2027年03月'!$A$8:$A$38,"&lt;="&amp;$AI$18+7*(6-1)+6)),""))</f>
        <v/>
      </c>
    </row>
    <row r="26" ht="15.75" customHeight="1">
      <c r="A26" s="16">
        <v>46437.0</v>
      </c>
      <c r="B26" s="13" t="str">
        <f t="shared" si="2"/>
        <v>金</v>
      </c>
      <c r="C26" s="18"/>
      <c r="D26" s="15">
        <f t="shared" si="3"/>
        <v>0</v>
      </c>
      <c r="E26" s="18"/>
      <c r="F26" s="18"/>
      <c r="G26" s="15" t="str">
        <f t="shared" si="4"/>
        <v/>
      </c>
      <c r="H26" s="15" t="str">
        <f t="shared" si="5"/>
        <v/>
      </c>
      <c r="I26" s="17" t="str">
        <f t="shared" ref="I26:J26" si="33">IF(G26="","",IFERROR(G26/C26,""))</f>
        <v/>
      </c>
      <c r="J26" s="17" t="str">
        <f t="shared" si="33"/>
        <v/>
      </c>
      <c r="K26" s="15" t="str">
        <f t="shared" si="7"/>
        <v/>
      </c>
      <c r="L26" s="20" t="str">
        <f t="shared" si="8"/>
        <v>—</v>
      </c>
      <c r="M26" s="22"/>
      <c r="N26" s="22"/>
      <c r="O26" s="22"/>
      <c r="P26" s="22"/>
      <c r="Q26" s="22"/>
      <c r="R26" s="17" t="str">
        <f t="shared" si="9"/>
        <v/>
      </c>
      <c r="S26" s="15" t="str">
        <f t="shared" si="10"/>
        <v/>
      </c>
      <c r="T26" s="24" t="str">
        <f t="shared" si="11"/>
        <v/>
      </c>
      <c r="U26" s="17" t="str">
        <f t="shared" si="12"/>
        <v/>
      </c>
      <c r="V26" s="22"/>
      <c r="W26" s="22"/>
      <c r="X26" s="18"/>
      <c r="Y26" s="26"/>
      <c r="AA26" s="35" t="s">
        <v>153</v>
      </c>
    </row>
    <row r="27" ht="15.75" customHeight="1">
      <c r="A27" s="32">
        <v>46438.0</v>
      </c>
      <c r="B27" s="21" t="str">
        <f t="shared" si="2"/>
        <v>土</v>
      </c>
      <c r="C27" s="18"/>
      <c r="D27" s="23">
        <f t="shared" si="3"/>
        <v>0</v>
      </c>
      <c r="E27" s="18"/>
      <c r="F27" s="18"/>
      <c r="G27" s="23" t="str">
        <f t="shared" si="4"/>
        <v/>
      </c>
      <c r="H27" s="23" t="str">
        <f t="shared" si="5"/>
        <v/>
      </c>
      <c r="I27" s="25" t="str">
        <f t="shared" ref="I27:J27" si="34">IF(G27="","",IFERROR(G27/C27,""))</f>
        <v/>
      </c>
      <c r="J27" s="25" t="str">
        <f t="shared" si="34"/>
        <v/>
      </c>
      <c r="K27" s="23" t="str">
        <f t="shared" si="7"/>
        <v/>
      </c>
      <c r="L27" s="33" t="str">
        <f t="shared" si="8"/>
        <v>—</v>
      </c>
      <c r="M27" s="22"/>
      <c r="N27" s="22"/>
      <c r="O27" s="22"/>
      <c r="P27" s="22"/>
      <c r="Q27" s="22"/>
      <c r="R27" s="25" t="str">
        <f t="shared" si="9"/>
        <v/>
      </c>
      <c r="S27" s="23" t="str">
        <f t="shared" si="10"/>
        <v/>
      </c>
      <c r="T27" s="34" t="str">
        <f t="shared" si="11"/>
        <v/>
      </c>
      <c r="U27" s="25" t="str">
        <f t="shared" si="12"/>
        <v/>
      </c>
      <c r="V27" s="22"/>
      <c r="W27" s="22"/>
      <c r="X27" s="18"/>
      <c r="Y27" s="26"/>
      <c r="AA27" s="35" t="s">
        <v>156</v>
      </c>
    </row>
    <row r="28" ht="15.75" customHeight="1">
      <c r="A28" s="16">
        <v>46439.0</v>
      </c>
      <c r="B28" s="13" t="str">
        <f t="shared" si="2"/>
        <v>日</v>
      </c>
      <c r="C28" s="18"/>
      <c r="D28" s="15">
        <f t="shared" si="3"/>
        <v>0</v>
      </c>
      <c r="E28" s="18"/>
      <c r="F28" s="18"/>
      <c r="G28" s="15" t="str">
        <f t="shared" si="4"/>
        <v/>
      </c>
      <c r="H28" s="15" t="str">
        <f t="shared" si="5"/>
        <v/>
      </c>
      <c r="I28" s="17" t="str">
        <f t="shared" ref="I28:J28" si="35">IF(G28="","",IFERROR(G28/C28,""))</f>
        <v/>
      </c>
      <c r="J28" s="17" t="str">
        <f t="shared" si="35"/>
        <v/>
      </c>
      <c r="K28" s="15" t="str">
        <f t="shared" si="7"/>
        <v/>
      </c>
      <c r="L28" s="20" t="str">
        <f t="shared" si="8"/>
        <v>—</v>
      </c>
      <c r="M28" s="22"/>
      <c r="N28" s="22"/>
      <c r="O28" s="22"/>
      <c r="P28" s="22"/>
      <c r="Q28" s="22"/>
      <c r="R28" s="17" t="str">
        <f t="shared" si="9"/>
        <v/>
      </c>
      <c r="S28" s="15" t="str">
        <f t="shared" si="10"/>
        <v/>
      </c>
      <c r="T28" s="24" t="str">
        <f t="shared" si="11"/>
        <v/>
      </c>
      <c r="U28" s="17" t="str">
        <f t="shared" si="12"/>
        <v/>
      </c>
      <c r="V28" s="22"/>
      <c r="W28" s="22"/>
      <c r="X28" s="18"/>
      <c r="Y28" s="26"/>
      <c r="AA28" s="35" t="s">
        <v>160</v>
      </c>
    </row>
    <row r="29" ht="15.75" customHeight="1">
      <c r="A29" s="32">
        <v>46440.0</v>
      </c>
      <c r="B29" s="21" t="str">
        <f t="shared" si="2"/>
        <v>月</v>
      </c>
      <c r="C29" s="18"/>
      <c r="D29" s="23">
        <f t="shared" si="3"/>
        <v>0</v>
      </c>
      <c r="E29" s="18"/>
      <c r="F29" s="18"/>
      <c r="G29" s="23" t="str">
        <f t="shared" si="4"/>
        <v/>
      </c>
      <c r="H29" s="23" t="str">
        <f t="shared" si="5"/>
        <v/>
      </c>
      <c r="I29" s="25" t="str">
        <f t="shared" ref="I29:J29" si="36">IF(G29="","",IFERROR(G29/C29,""))</f>
        <v/>
      </c>
      <c r="J29" s="25" t="str">
        <f t="shared" si="36"/>
        <v/>
      </c>
      <c r="K29" s="23" t="str">
        <f t="shared" si="7"/>
        <v/>
      </c>
      <c r="L29" s="33" t="str">
        <f t="shared" si="8"/>
        <v>—</v>
      </c>
      <c r="M29" s="22"/>
      <c r="N29" s="22"/>
      <c r="O29" s="22"/>
      <c r="P29" s="22"/>
      <c r="Q29" s="22"/>
      <c r="R29" s="25" t="str">
        <f t="shared" si="9"/>
        <v/>
      </c>
      <c r="S29" s="23" t="str">
        <f t="shared" si="10"/>
        <v/>
      </c>
      <c r="T29" s="34" t="str">
        <f t="shared" si="11"/>
        <v/>
      </c>
      <c r="U29" s="25" t="str">
        <f t="shared" si="12"/>
        <v/>
      </c>
      <c r="V29" s="22"/>
      <c r="W29" s="22"/>
      <c r="X29" s="18"/>
      <c r="Y29" s="26"/>
    </row>
    <row r="30" ht="15.75" customHeight="1">
      <c r="A30" s="16">
        <v>46441.0</v>
      </c>
      <c r="B30" s="13" t="str">
        <f t="shared" si="2"/>
        <v>火</v>
      </c>
      <c r="C30" s="18"/>
      <c r="D30" s="15">
        <f t="shared" si="3"/>
        <v>0</v>
      </c>
      <c r="E30" s="18"/>
      <c r="F30" s="18"/>
      <c r="G30" s="15" t="str">
        <f t="shared" si="4"/>
        <v/>
      </c>
      <c r="H30" s="15" t="str">
        <f t="shared" si="5"/>
        <v/>
      </c>
      <c r="I30" s="17" t="str">
        <f t="shared" ref="I30:J30" si="37">IF(G30="","",IFERROR(G30/C30,""))</f>
        <v/>
      </c>
      <c r="J30" s="17" t="str">
        <f t="shared" si="37"/>
        <v/>
      </c>
      <c r="K30" s="15" t="str">
        <f t="shared" si="7"/>
        <v/>
      </c>
      <c r="L30" s="20" t="str">
        <f t="shared" si="8"/>
        <v>—</v>
      </c>
      <c r="M30" s="22"/>
      <c r="N30" s="22"/>
      <c r="O30" s="22"/>
      <c r="P30" s="22"/>
      <c r="Q30" s="22"/>
      <c r="R30" s="17" t="str">
        <f t="shared" si="9"/>
        <v/>
      </c>
      <c r="S30" s="15" t="str">
        <f t="shared" si="10"/>
        <v/>
      </c>
      <c r="T30" s="24" t="str">
        <f t="shared" si="11"/>
        <v/>
      </c>
      <c r="U30" s="17" t="str">
        <f t="shared" si="12"/>
        <v/>
      </c>
      <c r="V30" s="22"/>
      <c r="W30" s="22"/>
      <c r="X30" s="18"/>
      <c r="Y30" s="26"/>
    </row>
    <row r="31" ht="15.75" customHeight="1">
      <c r="A31" s="32">
        <v>46442.0</v>
      </c>
      <c r="B31" s="21" t="str">
        <f t="shared" si="2"/>
        <v>水</v>
      </c>
      <c r="C31" s="18"/>
      <c r="D31" s="23">
        <f t="shared" si="3"/>
        <v>0</v>
      </c>
      <c r="E31" s="18"/>
      <c r="F31" s="18"/>
      <c r="G31" s="23" t="str">
        <f t="shared" si="4"/>
        <v/>
      </c>
      <c r="H31" s="23" t="str">
        <f t="shared" si="5"/>
        <v/>
      </c>
      <c r="I31" s="25" t="str">
        <f t="shared" ref="I31:J31" si="38">IF(G31="","",IFERROR(G31/C31,""))</f>
        <v/>
      </c>
      <c r="J31" s="25" t="str">
        <f t="shared" si="38"/>
        <v/>
      </c>
      <c r="K31" s="23" t="str">
        <f t="shared" si="7"/>
        <v/>
      </c>
      <c r="L31" s="33" t="str">
        <f t="shared" si="8"/>
        <v>—</v>
      </c>
      <c r="M31" s="22"/>
      <c r="N31" s="22"/>
      <c r="O31" s="22"/>
      <c r="P31" s="22"/>
      <c r="Q31" s="22"/>
      <c r="R31" s="25" t="str">
        <f t="shared" si="9"/>
        <v/>
      </c>
      <c r="S31" s="23" t="str">
        <f t="shared" si="10"/>
        <v/>
      </c>
      <c r="T31" s="34" t="str">
        <f t="shared" si="11"/>
        <v/>
      </c>
      <c r="U31" s="25" t="str">
        <f t="shared" si="12"/>
        <v/>
      </c>
      <c r="V31" s="22"/>
      <c r="W31" s="22"/>
      <c r="X31" s="18"/>
      <c r="Y31" s="26"/>
    </row>
    <row r="32" ht="15.75" customHeight="1">
      <c r="A32" s="16">
        <v>46443.0</v>
      </c>
      <c r="B32" s="13" t="str">
        <f t="shared" si="2"/>
        <v>木</v>
      </c>
      <c r="C32" s="18"/>
      <c r="D32" s="15">
        <f t="shared" si="3"/>
        <v>0</v>
      </c>
      <c r="E32" s="18"/>
      <c r="F32" s="18"/>
      <c r="G32" s="15" t="str">
        <f t="shared" si="4"/>
        <v/>
      </c>
      <c r="H32" s="15" t="str">
        <f t="shared" si="5"/>
        <v/>
      </c>
      <c r="I32" s="17" t="str">
        <f t="shared" ref="I32:J32" si="39">IF(G32="","",IFERROR(G32/C32,""))</f>
        <v/>
      </c>
      <c r="J32" s="17" t="str">
        <f t="shared" si="39"/>
        <v/>
      </c>
      <c r="K32" s="15" t="str">
        <f t="shared" si="7"/>
        <v/>
      </c>
      <c r="L32" s="20" t="str">
        <f t="shared" si="8"/>
        <v>—</v>
      </c>
      <c r="M32" s="22"/>
      <c r="N32" s="22"/>
      <c r="O32" s="22"/>
      <c r="P32" s="22"/>
      <c r="Q32" s="22"/>
      <c r="R32" s="17" t="str">
        <f t="shared" si="9"/>
        <v/>
      </c>
      <c r="S32" s="15" t="str">
        <f t="shared" si="10"/>
        <v/>
      </c>
      <c r="T32" s="24" t="str">
        <f t="shared" si="11"/>
        <v/>
      </c>
      <c r="U32" s="17" t="str">
        <f t="shared" si="12"/>
        <v/>
      </c>
      <c r="V32" s="22"/>
      <c r="W32" s="22"/>
      <c r="X32" s="18"/>
      <c r="Y32" s="26"/>
    </row>
    <row r="33" ht="15.75" customHeight="1">
      <c r="A33" s="32">
        <v>46444.0</v>
      </c>
      <c r="B33" s="21" t="str">
        <f t="shared" si="2"/>
        <v>金</v>
      </c>
      <c r="C33" s="18"/>
      <c r="D33" s="23">
        <f t="shared" si="3"/>
        <v>0</v>
      </c>
      <c r="E33" s="18"/>
      <c r="F33" s="18"/>
      <c r="G33" s="23" t="str">
        <f t="shared" si="4"/>
        <v/>
      </c>
      <c r="H33" s="23" t="str">
        <f t="shared" si="5"/>
        <v/>
      </c>
      <c r="I33" s="25" t="str">
        <f t="shared" ref="I33:J33" si="40">IF(G33="","",IFERROR(G33/C33,""))</f>
        <v/>
      </c>
      <c r="J33" s="25" t="str">
        <f t="shared" si="40"/>
        <v/>
      </c>
      <c r="K33" s="23" t="str">
        <f t="shared" si="7"/>
        <v/>
      </c>
      <c r="L33" s="33" t="str">
        <f t="shared" si="8"/>
        <v>—</v>
      </c>
      <c r="M33" s="22"/>
      <c r="N33" s="22"/>
      <c r="O33" s="22"/>
      <c r="P33" s="22"/>
      <c r="Q33" s="22"/>
      <c r="R33" s="25" t="str">
        <f t="shared" si="9"/>
        <v/>
      </c>
      <c r="S33" s="23" t="str">
        <f t="shared" si="10"/>
        <v/>
      </c>
      <c r="T33" s="34" t="str">
        <f t="shared" si="11"/>
        <v/>
      </c>
      <c r="U33" s="25" t="str">
        <f t="shared" si="12"/>
        <v/>
      </c>
      <c r="V33" s="22"/>
      <c r="W33" s="22"/>
      <c r="X33" s="18"/>
      <c r="Y33" s="26"/>
    </row>
    <row r="34" ht="15.75" customHeight="1">
      <c r="A34" s="16">
        <v>46445.0</v>
      </c>
      <c r="B34" s="13" t="str">
        <f t="shared" si="2"/>
        <v>土</v>
      </c>
      <c r="C34" s="18"/>
      <c r="D34" s="15">
        <f t="shared" si="3"/>
        <v>0</v>
      </c>
      <c r="E34" s="18"/>
      <c r="F34" s="18"/>
      <c r="G34" s="15" t="str">
        <f t="shared" si="4"/>
        <v/>
      </c>
      <c r="H34" s="15" t="str">
        <f t="shared" si="5"/>
        <v/>
      </c>
      <c r="I34" s="17" t="str">
        <f t="shared" ref="I34:J34" si="41">IF(G34="","",IFERROR(G34/C34,""))</f>
        <v/>
      </c>
      <c r="J34" s="17" t="str">
        <f t="shared" si="41"/>
        <v/>
      </c>
      <c r="K34" s="15" t="str">
        <f t="shared" si="7"/>
        <v/>
      </c>
      <c r="L34" s="20" t="str">
        <f t="shared" si="8"/>
        <v>—</v>
      </c>
      <c r="M34" s="22"/>
      <c r="N34" s="22"/>
      <c r="O34" s="22"/>
      <c r="P34" s="22"/>
      <c r="Q34" s="22"/>
      <c r="R34" s="17" t="str">
        <f t="shared" si="9"/>
        <v/>
      </c>
      <c r="S34" s="15" t="str">
        <f t="shared" si="10"/>
        <v/>
      </c>
      <c r="T34" s="24" t="str">
        <f t="shared" si="11"/>
        <v/>
      </c>
      <c r="U34" s="17" t="str">
        <f t="shared" si="12"/>
        <v/>
      </c>
      <c r="V34" s="22"/>
      <c r="W34" s="22"/>
      <c r="X34" s="18"/>
      <c r="Y34" s="26"/>
    </row>
    <row r="35" ht="15.75" customHeight="1">
      <c r="A35" s="32">
        <v>46446.0</v>
      </c>
      <c r="B35" s="21" t="str">
        <f t="shared" si="2"/>
        <v>日</v>
      </c>
      <c r="C35" s="18"/>
      <c r="D35" s="23">
        <f t="shared" si="3"/>
        <v>0</v>
      </c>
      <c r="E35" s="18"/>
      <c r="F35" s="18"/>
      <c r="G35" s="23" t="str">
        <f t="shared" si="4"/>
        <v/>
      </c>
      <c r="H35" s="23" t="str">
        <f t="shared" si="5"/>
        <v/>
      </c>
      <c r="I35" s="25" t="str">
        <f t="shared" ref="I35:J35" si="42">IF(G35="","",IFERROR(G35/C35,""))</f>
        <v/>
      </c>
      <c r="J35" s="25" t="str">
        <f t="shared" si="42"/>
        <v/>
      </c>
      <c r="K35" s="23" t="str">
        <f t="shared" si="7"/>
        <v/>
      </c>
      <c r="L35" s="33" t="str">
        <f t="shared" si="8"/>
        <v>—</v>
      </c>
      <c r="M35" s="22"/>
      <c r="N35" s="22"/>
      <c r="O35" s="22"/>
      <c r="P35" s="22"/>
      <c r="Q35" s="22"/>
      <c r="R35" s="25" t="str">
        <f t="shared" si="9"/>
        <v/>
      </c>
      <c r="S35" s="23" t="str">
        <f t="shared" si="10"/>
        <v/>
      </c>
      <c r="T35" s="34" t="str">
        <f t="shared" si="11"/>
        <v/>
      </c>
      <c r="U35" s="25" t="str">
        <f t="shared" si="12"/>
        <v/>
      </c>
      <c r="V35" s="22"/>
      <c r="W35" s="22"/>
      <c r="X35" s="18"/>
      <c r="Y35" s="26"/>
    </row>
    <row r="36" ht="15.75" customHeight="1">
      <c r="A36" s="45" t="s">
        <v>92</v>
      </c>
      <c r="B36" s="36"/>
      <c r="C36" s="37">
        <f>SUM(C8:C35)</f>
        <v>0</v>
      </c>
      <c r="D36" s="37">
        <f>C36</f>
        <v>0</v>
      </c>
      <c r="E36" s="37">
        <f t="shared" ref="E36:G36" si="43">SUM(E8:E35)</f>
        <v>0</v>
      </c>
      <c r="F36" s="37">
        <f t="shared" si="43"/>
        <v>0</v>
      </c>
      <c r="G36" s="37">
        <f t="shared" si="43"/>
        <v>0</v>
      </c>
      <c r="H36" s="37">
        <f>G36</f>
        <v>0</v>
      </c>
      <c r="I36" s="39" t="str">
        <f>IFERROR(G36/C36,"")</f>
        <v/>
      </c>
      <c r="J36" s="39" t="str">
        <f>IFERROR(G36/C36,"")</f>
        <v/>
      </c>
      <c r="K36" s="37">
        <f>G36-C36</f>
        <v>0</v>
      </c>
      <c r="L36" s="46"/>
      <c r="M36" s="41">
        <f t="shared" ref="M36:Q36" si="44">SUM(M8:M35)</f>
        <v>0</v>
      </c>
      <c r="N36" s="41">
        <f t="shared" si="44"/>
        <v>0</v>
      </c>
      <c r="O36" s="41">
        <f t="shared" si="44"/>
        <v>0</v>
      </c>
      <c r="P36" s="41">
        <f t="shared" si="44"/>
        <v>0</v>
      </c>
      <c r="Q36" s="41">
        <f t="shared" si="44"/>
        <v>0</v>
      </c>
      <c r="R36" s="39" t="str">
        <f t="shared" si="9"/>
        <v/>
      </c>
      <c r="S36" s="37" t="str">
        <f t="shared" si="10"/>
        <v/>
      </c>
      <c r="T36" s="47" t="str">
        <f t="shared" si="11"/>
        <v/>
      </c>
      <c r="U36" s="39" t="str">
        <f t="shared" si="12"/>
        <v/>
      </c>
      <c r="V36" s="41">
        <f>SUM(V8:V35)</f>
        <v>0</v>
      </c>
      <c r="W36" s="41" t="str">
        <f>IFERROR(LOOKUP(9.99E+307,W8:W35),"")</f>
        <v/>
      </c>
      <c r="X36" s="37">
        <f>SUM(X8:X35)</f>
        <v>0</v>
      </c>
      <c r="Y36" s="48" t="s">
        <v>93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5">
    <cfRule type="expression" dxfId="0" priority="1">
      <formula>AND($G8&lt;&gt;"",$K8&gt;=0)</formula>
    </cfRule>
  </conditionalFormatting>
  <conditionalFormatting sqref="K8:K35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183</v>
      </c>
      <c r="H3" s="6"/>
      <c r="I3" s="5" t="s">
        <v>7</v>
      </c>
      <c r="J3" s="6"/>
      <c r="K3" s="5" t="s">
        <v>8</v>
      </c>
      <c r="L3" s="6"/>
    </row>
    <row r="4">
      <c r="A4" s="7">
        <f>IF('設定'!$B$19="",SUM(C8:C38),'設定'!$B$19)</f>
        <v>7000000</v>
      </c>
      <c r="B4" s="6"/>
      <c r="C4" s="8">
        <f>SUM(G8:G38)</f>
        <v>0</v>
      </c>
      <c r="D4" s="6"/>
      <c r="E4" s="9">
        <f>IFERROR(C4/A4,0)</f>
        <v>0</v>
      </c>
      <c r="F4" s="6"/>
      <c r="G4" s="10">
        <f>COUNTIF(G8:G38,"&gt;0")</f>
        <v>0</v>
      </c>
      <c r="H4" s="6"/>
      <c r="I4" s="8">
        <f>A4-C4</f>
        <v>7000000</v>
      </c>
      <c r="J4" s="6"/>
      <c r="K4" s="8">
        <f>IF((31-G4)&gt;0,(A4-C4)/(31-G4),0)</f>
        <v>225806.4516</v>
      </c>
      <c r="L4" s="6"/>
    </row>
    <row r="5">
      <c r="A5" s="5" t="s">
        <v>16</v>
      </c>
      <c r="B5" s="6"/>
      <c r="C5" s="5" t="s">
        <v>17</v>
      </c>
      <c r="D5" s="6"/>
      <c r="E5" s="5" t="s">
        <v>18</v>
      </c>
      <c r="F5" s="6"/>
      <c r="G5" s="5" t="s">
        <v>19</v>
      </c>
      <c r="H5" s="6"/>
      <c r="I5" s="5" t="s">
        <v>20</v>
      </c>
      <c r="J5" s="6"/>
      <c r="K5" s="5" t="s">
        <v>21</v>
      </c>
      <c r="L5" s="6"/>
    </row>
    <row r="6">
      <c r="A6" s="8">
        <f>SUM(C8:C38)</f>
        <v>0</v>
      </c>
      <c r="B6" s="6"/>
      <c r="C6" s="8">
        <f>IFERROR(C4/G4*31,0)</f>
        <v>0</v>
      </c>
      <c r="D6" s="6"/>
      <c r="E6" s="9">
        <f>IFERROR(M39/O39,0)</f>
        <v>0</v>
      </c>
      <c r="F6" s="6"/>
      <c r="G6" s="8">
        <f>IFERROR(G39/M39,0)</f>
        <v>0</v>
      </c>
      <c r="H6" s="6"/>
      <c r="I6" s="12">
        <f>IFERROR(N39/M39,0)</f>
        <v>0</v>
      </c>
      <c r="J6" s="6"/>
      <c r="K6" s="9">
        <f>IFERROR(P39/O39,0)</f>
        <v>0</v>
      </c>
      <c r="L6" s="6"/>
    </row>
    <row r="7" ht="30.0" customHeight="1">
      <c r="A7" s="11" t="s">
        <v>32</v>
      </c>
      <c r="B7" s="11" t="s">
        <v>33</v>
      </c>
      <c r="C7" s="11" t="s">
        <v>34</v>
      </c>
      <c r="D7" s="11" t="s">
        <v>28</v>
      </c>
      <c r="E7" s="11" t="s">
        <v>35</v>
      </c>
      <c r="F7" s="11" t="s">
        <v>36</v>
      </c>
      <c r="G7" s="11" t="s">
        <v>37</v>
      </c>
      <c r="H7" s="11" t="s">
        <v>29</v>
      </c>
      <c r="I7" s="11" t="s">
        <v>38</v>
      </c>
      <c r="J7" s="11" t="s">
        <v>39</v>
      </c>
      <c r="K7" s="11" t="s">
        <v>40</v>
      </c>
      <c r="L7" s="11" t="s">
        <v>41</v>
      </c>
      <c r="M7" s="11" t="s">
        <v>26</v>
      </c>
      <c r="N7" s="11" t="s">
        <v>42</v>
      </c>
      <c r="O7" s="11" t="s">
        <v>27</v>
      </c>
      <c r="P7" s="11" t="s">
        <v>43</v>
      </c>
      <c r="Q7" s="11" t="s">
        <v>44</v>
      </c>
      <c r="R7" s="11" t="s">
        <v>18</v>
      </c>
      <c r="S7" s="11" t="s">
        <v>19</v>
      </c>
      <c r="T7" s="11" t="s">
        <v>20</v>
      </c>
      <c r="U7" s="11" t="s">
        <v>21</v>
      </c>
      <c r="V7" s="11" t="s">
        <v>45</v>
      </c>
      <c r="W7" s="11" t="s">
        <v>46</v>
      </c>
      <c r="X7" s="11" t="s">
        <v>47</v>
      </c>
      <c r="Y7" s="11" t="s">
        <v>48</v>
      </c>
      <c r="AA7" s="14" t="s">
        <v>49</v>
      </c>
      <c r="AB7" s="14" t="s">
        <v>50</v>
      </c>
      <c r="AC7" s="14" t="s">
        <v>51</v>
      </c>
      <c r="AD7" s="14" t="s">
        <v>18</v>
      </c>
      <c r="AE7" s="14" t="s">
        <v>19</v>
      </c>
    </row>
    <row r="8">
      <c r="A8" s="16">
        <v>46447.0</v>
      </c>
      <c r="B8" s="13" t="str">
        <f t="shared" ref="B8:B38" si="2">MID("日月火水木金土",WEEKDAY(A8),1)</f>
        <v>月</v>
      </c>
      <c r="C8" s="18"/>
      <c r="D8" s="15">
        <f t="shared" ref="D8:D38" si="3">SUM($C$8:C8)</f>
        <v>0</v>
      </c>
      <c r="E8" s="18"/>
      <c r="F8" s="18"/>
      <c r="G8" s="15" t="str">
        <f t="shared" ref="G8:G38" si="4">IF(COUNT(E8:F8)=0,"",SUM(E8:F8))</f>
        <v/>
      </c>
      <c r="H8" s="15" t="str">
        <f t="shared" ref="H8:H38" si="5">IF(G8="","",SUM($G$8:G8))</f>
        <v/>
      </c>
      <c r="I8" s="17" t="str">
        <f t="shared" ref="I8:J8" si="1">IF(G8="","",IFERROR(G8/C8,""))</f>
        <v/>
      </c>
      <c r="J8" s="17" t="str">
        <f t="shared" si="1"/>
        <v/>
      </c>
      <c r="K8" s="15" t="str">
        <f t="shared" ref="K8:K38" si="7">IF(H8="","",IF(D8=0,"",H8-D8))</f>
        <v/>
      </c>
      <c r="L8" s="20" t="str">
        <f t="shared" ref="L8:L38" si="8">IF(G8="","—",IF(D8=0,"予算未入力",IF(H8&gt;=D8,"◎ ペース内","▲ 遅れ")))</f>
        <v>—</v>
      </c>
      <c r="M8" s="22"/>
      <c r="N8" s="22"/>
      <c r="O8" s="22"/>
      <c r="P8" s="22"/>
      <c r="Q8" s="22"/>
      <c r="R8" s="17" t="str">
        <f t="shared" ref="R8:R39" si="9">IFERROR(M8/O8,"")</f>
        <v/>
      </c>
      <c r="S8" s="15" t="str">
        <f t="shared" ref="S8:S39" si="10">IFERROR(G8/M8,"")</f>
        <v/>
      </c>
      <c r="T8" s="24" t="str">
        <f t="shared" ref="T8:T39" si="11">IFERROR(N8/M8,"")</f>
        <v/>
      </c>
      <c r="U8" s="17" t="str">
        <f t="shared" ref="U8:U39" si="12">IFERROR(P8/O8,"")</f>
        <v/>
      </c>
      <c r="V8" s="22"/>
      <c r="W8" s="22"/>
      <c r="X8" s="18"/>
      <c r="Y8" s="26"/>
      <c r="AA8" s="27" t="s">
        <v>22</v>
      </c>
      <c r="AB8" s="29">
        <f t="shared" ref="AB8:AB14" si="13">IFERROR(AVERAGEIFS($G$8:$G$38,$B$8:$B$38,AA8,$G$8:$G$38,"&gt;0"),0)</f>
        <v>0</v>
      </c>
      <c r="AC8" s="30">
        <f t="shared" ref="AC8:AC14" si="14">COUNTIFS($B$8:$B$38,AA8,$G$8:$G$38,"&gt;0")</f>
        <v>0</v>
      </c>
      <c r="AD8" s="31">
        <f t="shared" ref="AD8:AD14" si="15">IFERROR(SUMIF($B$8:$B$38,AA8,$M$8:$M$38)/SUMIF($B$8:$B$38,AA8,$O$8:$O$38),0)</f>
        <v>0</v>
      </c>
      <c r="AE8" s="29">
        <f t="shared" ref="AE8:AE14" si="16">IFERROR(SUMIF($B$8:$B$38,AA8,$G$8:$G$38)/SUMIF($B$8:$B$38,AA8,$M$8:$M$38),0)</f>
        <v>0</v>
      </c>
    </row>
    <row r="9">
      <c r="A9" s="32">
        <v>46448.0</v>
      </c>
      <c r="B9" s="21" t="str">
        <f t="shared" si="2"/>
        <v>火</v>
      </c>
      <c r="C9" s="18"/>
      <c r="D9" s="23">
        <f t="shared" si="3"/>
        <v>0</v>
      </c>
      <c r="E9" s="18"/>
      <c r="F9" s="18"/>
      <c r="G9" s="23" t="str">
        <f t="shared" si="4"/>
        <v/>
      </c>
      <c r="H9" s="23" t="str">
        <f t="shared" si="5"/>
        <v/>
      </c>
      <c r="I9" s="25" t="str">
        <f t="shared" ref="I9:J9" si="6">IF(G9="","",IFERROR(G9/C9,""))</f>
        <v/>
      </c>
      <c r="J9" s="25" t="str">
        <f t="shared" si="6"/>
        <v/>
      </c>
      <c r="K9" s="23" t="str">
        <f t="shared" si="7"/>
        <v/>
      </c>
      <c r="L9" s="33" t="str">
        <f t="shared" si="8"/>
        <v>—</v>
      </c>
      <c r="M9" s="22"/>
      <c r="N9" s="22"/>
      <c r="O9" s="22"/>
      <c r="P9" s="22"/>
      <c r="Q9" s="22"/>
      <c r="R9" s="25" t="str">
        <f t="shared" si="9"/>
        <v/>
      </c>
      <c r="S9" s="23" t="str">
        <f t="shared" si="10"/>
        <v/>
      </c>
      <c r="T9" s="34" t="str">
        <f t="shared" si="11"/>
        <v/>
      </c>
      <c r="U9" s="25" t="str">
        <f t="shared" si="12"/>
        <v/>
      </c>
      <c r="V9" s="22"/>
      <c r="W9" s="22"/>
      <c r="X9" s="18"/>
      <c r="Y9" s="26"/>
      <c r="AA9" s="27" t="s">
        <v>59</v>
      </c>
      <c r="AB9" s="29">
        <f t="shared" si="13"/>
        <v>0</v>
      </c>
      <c r="AC9" s="30">
        <f t="shared" si="14"/>
        <v>0</v>
      </c>
      <c r="AD9" s="31">
        <f t="shared" si="15"/>
        <v>0</v>
      </c>
      <c r="AE9" s="29">
        <f t="shared" si="16"/>
        <v>0</v>
      </c>
    </row>
    <row r="10">
      <c r="A10" s="16">
        <v>46449.0</v>
      </c>
      <c r="B10" s="13" t="str">
        <f t="shared" si="2"/>
        <v>水</v>
      </c>
      <c r="C10" s="18"/>
      <c r="D10" s="15">
        <f t="shared" si="3"/>
        <v>0</v>
      </c>
      <c r="E10" s="18"/>
      <c r="F10" s="18"/>
      <c r="G10" s="15" t="str">
        <f t="shared" si="4"/>
        <v/>
      </c>
      <c r="H10" s="15" t="str">
        <f t="shared" si="5"/>
        <v/>
      </c>
      <c r="I10" s="17" t="str">
        <f t="shared" ref="I10:J10" si="17">IF(G10="","",IFERROR(G10/C10,""))</f>
        <v/>
      </c>
      <c r="J10" s="17" t="str">
        <f t="shared" si="17"/>
        <v/>
      </c>
      <c r="K10" s="15" t="str">
        <f t="shared" si="7"/>
        <v/>
      </c>
      <c r="L10" s="20" t="str">
        <f t="shared" si="8"/>
        <v>—</v>
      </c>
      <c r="M10" s="22"/>
      <c r="N10" s="22"/>
      <c r="O10" s="22"/>
      <c r="P10" s="22"/>
      <c r="Q10" s="22"/>
      <c r="R10" s="17" t="str">
        <f t="shared" si="9"/>
        <v/>
      </c>
      <c r="S10" s="15" t="str">
        <f t="shared" si="10"/>
        <v/>
      </c>
      <c r="T10" s="24" t="str">
        <f t="shared" si="11"/>
        <v/>
      </c>
      <c r="U10" s="17" t="str">
        <f t="shared" si="12"/>
        <v/>
      </c>
      <c r="V10" s="22"/>
      <c r="W10" s="22"/>
      <c r="X10" s="18"/>
      <c r="Y10" s="26"/>
      <c r="AA10" s="27" t="s">
        <v>61</v>
      </c>
      <c r="AB10" s="29">
        <f t="shared" si="13"/>
        <v>0</v>
      </c>
      <c r="AC10" s="30">
        <f t="shared" si="14"/>
        <v>0</v>
      </c>
      <c r="AD10" s="31">
        <f t="shared" si="15"/>
        <v>0</v>
      </c>
      <c r="AE10" s="29">
        <f t="shared" si="16"/>
        <v>0</v>
      </c>
    </row>
    <row r="11">
      <c r="A11" s="32">
        <v>46450.0</v>
      </c>
      <c r="B11" s="21" t="str">
        <f t="shared" si="2"/>
        <v>木</v>
      </c>
      <c r="C11" s="18"/>
      <c r="D11" s="23">
        <f t="shared" si="3"/>
        <v>0</v>
      </c>
      <c r="E11" s="18"/>
      <c r="F11" s="18"/>
      <c r="G11" s="23" t="str">
        <f t="shared" si="4"/>
        <v/>
      </c>
      <c r="H11" s="23" t="str">
        <f t="shared" si="5"/>
        <v/>
      </c>
      <c r="I11" s="25" t="str">
        <f t="shared" ref="I11:J11" si="18">IF(G11="","",IFERROR(G11/C11,""))</f>
        <v/>
      </c>
      <c r="J11" s="25" t="str">
        <f t="shared" si="18"/>
        <v/>
      </c>
      <c r="K11" s="23" t="str">
        <f t="shared" si="7"/>
        <v/>
      </c>
      <c r="L11" s="33" t="str">
        <f t="shared" si="8"/>
        <v>—</v>
      </c>
      <c r="M11" s="22"/>
      <c r="N11" s="22"/>
      <c r="O11" s="22"/>
      <c r="P11" s="22"/>
      <c r="Q11" s="22"/>
      <c r="R11" s="25" t="str">
        <f t="shared" si="9"/>
        <v/>
      </c>
      <c r="S11" s="23" t="str">
        <f t="shared" si="10"/>
        <v/>
      </c>
      <c r="T11" s="34" t="str">
        <f t="shared" si="11"/>
        <v/>
      </c>
      <c r="U11" s="25" t="str">
        <f t="shared" si="12"/>
        <v/>
      </c>
      <c r="V11" s="22"/>
      <c r="W11" s="22"/>
      <c r="X11" s="18"/>
      <c r="Y11" s="26"/>
      <c r="AA11" s="27" t="s">
        <v>63</v>
      </c>
      <c r="AB11" s="29">
        <f t="shared" si="13"/>
        <v>0</v>
      </c>
      <c r="AC11" s="30">
        <f t="shared" si="14"/>
        <v>0</v>
      </c>
      <c r="AD11" s="31">
        <f t="shared" si="15"/>
        <v>0</v>
      </c>
      <c r="AE11" s="29">
        <f t="shared" si="16"/>
        <v>0</v>
      </c>
    </row>
    <row r="12">
      <c r="A12" s="16">
        <v>46451.0</v>
      </c>
      <c r="B12" s="13" t="str">
        <f t="shared" si="2"/>
        <v>金</v>
      </c>
      <c r="C12" s="18"/>
      <c r="D12" s="15">
        <f t="shared" si="3"/>
        <v>0</v>
      </c>
      <c r="E12" s="18"/>
      <c r="F12" s="18"/>
      <c r="G12" s="15" t="str">
        <f t="shared" si="4"/>
        <v/>
      </c>
      <c r="H12" s="15" t="str">
        <f t="shared" si="5"/>
        <v/>
      </c>
      <c r="I12" s="17" t="str">
        <f t="shared" ref="I12:J12" si="19">IF(G12="","",IFERROR(G12/C12,""))</f>
        <v/>
      </c>
      <c r="J12" s="17" t="str">
        <f t="shared" si="19"/>
        <v/>
      </c>
      <c r="K12" s="15" t="str">
        <f t="shared" si="7"/>
        <v/>
      </c>
      <c r="L12" s="20" t="str">
        <f t="shared" si="8"/>
        <v>—</v>
      </c>
      <c r="M12" s="22"/>
      <c r="N12" s="22"/>
      <c r="O12" s="22"/>
      <c r="P12" s="22"/>
      <c r="Q12" s="22"/>
      <c r="R12" s="17" t="str">
        <f t="shared" si="9"/>
        <v/>
      </c>
      <c r="S12" s="15" t="str">
        <f t="shared" si="10"/>
        <v/>
      </c>
      <c r="T12" s="24" t="str">
        <f t="shared" si="11"/>
        <v/>
      </c>
      <c r="U12" s="17" t="str">
        <f t="shared" si="12"/>
        <v/>
      </c>
      <c r="V12" s="22"/>
      <c r="W12" s="22"/>
      <c r="X12" s="18"/>
      <c r="Y12" s="26"/>
      <c r="AA12" s="27" t="s">
        <v>65</v>
      </c>
      <c r="AB12" s="29">
        <f t="shared" si="13"/>
        <v>0</v>
      </c>
      <c r="AC12" s="30">
        <f t="shared" si="14"/>
        <v>0</v>
      </c>
      <c r="AD12" s="31">
        <f t="shared" si="15"/>
        <v>0</v>
      </c>
      <c r="AE12" s="29">
        <f t="shared" si="16"/>
        <v>0</v>
      </c>
    </row>
    <row r="13">
      <c r="A13" s="32">
        <v>46452.0</v>
      </c>
      <c r="B13" s="21" t="str">
        <f t="shared" si="2"/>
        <v>土</v>
      </c>
      <c r="C13" s="18"/>
      <c r="D13" s="23">
        <f t="shared" si="3"/>
        <v>0</v>
      </c>
      <c r="E13" s="18"/>
      <c r="F13" s="18"/>
      <c r="G13" s="23" t="str">
        <f t="shared" si="4"/>
        <v/>
      </c>
      <c r="H13" s="23" t="str">
        <f t="shared" si="5"/>
        <v/>
      </c>
      <c r="I13" s="25" t="str">
        <f t="shared" ref="I13:J13" si="20">IF(G13="","",IFERROR(G13/C13,""))</f>
        <v/>
      </c>
      <c r="J13" s="25" t="str">
        <f t="shared" si="20"/>
        <v/>
      </c>
      <c r="K13" s="23" t="str">
        <f t="shared" si="7"/>
        <v/>
      </c>
      <c r="L13" s="33" t="str">
        <f t="shared" si="8"/>
        <v>—</v>
      </c>
      <c r="M13" s="22"/>
      <c r="N13" s="22"/>
      <c r="O13" s="22"/>
      <c r="P13" s="22"/>
      <c r="Q13" s="22"/>
      <c r="R13" s="25" t="str">
        <f t="shared" si="9"/>
        <v/>
      </c>
      <c r="S13" s="23" t="str">
        <f t="shared" si="10"/>
        <v/>
      </c>
      <c r="T13" s="34" t="str">
        <f t="shared" si="11"/>
        <v/>
      </c>
      <c r="U13" s="25" t="str">
        <f t="shared" si="12"/>
        <v/>
      </c>
      <c r="V13" s="22"/>
      <c r="W13" s="22"/>
      <c r="X13" s="18"/>
      <c r="Y13" s="26"/>
      <c r="AA13" s="27" t="s">
        <v>67</v>
      </c>
      <c r="AB13" s="29">
        <f t="shared" si="13"/>
        <v>0</v>
      </c>
      <c r="AC13" s="30">
        <f t="shared" si="14"/>
        <v>0</v>
      </c>
      <c r="AD13" s="31">
        <f t="shared" si="15"/>
        <v>0</v>
      </c>
      <c r="AE13" s="29">
        <f t="shared" si="16"/>
        <v>0</v>
      </c>
    </row>
    <row r="14">
      <c r="A14" s="16">
        <v>46453.0</v>
      </c>
      <c r="B14" s="13" t="str">
        <f t="shared" si="2"/>
        <v>日</v>
      </c>
      <c r="C14" s="18"/>
      <c r="D14" s="15">
        <f t="shared" si="3"/>
        <v>0</v>
      </c>
      <c r="E14" s="18"/>
      <c r="F14" s="18"/>
      <c r="G14" s="15" t="str">
        <f t="shared" si="4"/>
        <v/>
      </c>
      <c r="H14" s="15" t="str">
        <f t="shared" si="5"/>
        <v/>
      </c>
      <c r="I14" s="17" t="str">
        <f t="shared" ref="I14:J14" si="21">IF(G14="","",IFERROR(G14/C14,""))</f>
        <v/>
      </c>
      <c r="J14" s="17" t="str">
        <f t="shared" si="21"/>
        <v/>
      </c>
      <c r="K14" s="15" t="str">
        <f t="shared" si="7"/>
        <v/>
      </c>
      <c r="L14" s="20" t="str">
        <f t="shared" si="8"/>
        <v>—</v>
      </c>
      <c r="M14" s="22"/>
      <c r="N14" s="22"/>
      <c r="O14" s="22"/>
      <c r="P14" s="22"/>
      <c r="Q14" s="22"/>
      <c r="R14" s="17" t="str">
        <f t="shared" si="9"/>
        <v/>
      </c>
      <c r="S14" s="15" t="str">
        <f t="shared" si="10"/>
        <v/>
      </c>
      <c r="T14" s="24" t="str">
        <f t="shared" si="11"/>
        <v/>
      </c>
      <c r="U14" s="17" t="str">
        <f t="shared" si="12"/>
        <v/>
      </c>
      <c r="V14" s="22"/>
      <c r="W14" s="22"/>
      <c r="X14" s="18"/>
      <c r="Y14" s="26"/>
      <c r="AA14" s="27" t="s">
        <v>69</v>
      </c>
      <c r="AB14" s="29">
        <f t="shared" si="13"/>
        <v>0</v>
      </c>
      <c r="AC14" s="30">
        <f t="shared" si="14"/>
        <v>0</v>
      </c>
      <c r="AD14" s="31">
        <f t="shared" si="15"/>
        <v>0</v>
      </c>
      <c r="AE14" s="29">
        <f t="shared" si="16"/>
        <v>0</v>
      </c>
    </row>
    <row r="15">
      <c r="A15" s="32">
        <v>46454.0</v>
      </c>
      <c r="B15" s="21" t="str">
        <f t="shared" si="2"/>
        <v>月</v>
      </c>
      <c r="C15" s="18"/>
      <c r="D15" s="23">
        <f t="shared" si="3"/>
        <v>0</v>
      </c>
      <c r="E15" s="18"/>
      <c r="F15" s="18"/>
      <c r="G15" s="23" t="str">
        <f t="shared" si="4"/>
        <v/>
      </c>
      <c r="H15" s="23" t="str">
        <f t="shared" si="5"/>
        <v/>
      </c>
      <c r="I15" s="25" t="str">
        <f t="shared" ref="I15:J15" si="22">IF(G15="","",IFERROR(G15/C15,""))</f>
        <v/>
      </c>
      <c r="J15" s="25" t="str">
        <f t="shared" si="22"/>
        <v/>
      </c>
      <c r="K15" s="23" t="str">
        <f t="shared" si="7"/>
        <v/>
      </c>
      <c r="L15" s="33" t="str">
        <f t="shared" si="8"/>
        <v>—</v>
      </c>
      <c r="M15" s="22"/>
      <c r="N15" s="22"/>
      <c r="O15" s="22"/>
      <c r="P15" s="22"/>
      <c r="Q15" s="22"/>
      <c r="R15" s="25" t="str">
        <f t="shared" si="9"/>
        <v/>
      </c>
      <c r="S15" s="23" t="str">
        <f t="shared" si="10"/>
        <v/>
      </c>
      <c r="T15" s="34" t="str">
        <f t="shared" si="11"/>
        <v/>
      </c>
      <c r="U15" s="25" t="str">
        <f t="shared" si="12"/>
        <v/>
      </c>
      <c r="V15" s="22"/>
      <c r="W15" s="22"/>
      <c r="X15" s="18"/>
      <c r="Y15" s="26"/>
    </row>
    <row r="16">
      <c r="A16" s="16">
        <v>46455.0</v>
      </c>
      <c r="B16" s="13" t="str">
        <f t="shared" si="2"/>
        <v>火</v>
      </c>
      <c r="C16" s="18"/>
      <c r="D16" s="15">
        <f t="shared" si="3"/>
        <v>0</v>
      </c>
      <c r="E16" s="18"/>
      <c r="F16" s="18"/>
      <c r="G16" s="15" t="str">
        <f t="shared" si="4"/>
        <v/>
      </c>
      <c r="H16" s="15" t="str">
        <f t="shared" si="5"/>
        <v/>
      </c>
      <c r="I16" s="17" t="str">
        <f t="shared" ref="I16:J16" si="23">IF(G16="","",IFERROR(G16/C16,""))</f>
        <v/>
      </c>
      <c r="J16" s="17" t="str">
        <f t="shared" si="23"/>
        <v/>
      </c>
      <c r="K16" s="15" t="str">
        <f t="shared" si="7"/>
        <v/>
      </c>
      <c r="L16" s="20" t="str">
        <f t="shared" si="8"/>
        <v>—</v>
      </c>
      <c r="M16" s="22"/>
      <c r="N16" s="22"/>
      <c r="O16" s="22"/>
      <c r="P16" s="22"/>
      <c r="Q16" s="22"/>
      <c r="R16" s="17" t="str">
        <f t="shared" si="9"/>
        <v/>
      </c>
      <c r="S16" s="15" t="str">
        <f t="shared" si="10"/>
        <v/>
      </c>
      <c r="T16" s="24" t="str">
        <f t="shared" si="11"/>
        <v/>
      </c>
      <c r="U16" s="17" t="str">
        <f t="shared" si="12"/>
        <v/>
      </c>
      <c r="V16" s="22"/>
      <c r="W16" s="22"/>
      <c r="X16" s="18"/>
      <c r="Y16" s="26"/>
      <c r="AA16" s="35" t="s">
        <v>71</v>
      </c>
    </row>
    <row r="17">
      <c r="A17" s="32">
        <v>46456.0</v>
      </c>
      <c r="B17" s="21" t="str">
        <f t="shared" si="2"/>
        <v>水</v>
      </c>
      <c r="C17" s="18"/>
      <c r="D17" s="23">
        <f t="shared" si="3"/>
        <v>0</v>
      </c>
      <c r="E17" s="18"/>
      <c r="F17" s="18"/>
      <c r="G17" s="23" t="str">
        <f t="shared" si="4"/>
        <v/>
      </c>
      <c r="H17" s="23" t="str">
        <f t="shared" si="5"/>
        <v/>
      </c>
      <c r="I17" s="25" t="str">
        <f t="shared" ref="I17:J17" si="24">IF(G17="","",IFERROR(G17/C17,""))</f>
        <v/>
      </c>
      <c r="J17" s="25" t="str">
        <f t="shared" si="24"/>
        <v/>
      </c>
      <c r="K17" s="23" t="str">
        <f t="shared" si="7"/>
        <v/>
      </c>
      <c r="L17" s="33" t="str">
        <f t="shared" si="8"/>
        <v>—</v>
      </c>
      <c r="M17" s="22"/>
      <c r="N17" s="22"/>
      <c r="O17" s="22"/>
      <c r="P17" s="22"/>
      <c r="Q17" s="22"/>
      <c r="R17" s="25" t="str">
        <f t="shared" si="9"/>
        <v/>
      </c>
      <c r="S17" s="23" t="str">
        <f t="shared" si="10"/>
        <v/>
      </c>
      <c r="T17" s="34" t="str">
        <f t="shared" si="11"/>
        <v/>
      </c>
      <c r="U17" s="25" t="str">
        <f t="shared" si="12"/>
        <v/>
      </c>
      <c r="V17" s="22"/>
      <c r="W17" s="22"/>
      <c r="X17" s="18"/>
      <c r="Y17" s="26"/>
    </row>
    <row r="18">
      <c r="A18" s="16">
        <v>46457.0</v>
      </c>
      <c r="B18" s="13" t="str">
        <f t="shared" si="2"/>
        <v>木</v>
      </c>
      <c r="C18" s="18"/>
      <c r="D18" s="15">
        <f t="shared" si="3"/>
        <v>0</v>
      </c>
      <c r="E18" s="18"/>
      <c r="F18" s="18"/>
      <c r="G18" s="15" t="str">
        <f t="shared" si="4"/>
        <v/>
      </c>
      <c r="H18" s="15" t="str">
        <f t="shared" si="5"/>
        <v/>
      </c>
      <c r="I18" s="17" t="str">
        <f t="shared" ref="I18:J18" si="25">IF(G18="","",IFERROR(G18/C18,""))</f>
        <v/>
      </c>
      <c r="J18" s="17" t="str">
        <f t="shared" si="25"/>
        <v/>
      </c>
      <c r="K18" s="15" t="str">
        <f t="shared" si="7"/>
        <v/>
      </c>
      <c r="L18" s="20" t="str">
        <f t="shared" si="8"/>
        <v>—</v>
      </c>
      <c r="M18" s="22"/>
      <c r="N18" s="22"/>
      <c r="O18" s="22"/>
      <c r="P18" s="22"/>
      <c r="Q18" s="22"/>
      <c r="R18" s="17" t="str">
        <f t="shared" si="9"/>
        <v/>
      </c>
      <c r="S18" s="15" t="str">
        <f t="shared" si="10"/>
        <v/>
      </c>
      <c r="T18" s="24" t="str">
        <f t="shared" si="11"/>
        <v/>
      </c>
      <c r="U18" s="17" t="str">
        <f t="shared" si="12"/>
        <v/>
      </c>
      <c r="V18" s="22"/>
      <c r="W18" s="22"/>
      <c r="X18" s="18"/>
      <c r="Y18" s="26"/>
      <c r="AA18" s="38" t="s">
        <v>193</v>
      </c>
      <c r="AH18" s="35" t="s">
        <v>184</v>
      </c>
      <c r="AI18" s="40">
        <f>$A$8+MOD(1-WEEKDAY($A$8,2)+7,7)</f>
        <v>46448</v>
      </c>
    </row>
    <row r="19">
      <c r="A19" s="32">
        <v>46458.0</v>
      </c>
      <c r="B19" s="21" t="str">
        <f t="shared" si="2"/>
        <v>金</v>
      </c>
      <c r="C19" s="18"/>
      <c r="D19" s="23">
        <f t="shared" si="3"/>
        <v>0</v>
      </c>
      <c r="E19" s="18"/>
      <c r="F19" s="18"/>
      <c r="G19" s="23" t="str">
        <f t="shared" si="4"/>
        <v/>
      </c>
      <c r="H19" s="23" t="str">
        <f t="shared" si="5"/>
        <v/>
      </c>
      <c r="I19" s="25" t="str">
        <f t="shared" ref="I19:J19" si="26">IF(G19="","",IFERROR(G19/C19,""))</f>
        <v/>
      </c>
      <c r="J19" s="25" t="str">
        <f t="shared" si="26"/>
        <v/>
      </c>
      <c r="K19" s="23" t="str">
        <f t="shared" si="7"/>
        <v/>
      </c>
      <c r="L19" s="33" t="str">
        <f t="shared" si="8"/>
        <v>—</v>
      </c>
      <c r="M19" s="22"/>
      <c r="N19" s="22"/>
      <c r="O19" s="22"/>
      <c r="P19" s="22"/>
      <c r="Q19" s="22"/>
      <c r="R19" s="25" t="str">
        <f t="shared" si="9"/>
        <v/>
      </c>
      <c r="S19" s="23" t="str">
        <f t="shared" si="10"/>
        <v/>
      </c>
      <c r="T19" s="34" t="str">
        <f t="shared" si="11"/>
        <v/>
      </c>
      <c r="U19" s="25" t="str">
        <f t="shared" si="12"/>
        <v/>
      </c>
      <c r="V19" s="22"/>
      <c r="W19" s="22"/>
      <c r="X19" s="18"/>
      <c r="Y19" s="26"/>
      <c r="AA19" s="14" t="s">
        <v>76</v>
      </c>
      <c r="AB19" s="14" t="s">
        <v>77</v>
      </c>
      <c r="AC19" s="14" t="s">
        <v>78</v>
      </c>
      <c r="AD19" s="14" t="s">
        <v>18</v>
      </c>
      <c r="AE19" s="14" t="s">
        <v>19</v>
      </c>
      <c r="AF19" s="14" t="s">
        <v>20</v>
      </c>
      <c r="AG19" s="14" t="s">
        <v>21</v>
      </c>
    </row>
    <row r="20">
      <c r="A20" s="16">
        <v>46459.0</v>
      </c>
      <c r="B20" s="13" t="str">
        <f t="shared" si="2"/>
        <v>土</v>
      </c>
      <c r="C20" s="18"/>
      <c r="D20" s="15">
        <f t="shared" si="3"/>
        <v>0</v>
      </c>
      <c r="E20" s="18"/>
      <c r="F20" s="18"/>
      <c r="G20" s="15" t="str">
        <f t="shared" si="4"/>
        <v/>
      </c>
      <c r="H20" s="15" t="str">
        <f t="shared" si="5"/>
        <v/>
      </c>
      <c r="I20" s="17" t="str">
        <f t="shared" ref="I20:J20" si="27">IF(G20="","",IFERROR(G20/C20,""))</f>
        <v/>
      </c>
      <c r="J20" s="17" t="str">
        <f t="shared" si="27"/>
        <v/>
      </c>
      <c r="K20" s="15" t="str">
        <f t="shared" si="7"/>
        <v/>
      </c>
      <c r="L20" s="20" t="str">
        <f t="shared" si="8"/>
        <v>—</v>
      </c>
      <c r="M20" s="22"/>
      <c r="N20" s="22"/>
      <c r="O20" s="22"/>
      <c r="P20" s="22"/>
      <c r="Q20" s="22"/>
      <c r="R20" s="17" t="str">
        <f t="shared" si="9"/>
        <v/>
      </c>
      <c r="S20" s="15" t="str">
        <f t="shared" si="10"/>
        <v/>
      </c>
      <c r="T20" s="24" t="str">
        <f t="shared" si="11"/>
        <v/>
      </c>
      <c r="U20" s="17" t="str">
        <f t="shared" si="12"/>
        <v/>
      </c>
      <c r="V20" s="22"/>
      <c r="W20" s="22"/>
      <c r="X20" s="18"/>
      <c r="Y20" s="26"/>
      <c r="AA20" s="30">
        <v>1.0</v>
      </c>
      <c r="AB20" s="42" t="str">
        <f>IF($AI$18+7*(1-1)&gt;$A$38,"",TEXT($AI$18+7*(1-1),"m/d")&amp;"-"&amp;TEXT($AI$18+7*(1-1)+6,"m/d"))</f>
        <v>3/2-3/8</v>
      </c>
      <c r="AC20" s="29">
        <f>IF($AB20="","",(SUMIFS($G$8:$G$38,$A$8:$A$38,"&gt;="&amp;$AI$18+7*(1-1),$A$8:$A$38,"&lt;="&amp;$AI$18+7*(1-1)+6)))</f>
        <v>0</v>
      </c>
      <c r="AD20" s="31" t="str">
        <f>IF($AB20="","",IFERROR((SUMIFS($M$8:$M$38,$A$8:$A$38,"&gt;="&amp;$AI$18+7*(1-1),$A$8:$A$38,"&lt;="&amp;$AI$18+7*(1-1)+6))/(SUMIFS($O$8:$O$38,$A$8:$A$38,"&gt;="&amp;$AI$18+7*(1-1),$A$8:$A$38,"&lt;="&amp;$AI$18+7*(1-1)+6)),""))</f>
        <v/>
      </c>
      <c r="AE20" s="29" t="str">
        <f>IF($AB20="","",IFERROR((SUMIFS($G$8:$G$38,$A$8:$A$38,"&gt;="&amp;$AI$18+7*(1-1),$A$8:$A$38,"&lt;="&amp;$AI$18+7*(1-1)+6))/(SUMIFS($M$8:$M$38,$A$8:$A$38,"&gt;="&amp;$AI$18+7*(1-1),$A$8:$A$38,"&lt;="&amp;$AI$18+7*(1-1)+6)),""))</f>
        <v/>
      </c>
      <c r="AF20" s="43" t="str">
        <f>IF($AB20="","",IFERROR((SUMIFS($N$8:$N$38,$A$8:$A$38,"&gt;="&amp;$AI$18+7*(1-1),$A$8:$A$38,"&lt;="&amp;$AI$18+7*(1-1)+6))/(SUMIFS($M$8:$M$38,$A$8:$A$38,"&gt;="&amp;$AI$18+7*(1-1),$A$8:$A$38,"&lt;="&amp;$AI$18+7*(1-1)+6)),""))</f>
        <v/>
      </c>
      <c r="AG20" s="31" t="str">
        <f>IF($AB20="","",IFERROR((SUMIFS($P$8:$P$38,$A$8:$A$38,"&gt;="&amp;$AI$18+7*(1-1),$A$8:$A$38,"&lt;="&amp;$AI$18+7*(1-1)+6))/(SUMIFS($O$8:$O$38,$A$8:$A$38,"&gt;="&amp;$AI$18+7*(1-1),$A$8:$A$38,"&lt;="&amp;$AI$18+7*(1-1)+6)),""))</f>
        <v/>
      </c>
    </row>
    <row r="21" ht="15.75" customHeight="1">
      <c r="A21" s="32">
        <v>46460.0</v>
      </c>
      <c r="B21" s="21" t="str">
        <f t="shared" si="2"/>
        <v>日</v>
      </c>
      <c r="C21" s="18"/>
      <c r="D21" s="23">
        <f t="shared" si="3"/>
        <v>0</v>
      </c>
      <c r="E21" s="18"/>
      <c r="F21" s="18"/>
      <c r="G21" s="23" t="str">
        <f t="shared" si="4"/>
        <v/>
      </c>
      <c r="H21" s="23" t="str">
        <f t="shared" si="5"/>
        <v/>
      </c>
      <c r="I21" s="25" t="str">
        <f t="shared" ref="I21:J21" si="28">IF(G21="","",IFERROR(G21/C21,""))</f>
        <v/>
      </c>
      <c r="J21" s="25" t="str">
        <f t="shared" si="28"/>
        <v/>
      </c>
      <c r="K21" s="23" t="str">
        <f t="shared" si="7"/>
        <v/>
      </c>
      <c r="L21" s="33" t="str">
        <f t="shared" si="8"/>
        <v>—</v>
      </c>
      <c r="M21" s="22"/>
      <c r="N21" s="22"/>
      <c r="O21" s="22"/>
      <c r="P21" s="22"/>
      <c r="Q21" s="22"/>
      <c r="R21" s="25" t="str">
        <f t="shared" si="9"/>
        <v/>
      </c>
      <c r="S21" s="23" t="str">
        <f t="shared" si="10"/>
        <v/>
      </c>
      <c r="T21" s="34" t="str">
        <f t="shared" si="11"/>
        <v/>
      </c>
      <c r="U21" s="25" t="str">
        <f t="shared" si="12"/>
        <v/>
      </c>
      <c r="V21" s="22"/>
      <c r="W21" s="22"/>
      <c r="X21" s="18"/>
      <c r="Y21" s="26"/>
      <c r="AA21" s="30">
        <v>2.0</v>
      </c>
      <c r="AB21" s="42" t="str">
        <f>IF($AI$18+7*(2-1)&gt;$A$38,"",TEXT($AI$18+7*(2-1),"m/d")&amp;"-"&amp;TEXT($AI$18+7*(2-1)+6,"m/d"))</f>
        <v>3/9-3/15</v>
      </c>
      <c r="AC21" s="29">
        <f>IF($AB21="","",(SUMIFS($G$8:$G$38,$A$8:$A$38,"&gt;="&amp;$AI$18+7*(2-1),$A$8:$A$38,"&lt;="&amp;$AI$18+7*(2-1)+6)))</f>
        <v>0</v>
      </c>
      <c r="AD21" s="31" t="str">
        <f>IF($AB21="","",IFERROR((SUMIFS($M$8:$M$38,$A$8:$A$38,"&gt;="&amp;$AI$18+7*(2-1),$A$8:$A$38,"&lt;="&amp;$AI$18+7*(2-1)+6))/(SUMIFS($O$8:$O$38,$A$8:$A$38,"&gt;="&amp;$AI$18+7*(2-1),$A$8:$A$38,"&lt;="&amp;$AI$18+7*(2-1)+6)),""))</f>
        <v/>
      </c>
      <c r="AE21" s="29" t="str">
        <f>IF($AB21="","",IFERROR((SUMIFS($G$8:$G$38,$A$8:$A$38,"&gt;="&amp;$AI$18+7*(2-1),$A$8:$A$38,"&lt;="&amp;$AI$18+7*(2-1)+6))/(SUMIFS($M$8:$M$38,$A$8:$A$38,"&gt;="&amp;$AI$18+7*(2-1),$A$8:$A$38,"&lt;="&amp;$AI$18+7*(2-1)+6)),""))</f>
        <v/>
      </c>
      <c r="AF21" s="43" t="str">
        <f>IF($AB21="","",IFERROR((SUMIFS($N$8:$N$38,$A$8:$A$38,"&gt;="&amp;$AI$18+7*(2-1),$A$8:$A$38,"&lt;="&amp;$AI$18+7*(2-1)+6))/(SUMIFS($M$8:$M$38,$A$8:$A$38,"&gt;="&amp;$AI$18+7*(2-1),$A$8:$A$38,"&lt;="&amp;$AI$18+7*(2-1)+6)),""))</f>
        <v/>
      </c>
      <c r="AG21" s="31" t="str">
        <f>IF($AB21="","",IFERROR((SUMIFS($P$8:$P$38,$A$8:$A$38,"&gt;="&amp;$AI$18+7*(2-1),$A$8:$A$38,"&lt;="&amp;$AI$18+7*(2-1)+6))/(SUMIFS($O$8:$O$38,$A$8:$A$38,"&gt;="&amp;$AI$18+7*(2-1),$A$8:$A$38,"&lt;="&amp;$AI$18+7*(2-1)+6)),""))</f>
        <v/>
      </c>
    </row>
    <row r="22" ht="15.75" customHeight="1">
      <c r="A22" s="16">
        <v>46461.0</v>
      </c>
      <c r="B22" s="13" t="str">
        <f t="shared" si="2"/>
        <v>月</v>
      </c>
      <c r="C22" s="18"/>
      <c r="D22" s="15">
        <f t="shared" si="3"/>
        <v>0</v>
      </c>
      <c r="E22" s="18"/>
      <c r="F22" s="18"/>
      <c r="G22" s="15" t="str">
        <f t="shared" si="4"/>
        <v/>
      </c>
      <c r="H22" s="15" t="str">
        <f t="shared" si="5"/>
        <v/>
      </c>
      <c r="I22" s="17" t="str">
        <f t="shared" ref="I22:J22" si="29">IF(G22="","",IFERROR(G22/C22,""))</f>
        <v/>
      </c>
      <c r="J22" s="17" t="str">
        <f t="shared" si="29"/>
        <v/>
      </c>
      <c r="K22" s="15" t="str">
        <f t="shared" si="7"/>
        <v/>
      </c>
      <c r="L22" s="20" t="str">
        <f t="shared" si="8"/>
        <v>—</v>
      </c>
      <c r="M22" s="22"/>
      <c r="N22" s="22"/>
      <c r="O22" s="22"/>
      <c r="P22" s="22"/>
      <c r="Q22" s="22"/>
      <c r="R22" s="17" t="str">
        <f t="shared" si="9"/>
        <v/>
      </c>
      <c r="S22" s="15" t="str">
        <f t="shared" si="10"/>
        <v/>
      </c>
      <c r="T22" s="24" t="str">
        <f t="shared" si="11"/>
        <v/>
      </c>
      <c r="U22" s="17" t="str">
        <f t="shared" si="12"/>
        <v/>
      </c>
      <c r="V22" s="22"/>
      <c r="W22" s="22"/>
      <c r="X22" s="18"/>
      <c r="Y22" s="26"/>
      <c r="AA22" s="30">
        <v>3.0</v>
      </c>
      <c r="AB22" s="42" t="str">
        <f>IF($AI$18+7*(3-1)&gt;$A$38,"",TEXT($AI$18+7*(3-1),"m/d")&amp;"-"&amp;TEXT($AI$18+7*(3-1)+6,"m/d"))</f>
        <v>3/16-3/22</v>
      </c>
      <c r="AC22" s="29">
        <f>IF($AB22="","",(SUMIFS($G$8:$G$38,$A$8:$A$38,"&gt;="&amp;$AI$18+7*(3-1),$A$8:$A$38,"&lt;="&amp;$AI$18+7*(3-1)+6)))</f>
        <v>0</v>
      </c>
      <c r="AD22" s="31" t="str">
        <f>IF($AB22="","",IFERROR((SUMIFS($M$8:$M$38,$A$8:$A$38,"&gt;="&amp;$AI$18+7*(3-1),$A$8:$A$38,"&lt;="&amp;$AI$18+7*(3-1)+6))/(SUMIFS($O$8:$O$38,$A$8:$A$38,"&gt;="&amp;$AI$18+7*(3-1),$A$8:$A$38,"&lt;="&amp;$AI$18+7*(3-1)+6)),""))</f>
        <v/>
      </c>
      <c r="AE22" s="29" t="str">
        <f>IF($AB22="","",IFERROR((SUMIFS($G$8:$G$38,$A$8:$A$38,"&gt;="&amp;$AI$18+7*(3-1),$A$8:$A$38,"&lt;="&amp;$AI$18+7*(3-1)+6))/(SUMIFS($M$8:$M$38,$A$8:$A$38,"&gt;="&amp;$AI$18+7*(3-1),$A$8:$A$38,"&lt;="&amp;$AI$18+7*(3-1)+6)),""))</f>
        <v/>
      </c>
      <c r="AF22" s="43" t="str">
        <f>IF($AB22="","",IFERROR((SUMIFS($N$8:$N$38,$A$8:$A$38,"&gt;="&amp;$AI$18+7*(3-1),$A$8:$A$38,"&lt;="&amp;$AI$18+7*(3-1)+6))/(SUMIFS($M$8:$M$38,$A$8:$A$38,"&gt;="&amp;$AI$18+7*(3-1),$A$8:$A$38,"&lt;="&amp;$AI$18+7*(3-1)+6)),""))</f>
        <v/>
      </c>
      <c r="AG22" s="31" t="str">
        <f>IF($AB22="","",IFERROR((SUMIFS($P$8:$P$38,$A$8:$A$38,"&gt;="&amp;$AI$18+7*(3-1),$A$8:$A$38,"&lt;="&amp;$AI$18+7*(3-1)+6))/(SUMIFS($O$8:$O$38,$A$8:$A$38,"&gt;="&amp;$AI$18+7*(3-1),$A$8:$A$38,"&lt;="&amp;$AI$18+7*(3-1)+6)),""))</f>
        <v/>
      </c>
    </row>
    <row r="23" ht="15.75" customHeight="1">
      <c r="A23" s="32">
        <v>46462.0</v>
      </c>
      <c r="B23" s="21" t="str">
        <f t="shared" si="2"/>
        <v>火</v>
      </c>
      <c r="C23" s="18"/>
      <c r="D23" s="23">
        <f t="shared" si="3"/>
        <v>0</v>
      </c>
      <c r="E23" s="18"/>
      <c r="F23" s="18"/>
      <c r="G23" s="23" t="str">
        <f t="shared" si="4"/>
        <v/>
      </c>
      <c r="H23" s="23" t="str">
        <f t="shared" si="5"/>
        <v/>
      </c>
      <c r="I23" s="25" t="str">
        <f t="shared" ref="I23:J23" si="30">IF(G23="","",IFERROR(G23/C23,""))</f>
        <v/>
      </c>
      <c r="J23" s="25" t="str">
        <f t="shared" si="30"/>
        <v/>
      </c>
      <c r="K23" s="23" t="str">
        <f t="shared" si="7"/>
        <v/>
      </c>
      <c r="L23" s="33" t="str">
        <f t="shared" si="8"/>
        <v>—</v>
      </c>
      <c r="M23" s="22"/>
      <c r="N23" s="22"/>
      <c r="O23" s="22"/>
      <c r="P23" s="22"/>
      <c r="Q23" s="22"/>
      <c r="R23" s="25" t="str">
        <f t="shared" si="9"/>
        <v/>
      </c>
      <c r="S23" s="23" t="str">
        <f t="shared" si="10"/>
        <v/>
      </c>
      <c r="T23" s="34" t="str">
        <f t="shared" si="11"/>
        <v/>
      </c>
      <c r="U23" s="25" t="str">
        <f t="shared" si="12"/>
        <v/>
      </c>
      <c r="V23" s="22"/>
      <c r="W23" s="22"/>
      <c r="X23" s="18"/>
      <c r="Y23" s="26"/>
      <c r="AA23" s="30">
        <v>4.0</v>
      </c>
      <c r="AB23" s="42" t="str">
        <f>IF($AI$18+7*(4-1)&gt;$A$38,"",TEXT($AI$18+7*(4-1),"m/d")&amp;"-"&amp;TEXT($AI$18+7*(4-1)+6,"m/d"))</f>
        <v>3/23-3/29</v>
      </c>
      <c r="AC23" s="29">
        <f>IF($AB23="","",(SUMIFS($G$8:$G$38,$A$8:$A$38,"&gt;="&amp;$AI$18+7*(4-1),$A$8:$A$38,"&lt;="&amp;$AI$18+7*(4-1)+6)))</f>
        <v>0</v>
      </c>
      <c r="AD23" s="31" t="str">
        <f>IF($AB23="","",IFERROR((SUMIFS($M$8:$M$38,$A$8:$A$38,"&gt;="&amp;$AI$18+7*(4-1),$A$8:$A$38,"&lt;="&amp;$AI$18+7*(4-1)+6))/(SUMIFS($O$8:$O$38,$A$8:$A$38,"&gt;="&amp;$AI$18+7*(4-1),$A$8:$A$38,"&lt;="&amp;$AI$18+7*(4-1)+6)),""))</f>
        <v/>
      </c>
      <c r="AE23" s="29" t="str">
        <f>IF($AB23="","",IFERROR((SUMIFS($G$8:$G$38,$A$8:$A$38,"&gt;="&amp;$AI$18+7*(4-1),$A$8:$A$38,"&lt;="&amp;$AI$18+7*(4-1)+6))/(SUMIFS($M$8:$M$38,$A$8:$A$38,"&gt;="&amp;$AI$18+7*(4-1),$A$8:$A$38,"&lt;="&amp;$AI$18+7*(4-1)+6)),""))</f>
        <v/>
      </c>
      <c r="AF23" s="43" t="str">
        <f>IF($AB23="","",IFERROR((SUMIFS($N$8:$N$38,$A$8:$A$38,"&gt;="&amp;$AI$18+7*(4-1),$A$8:$A$38,"&lt;="&amp;$AI$18+7*(4-1)+6))/(SUMIFS($M$8:$M$38,$A$8:$A$38,"&gt;="&amp;$AI$18+7*(4-1),$A$8:$A$38,"&lt;="&amp;$AI$18+7*(4-1)+6)),""))</f>
        <v/>
      </c>
      <c r="AG23" s="31" t="str">
        <f>IF($AB23="","",IFERROR((SUMIFS($P$8:$P$38,$A$8:$A$38,"&gt;="&amp;$AI$18+7*(4-1),$A$8:$A$38,"&lt;="&amp;$AI$18+7*(4-1)+6))/(SUMIFS($O$8:$O$38,$A$8:$A$38,"&gt;="&amp;$AI$18+7*(4-1),$A$8:$A$38,"&lt;="&amp;$AI$18+7*(4-1)+6)),""))</f>
        <v/>
      </c>
    </row>
    <row r="24" ht="15.75" customHeight="1">
      <c r="A24" s="16">
        <v>46463.0</v>
      </c>
      <c r="B24" s="13" t="str">
        <f t="shared" si="2"/>
        <v>水</v>
      </c>
      <c r="C24" s="18"/>
      <c r="D24" s="15">
        <f t="shared" si="3"/>
        <v>0</v>
      </c>
      <c r="E24" s="18"/>
      <c r="F24" s="18"/>
      <c r="G24" s="15" t="str">
        <f t="shared" si="4"/>
        <v/>
      </c>
      <c r="H24" s="15" t="str">
        <f t="shared" si="5"/>
        <v/>
      </c>
      <c r="I24" s="17" t="str">
        <f t="shared" ref="I24:J24" si="31">IF(G24="","",IFERROR(G24/C24,""))</f>
        <v/>
      </c>
      <c r="J24" s="17" t="str">
        <f t="shared" si="31"/>
        <v/>
      </c>
      <c r="K24" s="15" t="str">
        <f t="shared" si="7"/>
        <v/>
      </c>
      <c r="L24" s="20" t="str">
        <f t="shared" si="8"/>
        <v>—</v>
      </c>
      <c r="M24" s="22"/>
      <c r="N24" s="22"/>
      <c r="O24" s="22"/>
      <c r="P24" s="22"/>
      <c r="Q24" s="22"/>
      <c r="R24" s="17" t="str">
        <f t="shared" si="9"/>
        <v/>
      </c>
      <c r="S24" s="15" t="str">
        <f t="shared" si="10"/>
        <v/>
      </c>
      <c r="T24" s="24" t="str">
        <f t="shared" si="11"/>
        <v/>
      </c>
      <c r="U24" s="17" t="str">
        <f t="shared" si="12"/>
        <v/>
      </c>
      <c r="V24" s="22"/>
      <c r="W24" s="22"/>
      <c r="X24" s="18"/>
      <c r="Y24" s="26"/>
      <c r="AA24" s="30">
        <v>5.0</v>
      </c>
      <c r="AB24" s="42" t="str">
        <f>IF($AI$18+7*(5-1)&gt;$A$38,"",TEXT($AI$18+7*(5-1),"m/d")&amp;"-"&amp;TEXT($AI$18+7*(5-1)+6,"m/d"))</f>
        <v>3/30-4/5</v>
      </c>
      <c r="AC24" s="29">
        <f>IF($AB24="","",(SUMIFS($G$8:$G$38,$A$8:$A$38,"&gt;="&amp;$AI$18+7*(5-1),$A$8:$A$38,"&lt;="&amp;$AI$18+7*(5-1)+6)))</f>
        <v>0</v>
      </c>
      <c r="AD24" s="31" t="str">
        <f>IF($AB24="","",IFERROR((SUMIFS($M$8:$M$38,$A$8:$A$38,"&gt;="&amp;$AI$18+7*(5-1),$A$8:$A$38,"&lt;="&amp;$AI$18+7*(5-1)+6))/(SUMIFS($O$8:$O$38,$A$8:$A$38,"&gt;="&amp;$AI$18+7*(5-1),$A$8:$A$38,"&lt;="&amp;$AI$18+7*(5-1)+6)),""))</f>
        <v/>
      </c>
      <c r="AE24" s="29" t="str">
        <f>IF($AB24="","",IFERROR((SUMIFS($G$8:$G$38,$A$8:$A$38,"&gt;="&amp;$AI$18+7*(5-1),$A$8:$A$38,"&lt;="&amp;$AI$18+7*(5-1)+6))/(SUMIFS($M$8:$M$38,$A$8:$A$38,"&gt;="&amp;$AI$18+7*(5-1),$A$8:$A$38,"&lt;="&amp;$AI$18+7*(5-1)+6)),""))</f>
        <v/>
      </c>
      <c r="AF24" s="43" t="str">
        <f>IF($AB24="","",IFERROR((SUMIFS($N$8:$N$38,$A$8:$A$38,"&gt;="&amp;$AI$18+7*(5-1),$A$8:$A$38,"&lt;="&amp;$AI$18+7*(5-1)+6))/(SUMIFS($M$8:$M$38,$A$8:$A$38,"&gt;="&amp;$AI$18+7*(5-1),$A$8:$A$38,"&lt;="&amp;$AI$18+7*(5-1)+6)),""))</f>
        <v/>
      </c>
      <c r="AG24" s="31" t="str">
        <f>IF($AB24="","",IFERROR((SUMIFS($P$8:$P$38,$A$8:$A$38,"&gt;="&amp;$AI$18+7*(5-1),$A$8:$A$38,"&lt;="&amp;$AI$18+7*(5-1)+6))/(SUMIFS($O$8:$O$38,$A$8:$A$38,"&gt;="&amp;$AI$18+7*(5-1),$A$8:$A$38,"&lt;="&amp;$AI$18+7*(5-1)+6)),""))</f>
        <v/>
      </c>
    </row>
    <row r="25" ht="15.75" customHeight="1">
      <c r="A25" s="32">
        <v>46464.0</v>
      </c>
      <c r="B25" s="21" t="str">
        <f t="shared" si="2"/>
        <v>木</v>
      </c>
      <c r="C25" s="18"/>
      <c r="D25" s="23">
        <f t="shared" si="3"/>
        <v>0</v>
      </c>
      <c r="E25" s="18"/>
      <c r="F25" s="18"/>
      <c r="G25" s="23" t="str">
        <f t="shared" si="4"/>
        <v/>
      </c>
      <c r="H25" s="23" t="str">
        <f t="shared" si="5"/>
        <v/>
      </c>
      <c r="I25" s="25" t="str">
        <f t="shared" ref="I25:J25" si="32">IF(G25="","",IFERROR(G25/C25,""))</f>
        <v/>
      </c>
      <c r="J25" s="25" t="str">
        <f t="shared" si="32"/>
        <v/>
      </c>
      <c r="K25" s="23" t="str">
        <f t="shared" si="7"/>
        <v/>
      </c>
      <c r="L25" s="33" t="str">
        <f t="shared" si="8"/>
        <v>—</v>
      </c>
      <c r="M25" s="22"/>
      <c r="N25" s="22"/>
      <c r="O25" s="22"/>
      <c r="P25" s="22"/>
      <c r="Q25" s="22"/>
      <c r="R25" s="25" t="str">
        <f t="shared" si="9"/>
        <v/>
      </c>
      <c r="S25" s="23" t="str">
        <f t="shared" si="10"/>
        <v/>
      </c>
      <c r="T25" s="34" t="str">
        <f t="shared" si="11"/>
        <v/>
      </c>
      <c r="U25" s="25" t="str">
        <f t="shared" si="12"/>
        <v/>
      </c>
      <c r="V25" s="22"/>
      <c r="W25" s="22"/>
      <c r="X25" s="18"/>
      <c r="Y25" s="26"/>
      <c r="AA25" s="30">
        <v>6.0</v>
      </c>
      <c r="AB25" s="42" t="str">
        <f>IF($AI$18+7*(6-1)&gt;$A$38,"",TEXT($AI$18+7*(6-1),"m/d")&amp;"-"&amp;TEXT($AI$18+7*(6-1)+6,"m/d"))</f>
        <v/>
      </c>
      <c r="AC25" s="29" t="str">
        <f>IF($AB25="","",(SUMIFS($G$8:$G$38,$A$8:$A$38,"&gt;="&amp;$AI$18+7*(6-1),$A$8:$A$38,"&lt;="&amp;$AI$18+7*(6-1)+6)))</f>
        <v/>
      </c>
      <c r="AD25" s="31" t="str">
        <f>IF($AB25="","",IFERROR((SUMIFS($M$8:$M$38,$A$8:$A$38,"&gt;="&amp;$AI$18+7*(6-1),$A$8:$A$38,"&lt;="&amp;$AI$18+7*(6-1)+6))/(SUMIFS($O$8:$O$38,$A$8:$A$38,"&gt;="&amp;$AI$18+7*(6-1),$A$8:$A$38,"&lt;="&amp;$AI$18+7*(6-1)+6)),""))</f>
        <v/>
      </c>
      <c r="AE25" s="29" t="str">
        <f>IF($AB25="","",IFERROR((SUMIFS($G$8:$G$38,$A$8:$A$38,"&gt;="&amp;$AI$18+7*(6-1),$A$8:$A$38,"&lt;="&amp;$AI$18+7*(6-1)+6))/(SUMIFS($M$8:$M$38,$A$8:$A$38,"&gt;="&amp;$AI$18+7*(6-1),$A$8:$A$38,"&lt;="&amp;$AI$18+7*(6-1)+6)),""))</f>
        <v/>
      </c>
      <c r="AF25" s="43" t="str">
        <f>IF($AB25="","",IFERROR((SUMIFS($N$8:$N$38,$A$8:$A$38,"&gt;="&amp;$AI$18+7*(6-1),$A$8:$A$38,"&lt;="&amp;$AI$18+7*(6-1)+6))/(SUMIFS($M$8:$M$38,$A$8:$A$38,"&gt;="&amp;$AI$18+7*(6-1),$A$8:$A$38,"&lt;="&amp;$AI$18+7*(6-1)+6)),""))</f>
        <v/>
      </c>
      <c r="AG25" s="31" t="str">
        <f>IF($AB25="","",IFERROR((SUMIFS($P$8:$P$38,$A$8:$A$38,"&gt;="&amp;$AI$18+7*(6-1),$A$8:$A$38,"&lt;="&amp;$AI$18+7*(6-1)+6))/(SUMIFS($O$8:$O$38,$A$8:$A$38,"&gt;="&amp;$AI$18+7*(6-1),$A$8:$A$38,"&lt;="&amp;$AI$18+7*(6-1)+6)),""))</f>
        <v/>
      </c>
    </row>
    <row r="26" ht="15.75" customHeight="1">
      <c r="A26" s="16">
        <v>46465.0</v>
      </c>
      <c r="B26" s="13" t="str">
        <f t="shared" si="2"/>
        <v>金</v>
      </c>
      <c r="C26" s="18"/>
      <c r="D26" s="15">
        <f t="shared" si="3"/>
        <v>0</v>
      </c>
      <c r="E26" s="18"/>
      <c r="F26" s="18"/>
      <c r="G26" s="15" t="str">
        <f t="shared" si="4"/>
        <v/>
      </c>
      <c r="H26" s="15" t="str">
        <f t="shared" si="5"/>
        <v/>
      </c>
      <c r="I26" s="17" t="str">
        <f t="shared" ref="I26:J26" si="33">IF(G26="","",IFERROR(G26/C26,""))</f>
        <v/>
      </c>
      <c r="J26" s="17" t="str">
        <f t="shared" si="33"/>
        <v/>
      </c>
      <c r="K26" s="15" t="str">
        <f t="shared" si="7"/>
        <v/>
      </c>
      <c r="L26" s="20" t="str">
        <f t="shared" si="8"/>
        <v>—</v>
      </c>
      <c r="M26" s="22"/>
      <c r="N26" s="22"/>
      <c r="O26" s="22"/>
      <c r="P26" s="22"/>
      <c r="Q26" s="22"/>
      <c r="R26" s="17" t="str">
        <f t="shared" si="9"/>
        <v/>
      </c>
      <c r="S26" s="15" t="str">
        <f t="shared" si="10"/>
        <v/>
      </c>
      <c r="T26" s="24" t="str">
        <f t="shared" si="11"/>
        <v/>
      </c>
      <c r="U26" s="17" t="str">
        <f t="shared" si="12"/>
        <v/>
      </c>
      <c r="V26" s="22"/>
      <c r="W26" s="22"/>
      <c r="X26" s="18"/>
      <c r="Y26" s="26"/>
      <c r="AA26" s="35" t="s">
        <v>185</v>
      </c>
    </row>
    <row r="27" ht="15.75" customHeight="1">
      <c r="A27" s="32">
        <v>46466.0</v>
      </c>
      <c r="B27" s="21" t="str">
        <f t="shared" si="2"/>
        <v>土</v>
      </c>
      <c r="C27" s="18"/>
      <c r="D27" s="23">
        <f t="shared" si="3"/>
        <v>0</v>
      </c>
      <c r="E27" s="18"/>
      <c r="F27" s="18"/>
      <c r="G27" s="23" t="str">
        <f t="shared" si="4"/>
        <v/>
      </c>
      <c r="H27" s="23" t="str">
        <f t="shared" si="5"/>
        <v/>
      </c>
      <c r="I27" s="25" t="str">
        <f t="shared" ref="I27:J27" si="34">IF(G27="","",IFERROR(G27/C27,""))</f>
        <v/>
      </c>
      <c r="J27" s="25" t="str">
        <f t="shared" si="34"/>
        <v/>
      </c>
      <c r="K27" s="23" t="str">
        <f t="shared" si="7"/>
        <v/>
      </c>
      <c r="L27" s="33" t="str">
        <f t="shared" si="8"/>
        <v>—</v>
      </c>
      <c r="M27" s="22"/>
      <c r="N27" s="22"/>
      <c r="O27" s="22"/>
      <c r="P27" s="22"/>
      <c r="Q27" s="22"/>
      <c r="R27" s="25" t="str">
        <f t="shared" si="9"/>
        <v/>
      </c>
      <c r="S27" s="23" t="str">
        <f t="shared" si="10"/>
        <v/>
      </c>
      <c r="T27" s="34" t="str">
        <f t="shared" si="11"/>
        <v/>
      </c>
      <c r="U27" s="25" t="str">
        <f t="shared" si="12"/>
        <v/>
      </c>
      <c r="V27" s="22"/>
      <c r="W27" s="22"/>
      <c r="X27" s="18"/>
      <c r="Y27" s="26"/>
      <c r="AA27" s="35" t="s">
        <v>186</v>
      </c>
    </row>
    <row r="28" ht="15.75" customHeight="1">
      <c r="A28" s="16">
        <v>46467.0</v>
      </c>
      <c r="B28" s="13" t="str">
        <f t="shared" si="2"/>
        <v>日</v>
      </c>
      <c r="C28" s="18"/>
      <c r="D28" s="15">
        <f t="shared" si="3"/>
        <v>0</v>
      </c>
      <c r="E28" s="18"/>
      <c r="F28" s="18"/>
      <c r="G28" s="15" t="str">
        <f t="shared" si="4"/>
        <v/>
      </c>
      <c r="H28" s="15" t="str">
        <f t="shared" si="5"/>
        <v/>
      </c>
      <c r="I28" s="17" t="str">
        <f t="shared" ref="I28:J28" si="35">IF(G28="","",IFERROR(G28/C28,""))</f>
        <v/>
      </c>
      <c r="J28" s="17" t="str">
        <f t="shared" si="35"/>
        <v/>
      </c>
      <c r="K28" s="15" t="str">
        <f t="shared" si="7"/>
        <v/>
      </c>
      <c r="L28" s="20" t="str">
        <f t="shared" si="8"/>
        <v>—</v>
      </c>
      <c r="M28" s="22"/>
      <c r="N28" s="22"/>
      <c r="O28" s="22"/>
      <c r="P28" s="22"/>
      <c r="Q28" s="22"/>
      <c r="R28" s="17" t="str">
        <f t="shared" si="9"/>
        <v/>
      </c>
      <c r="S28" s="15" t="str">
        <f t="shared" si="10"/>
        <v/>
      </c>
      <c r="T28" s="24" t="str">
        <f t="shared" si="11"/>
        <v/>
      </c>
      <c r="U28" s="17" t="str">
        <f t="shared" si="12"/>
        <v/>
      </c>
      <c r="V28" s="22"/>
      <c r="W28" s="22"/>
      <c r="X28" s="18"/>
      <c r="Y28" s="26"/>
      <c r="AA28" s="35" t="s">
        <v>187</v>
      </c>
    </row>
    <row r="29" ht="15.75" customHeight="1">
      <c r="A29" s="32">
        <v>46468.0</v>
      </c>
      <c r="B29" s="21" t="str">
        <f t="shared" si="2"/>
        <v>月</v>
      </c>
      <c r="C29" s="18"/>
      <c r="D29" s="23">
        <f t="shared" si="3"/>
        <v>0</v>
      </c>
      <c r="E29" s="18"/>
      <c r="F29" s="18"/>
      <c r="G29" s="23" t="str">
        <f t="shared" si="4"/>
        <v/>
      </c>
      <c r="H29" s="23" t="str">
        <f t="shared" si="5"/>
        <v/>
      </c>
      <c r="I29" s="25" t="str">
        <f t="shared" ref="I29:J29" si="36">IF(G29="","",IFERROR(G29/C29,""))</f>
        <v/>
      </c>
      <c r="J29" s="25" t="str">
        <f t="shared" si="36"/>
        <v/>
      </c>
      <c r="K29" s="23" t="str">
        <f t="shared" si="7"/>
        <v/>
      </c>
      <c r="L29" s="33" t="str">
        <f t="shared" si="8"/>
        <v>—</v>
      </c>
      <c r="M29" s="22"/>
      <c r="N29" s="22"/>
      <c r="O29" s="22"/>
      <c r="P29" s="22"/>
      <c r="Q29" s="22"/>
      <c r="R29" s="25" t="str">
        <f t="shared" si="9"/>
        <v/>
      </c>
      <c r="S29" s="23" t="str">
        <f t="shared" si="10"/>
        <v/>
      </c>
      <c r="T29" s="34" t="str">
        <f t="shared" si="11"/>
        <v/>
      </c>
      <c r="U29" s="25" t="str">
        <f t="shared" si="12"/>
        <v/>
      </c>
      <c r="V29" s="22"/>
      <c r="W29" s="22"/>
      <c r="X29" s="18"/>
      <c r="Y29" s="26"/>
    </row>
    <row r="30" ht="15.75" customHeight="1">
      <c r="A30" s="16">
        <v>46469.0</v>
      </c>
      <c r="B30" s="13" t="str">
        <f t="shared" si="2"/>
        <v>火</v>
      </c>
      <c r="C30" s="18"/>
      <c r="D30" s="15">
        <f t="shared" si="3"/>
        <v>0</v>
      </c>
      <c r="E30" s="18"/>
      <c r="F30" s="18"/>
      <c r="G30" s="15" t="str">
        <f t="shared" si="4"/>
        <v/>
      </c>
      <c r="H30" s="15" t="str">
        <f t="shared" si="5"/>
        <v/>
      </c>
      <c r="I30" s="17" t="str">
        <f t="shared" ref="I30:J30" si="37">IF(G30="","",IFERROR(G30/C30,""))</f>
        <v/>
      </c>
      <c r="J30" s="17" t="str">
        <f t="shared" si="37"/>
        <v/>
      </c>
      <c r="K30" s="15" t="str">
        <f t="shared" si="7"/>
        <v/>
      </c>
      <c r="L30" s="20" t="str">
        <f t="shared" si="8"/>
        <v>—</v>
      </c>
      <c r="M30" s="22"/>
      <c r="N30" s="22"/>
      <c r="O30" s="22"/>
      <c r="P30" s="22"/>
      <c r="Q30" s="22"/>
      <c r="R30" s="17" t="str">
        <f t="shared" si="9"/>
        <v/>
      </c>
      <c r="S30" s="15" t="str">
        <f t="shared" si="10"/>
        <v/>
      </c>
      <c r="T30" s="24" t="str">
        <f t="shared" si="11"/>
        <v/>
      </c>
      <c r="U30" s="17" t="str">
        <f t="shared" si="12"/>
        <v/>
      </c>
      <c r="V30" s="22"/>
      <c r="W30" s="22"/>
      <c r="X30" s="18"/>
      <c r="Y30" s="26"/>
    </row>
    <row r="31" ht="15.75" customHeight="1">
      <c r="A31" s="32">
        <v>46470.0</v>
      </c>
      <c r="B31" s="21" t="str">
        <f t="shared" si="2"/>
        <v>水</v>
      </c>
      <c r="C31" s="18"/>
      <c r="D31" s="23">
        <f t="shared" si="3"/>
        <v>0</v>
      </c>
      <c r="E31" s="18"/>
      <c r="F31" s="18"/>
      <c r="G31" s="23" t="str">
        <f t="shared" si="4"/>
        <v/>
      </c>
      <c r="H31" s="23" t="str">
        <f t="shared" si="5"/>
        <v/>
      </c>
      <c r="I31" s="25" t="str">
        <f t="shared" ref="I31:J31" si="38">IF(G31="","",IFERROR(G31/C31,""))</f>
        <v/>
      </c>
      <c r="J31" s="25" t="str">
        <f t="shared" si="38"/>
        <v/>
      </c>
      <c r="K31" s="23" t="str">
        <f t="shared" si="7"/>
        <v/>
      </c>
      <c r="L31" s="33" t="str">
        <f t="shared" si="8"/>
        <v>—</v>
      </c>
      <c r="M31" s="22"/>
      <c r="N31" s="22"/>
      <c r="O31" s="22"/>
      <c r="P31" s="22"/>
      <c r="Q31" s="22"/>
      <c r="R31" s="25" t="str">
        <f t="shared" si="9"/>
        <v/>
      </c>
      <c r="S31" s="23" t="str">
        <f t="shared" si="10"/>
        <v/>
      </c>
      <c r="T31" s="34" t="str">
        <f t="shared" si="11"/>
        <v/>
      </c>
      <c r="U31" s="25" t="str">
        <f t="shared" si="12"/>
        <v/>
      </c>
      <c r="V31" s="22"/>
      <c r="W31" s="22"/>
      <c r="X31" s="18"/>
      <c r="Y31" s="26"/>
    </row>
    <row r="32" ht="15.75" customHeight="1">
      <c r="A32" s="16">
        <v>46471.0</v>
      </c>
      <c r="B32" s="13" t="str">
        <f t="shared" si="2"/>
        <v>木</v>
      </c>
      <c r="C32" s="18"/>
      <c r="D32" s="15">
        <f t="shared" si="3"/>
        <v>0</v>
      </c>
      <c r="E32" s="18"/>
      <c r="F32" s="18"/>
      <c r="G32" s="15" t="str">
        <f t="shared" si="4"/>
        <v/>
      </c>
      <c r="H32" s="15" t="str">
        <f t="shared" si="5"/>
        <v/>
      </c>
      <c r="I32" s="17" t="str">
        <f t="shared" ref="I32:J32" si="39">IF(G32="","",IFERROR(G32/C32,""))</f>
        <v/>
      </c>
      <c r="J32" s="17" t="str">
        <f t="shared" si="39"/>
        <v/>
      </c>
      <c r="K32" s="15" t="str">
        <f t="shared" si="7"/>
        <v/>
      </c>
      <c r="L32" s="20" t="str">
        <f t="shared" si="8"/>
        <v>—</v>
      </c>
      <c r="M32" s="22"/>
      <c r="N32" s="22"/>
      <c r="O32" s="22"/>
      <c r="P32" s="22"/>
      <c r="Q32" s="22"/>
      <c r="R32" s="17" t="str">
        <f t="shared" si="9"/>
        <v/>
      </c>
      <c r="S32" s="15" t="str">
        <f t="shared" si="10"/>
        <v/>
      </c>
      <c r="T32" s="24" t="str">
        <f t="shared" si="11"/>
        <v/>
      </c>
      <c r="U32" s="17" t="str">
        <f t="shared" si="12"/>
        <v/>
      </c>
      <c r="V32" s="22"/>
      <c r="W32" s="22"/>
      <c r="X32" s="18"/>
      <c r="Y32" s="26"/>
    </row>
    <row r="33" ht="15.75" customHeight="1">
      <c r="A33" s="32">
        <v>46472.0</v>
      </c>
      <c r="B33" s="21" t="str">
        <f t="shared" si="2"/>
        <v>金</v>
      </c>
      <c r="C33" s="18"/>
      <c r="D33" s="23">
        <f t="shared" si="3"/>
        <v>0</v>
      </c>
      <c r="E33" s="18"/>
      <c r="F33" s="18"/>
      <c r="G33" s="23" t="str">
        <f t="shared" si="4"/>
        <v/>
      </c>
      <c r="H33" s="23" t="str">
        <f t="shared" si="5"/>
        <v/>
      </c>
      <c r="I33" s="25" t="str">
        <f t="shared" ref="I33:J33" si="40">IF(G33="","",IFERROR(G33/C33,""))</f>
        <v/>
      </c>
      <c r="J33" s="25" t="str">
        <f t="shared" si="40"/>
        <v/>
      </c>
      <c r="K33" s="23" t="str">
        <f t="shared" si="7"/>
        <v/>
      </c>
      <c r="L33" s="33" t="str">
        <f t="shared" si="8"/>
        <v>—</v>
      </c>
      <c r="M33" s="22"/>
      <c r="N33" s="22"/>
      <c r="O33" s="22"/>
      <c r="P33" s="22"/>
      <c r="Q33" s="22"/>
      <c r="R33" s="25" t="str">
        <f t="shared" si="9"/>
        <v/>
      </c>
      <c r="S33" s="23" t="str">
        <f t="shared" si="10"/>
        <v/>
      </c>
      <c r="T33" s="34" t="str">
        <f t="shared" si="11"/>
        <v/>
      </c>
      <c r="U33" s="25" t="str">
        <f t="shared" si="12"/>
        <v/>
      </c>
      <c r="V33" s="22"/>
      <c r="W33" s="22"/>
      <c r="X33" s="18"/>
      <c r="Y33" s="26"/>
    </row>
    <row r="34" ht="15.75" customHeight="1">
      <c r="A34" s="16">
        <v>46473.0</v>
      </c>
      <c r="B34" s="13" t="str">
        <f t="shared" si="2"/>
        <v>土</v>
      </c>
      <c r="C34" s="18"/>
      <c r="D34" s="15">
        <f t="shared" si="3"/>
        <v>0</v>
      </c>
      <c r="E34" s="18"/>
      <c r="F34" s="18"/>
      <c r="G34" s="15" t="str">
        <f t="shared" si="4"/>
        <v/>
      </c>
      <c r="H34" s="15" t="str">
        <f t="shared" si="5"/>
        <v/>
      </c>
      <c r="I34" s="17" t="str">
        <f t="shared" ref="I34:J34" si="41">IF(G34="","",IFERROR(G34/C34,""))</f>
        <v/>
      </c>
      <c r="J34" s="17" t="str">
        <f t="shared" si="41"/>
        <v/>
      </c>
      <c r="K34" s="15" t="str">
        <f t="shared" si="7"/>
        <v/>
      </c>
      <c r="L34" s="20" t="str">
        <f t="shared" si="8"/>
        <v>—</v>
      </c>
      <c r="M34" s="22"/>
      <c r="N34" s="22"/>
      <c r="O34" s="22"/>
      <c r="P34" s="22"/>
      <c r="Q34" s="22"/>
      <c r="R34" s="17" t="str">
        <f t="shared" si="9"/>
        <v/>
      </c>
      <c r="S34" s="15" t="str">
        <f t="shared" si="10"/>
        <v/>
      </c>
      <c r="T34" s="24" t="str">
        <f t="shared" si="11"/>
        <v/>
      </c>
      <c r="U34" s="17" t="str">
        <f t="shared" si="12"/>
        <v/>
      </c>
      <c r="V34" s="22"/>
      <c r="W34" s="22"/>
      <c r="X34" s="18"/>
      <c r="Y34" s="26"/>
    </row>
    <row r="35" ht="15.75" customHeight="1">
      <c r="A35" s="32">
        <v>46474.0</v>
      </c>
      <c r="B35" s="21" t="str">
        <f t="shared" si="2"/>
        <v>日</v>
      </c>
      <c r="C35" s="18"/>
      <c r="D35" s="23">
        <f t="shared" si="3"/>
        <v>0</v>
      </c>
      <c r="E35" s="18"/>
      <c r="F35" s="18"/>
      <c r="G35" s="23" t="str">
        <f t="shared" si="4"/>
        <v/>
      </c>
      <c r="H35" s="23" t="str">
        <f t="shared" si="5"/>
        <v/>
      </c>
      <c r="I35" s="25" t="str">
        <f t="shared" ref="I35:J35" si="42">IF(G35="","",IFERROR(G35/C35,""))</f>
        <v/>
      </c>
      <c r="J35" s="25" t="str">
        <f t="shared" si="42"/>
        <v/>
      </c>
      <c r="K35" s="23" t="str">
        <f t="shared" si="7"/>
        <v/>
      </c>
      <c r="L35" s="33" t="str">
        <f t="shared" si="8"/>
        <v>—</v>
      </c>
      <c r="M35" s="22"/>
      <c r="N35" s="22"/>
      <c r="O35" s="22"/>
      <c r="P35" s="22"/>
      <c r="Q35" s="22"/>
      <c r="R35" s="25" t="str">
        <f t="shared" si="9"/>
        <v/>
      </c>
      <c r="S35" s="23" t="str">
        <f t="shared" si="10"/>
        <v/>
      </c>
      <c r="T35" s="34" t="str">
        <f t="shared" si="11"/>
        <v/>
      </c>
      <c r="U35" s="25" t="str">
        <f t="shared" si="12"/>
        <v/>
      </c>
      <c r="V35" s="22"/>
      <c r="W35" s="22"/>
      <c r="X35" s="18"/>
      <c r="Y35" s="26"/>
    </row>
    <row r="36" ht="15.75" customHeight="1">
      <c r="A36" s="16">
        <v>46475.0</v>
      </c>
      <c r="B36" s="13" t="str">
        <f t="shared" si="2"/>
        <v>月</v>
      </c>
      <c r="C36" s="18"/>
      <c r="D36" s="15">
        <f t="shared" si="3"/>
        <v>0</v>
      </c>
      <c r="E36" s="18"/>
      <c r="F36" s="18"/>
      <c r="G36" s="15" t="str">
        <f t="shared" si="4"/>
        <v/>
      </c>
      <c r="H36" s="15" t="str">
        <f t="shared" si="5"/>
        <v/>
      </c>
      <c r="I36" s="17" t="str">
        <f t="shared" ref="I36:J36" si="43">IF(G36="","",IFERROR(G36/C36,""))</f>
        <v/>
      </c>
      <c r="J36" s="17" t="str">
        <f t="shared" si="43"/>
        <v/>
      </c>
      <c r="K36" s="15" t="str">
        <f t="shared" si="7"/>
        <v/>
      </c>
      <c r="L36" s="20" t="str">
        <f t="shared" si="8"/>
        <v>—</v>
      </c>
      <c r="M36" s="22"/>
      <c r="N36" s="22"/>
      <c r="O36" s="22"/>
      <c r="P36" s="22"/>
      <c r="Q36" s="22"/>
      <c r="R36" s="17" t="str">
        <f t="shared" si="9"/>
        <v/>
      </c>
      <c r="S36" s="15" t="str">
        <f t="shared" si="10"/>
        <v/>
      </c>
      <c r="T36" s="24" t="str">
        <f t="shared" si="11"/>
        <v/>
      </c>
      <c r="U36" s="17" t="str">
        <f t="shared" si="12"/>
        <v/>
      </c>
      <c r="V36" s="22"/>
      <c r="W36" s="22"/>
      <c r="X36" s="18"/>
      <c r="Y36" s="26"/>
    </row>
    <row r="37" ht="15.75" customHeight="1">
      <c r="A37" s="32">
        <v>46476.0</v>
      </c>
      <c r="B37" s="21" t="str">
        <f t="shared" si="2"/>
        <v>火</v>
      </c>
      <c r="C37" s="18"/>
      <c r="D37" s="23">
        <f t="shared" si="3"/>
        <v>0</v>
      </c>
      <c r="E37" s="18"/>
      <c r="F37" s="18"/>
      <c r="G37" s="23" t="str">
        <f t="shared" si="4"/>
        <v/>
      </c>
      <c r="H37" s="23" t="str">
        <f t="shared" si="5"/>
        <v/>
      </c>
      <c r="I37" s="25" t="str">
        <f t="shared" ref="I37:J37" si="44">IF(G37="","",IFERROR(G37/C37,""))</f>
        <v/>
      </c>
      <c r="J37" s="25" t="str">
        <f t="shared" si="44"/>
        <v/>
      </c>
      <c r="K37" s="23" t="str">
        <f t="shared" si="7"/>
        <v/>
      </c>
      <c r="L37" s="33" t="str">
        <f t="shared" si="8"/>
        <v>—</v>
      </c>
      <c r="M37" s="22"/>
      <c r="N37" s="22"/>
      <c r="O37" s="22"/>
      <c r="P37" s="22"/>
      <c r="Q37" s="22"/>
      <c r="R37" s="25" t="str">
        <f t="shared" si="9"/>
        <v/>
      </c>
      <c r="S37" s="23" t="str">
        <f t="shared" si="10"/>
        <v/>
      </c>
      <c r="T37" s="34" t="str">
        <f t="shared" si="11"/>
        <v/>
      </c>
      <c r="U37" s="25" t="str">
        <f t="shared" si="12"/>
        <v/>
      </c>
      <c r="V37" s="22"/>
      <c r="W37" s="22"/>
      <c r="X37" s="18"/>
      <c r="Y37" s="26"/>
    </row>
    <row r="38" ht="15.75" customHeight="1">
      <c r="A38" s="16">
        <v>46477.0</v>
      </c>
      <c r="B38" s="13" t="str">
        <f t="shared" si="2"/>
        <v>水</v>
      </c>
      <c r="C38" s="18"/>
      <c r="D38" s="15">
        <f t="shared" si="3"/>
        <v>0</v>
      </c>
      <c r="E38" s="18"/>
      <c r="F38" s="18"/>
      <c r="G38" s="15" t="str">
        <f t="shared" si="4"/>
        <v/>
      </c>
      <c r="H38" s="15" t="str">
        <f t="shared" si="5"/>
        <v/>
      </c>
      <c r="I38" s="17" t="str">
        <f t="shared" ref="I38:J38" si="45">IF(G38="","",IFERROR(G38/C38,""))</f>
        <v/>
      </c>
      <c r="J38" s="17" t="str">
        <f t="shared" si="45"/>
        <v/>
      </c>
      <c r="K38" s="15" t="str">
        <f t="shared" si="7"/>
        <v/>
      </c>
      <c r="L38" s="20" t="str">
        <f t="shared" si="8"/>
        <v>—</v>
      </c>
      <c r="M38" s="22"/>
      <c r="N38" s="22"/>
      <c r="O38" s="22"/>
      <c r="P38" s="22"/>
      <c r="Q38" s="22"/>
      <c r="R38" s="17" t="str">
        <f t="shared" si="9"/>
        <v/>
      </c>
      <c r="S38" s="15" t="str">
        <f t="shared" si="10"/>
        <v/>
      </c>
      <c r="T38" s="24" t="str">
        <f t="shared" si="11"/>
        <v/>
      </c>
      <c r="U38" s="17" t="str">
        <f t="shared" si="12"/>
        <v/>
      </c>
      <c r="V38" s="22"/>
      <c r="W38" s="22"/>
      <c r="X38" s="18"/>
      <c r="Y38" s="26"/>
    </row>
    <row r="39" ht="15.75" customHeight="1">
      <c r="A39" s="45" t="s">
        <v>92</v>
      </c>
      <c r="B39" s="36"/>
      <c r="C39" s="37">
        <f>SUM(C8:C38)</f>
        <v>0</v>
      </c>
      <c r="D39" s="37">
        <f>C39</f>
        <v>0</v>
      </c>
      <c r="E39" s="37">
        <f t="shared" ref="E39:G39" si="46">SUM(E8:E38)</f>
        <v>0</v>
      </c>
      <c r="F39" s="37">
        <f t="shared" si="46"/>
        <v>0</v>
      </c>
      <c r="G39" s="37">
        <f t="shared" si="46"/>
        <v>0</v>
      </c>
      <c r="H39" s="37">
        <f>G39</f>
        <v>0</v>
      </c>
      <c r="I39" s="39" t="str">
        <f>IFERROR(G39/C39,"")</f>
        <v/>
      </c>
      <c r="J39" s="39" t="str">
        <f>IFERROR(G39/C39,"")</f>
        <v/>
      </c>
      <c r="K39" s="37">
        <f>G39-C39</f>
        <v>0</v>
      </c>
      <c r="L39" s="46"/>
      <c r="M39" s="41">
        <f t="shared" ref="M39:Q39" si="47">SUM(M8:M38)</f>
        <v>0</v>
      </c>
      <c r="N39" s="41">
        <f t="shared" si="47"/>
        <v>0</v>
      </c>
      <c r="O39" s="41">
        <f t="shared" si="47"/>
        <v>0</v>
      </c>
      <c r="P39" s="41">
        <f t="shared" si="47"/>
        <v>0</v>
      </c>
      <c r="Q39" s="41">
        <f t="shared" si="47"/>
        <v>0</v>
      </c>
      <c r="R39" s="39" t="str">
        <f t="shared" si="9"/>
        <v/>
      </c>
      <c r="S39" s="37" t="str">
        <f t="shared" si="10"/>
        <v/>
      </c>
      <c r="T39" s="47" t="str">
        <f t="shared" si="11"/>
        <v/>
      </c>
      <c r="U39" s="39" t="str">
        <f t="shared" si="12"/>
        <v/>
      </c>
      <c r="V39" s="41">
        <f>SUM(V8:V38)</f>
        <v>0</v>
      </c>
      <c r="W39" s="41" t="str">
        <f>IFERROR(LOOKUP(9.99E+307,W8:W38),"")</f>
        <v/>
      </c>
      <c r="X39" s="37">
        <f>SUM(X8:X38)</f>
        <v>0</v>
      </c>
      <c r="Y39" s="48" t="s">
        <v>93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3" width="14.0"/>
    <col customWidth="1" min="4" max="4" width="9.0"/>
    <col customWidth="1" min="5" max="5" width="7.0"/>
    <col customWidth="1" min="6" max="6" width="13.0"/>
    <col customWidth="1" min="7" max="26" width="8.71"/>
  </cols>
  <sheetData>
    <row r="1" ht="27.75" customHeight="1">
      <c r="A1" s="54" t="s">
        <v>142</v>
      </c>
      <c r="B1" s="2"/>
      <c r="C1" s="2"/>
      <c r="D1" s="2"/>
      <c r="E1" s="2"/>
      <c r="F1" s="3"/>
    </row>
    <row r="3">
      <c r="A3" s="4" t="s">
        <v>143</v>
      </c>
    </row>
    <row r="5">
      <c r="A5" s="55" t="s">
        <v>144</v>
      </c>
      <c r="B5" s="56">
        <f>SUM(B8:B19)</f>
        <v>94225074</v>
      </c>
    </row>
    <row r="7">
      <c r="A7" s="14" t="s">
        <v>22</v>
      </c>
      <c r="B7" s="14" t="s">
        <v>3</v>
      </c>
      <c r="C7" s="14" t="s">
        <v>24</v>
      </c>
      <c r="D7" s="14" t="s">
        <v>25</v>
      </c>
      <c r="E7" s="14" t="s">
        <v>51</v>
      </c>
      <c r="F7" s="14" t="s">
        <v>145</v>
      </c>
    </row>
    <row r="8">
      <c r="A8" s="13" t="s">
        <v>146</v>
      </c>
      <c r="B8" s="49">
        <v>5390161.0</v>
      </c>
      <c r="C8" s="49">
        <v>9300098.0</v>
      </c>
      <c r="D8" s="17">
        <f t="shared" ref="D8:D19" si="1">IF(OR(B8="",C8=""),"",IFERROR(B8/C8,""))</f>
        <v>0.5795810969</v>
      </c>
      <c r="E8" s="57">
        <v>30.0</v>
      </c>
      <c r="F8" s="15">
        <f t="shared" ref="F8:F19" si="2">IF(B8="","",IFERROR(B8/E8,""))</f>
        <v>179672.0333</v>
      </c>
    </row>
    <row r="9">
      <c r="A9" s="21" t="s">
        <v>147</v>
      </c>
      <c r="B9" s="49">
        <v>6734913.0</v>
      </c>
      <c r="C9" s="49">
        <v>1.0400457E7</v>
      </c>
      <c r="D9" s="25">
        <f t="shared" si="1"/>
        <v>0.6475593332</v>
      </c>
      <c r="E9" s="58">
        <v>31.0</v>
      </c>
      <c r="F9" s="23">
        <f t="shared" si="2"/>
        <v>217255.2581</v>
      </c>
    </row>
    <row r="10">
      <c r="A10" s="13" t="s">
        <v>148</v>
      </c>
      <c r="B10" s="49">
        <v>7000000.0</v>
      </c>
      <c r="C10" s="49">
        <v>1.2486915E7</v>
      </c>
      <c r="D10" s="17">
        <f t="shared" si="1"/>
        <v>0.5605868223</v>
      </c>
      <c r="E10" s="57">
        <v>30.0</v>
      </c>
      <c r="F10" s="15">
        <f t="shared" si="2"/>
        <v>233333.3333</v>
      </c>
    </row>
    <row r="11">
      <c r="A11" s="21" t="s">
        <v>149</v>
      </c>
      <c r="B11" s="49">
        <v>9000000.0</v>
      </c>
      <c r="C11" s="49">
        <v>1.5296389E7</v>
      </c>
      <c r="D11" s="25">
        <f t="shared" si="1"/>
        <v>0.5883741581</v>
      </c>
      <c r="E11" s="58">
        <v>31.0</v>
      </c>
      <c r="F11" s="23">
        <f t="shared" si="2"/>
        <v>290322.5806</v>
      </c>
    </row>
    <row r="12">
      <c r="A12" s="13" t="s">
        <v>150</v>
      </c>
      <c r="B12" s="49">
        <v>1.21E7</v>
      </c>
      <c r="C12" s="49">
        <v>1.9324734E7</v>
      </c>
      <c r="D12" s="17">
        <f t="shared" si="1"/>
        <v>0.626140572</v>
      </c>
      <c r="E12" s="57">
        <v>31.0</v>
      </c>
      <c r="F12" s="15">
        <f t="shared" si="2"/>
        <v>390322.5806</v>
      </c>
    </row>
    <row r="13">
      <c r="A13" s="21" t="s">
        <v>151</v>
      </c>
      <c r="B13" s="49">
        <v>9000000.0</v>
      </c>
      <c r="C13" s="49">
        <v>1.3318491E7</v>
      </c>
      <c r="D13" s="25">
        <f t="shared" si="1"/>
        <v>0.6757522305</v>
      </c>
      <c r="E13" s="58">
        <v>30.0</v>
      </c>
      <c r="F13" s="23">
        <f t="shared" si="2"/>
        <v>300000</v>
      </c>
    </row>
    <row r="14">
      <c r="A14" s="13" t="s">
        <v>152</v>
      </c>
      <c r="B14" s="59">
        <v>7000000.0</v>
      </c>
      <c r="C14" s="49">
        <v>9588937.0</v>
      </c>
      <c r="D14" s="17">
        <f t="shared" si="1"/>
        <v>0.7300079248</v>
      </c>
      <c r="E14" s="57">
        <v>31.0</v>
      </c>
      <c r="F14" s="15">
        <f t="shared" si="2"/>
        <v>225806.4516</v>
      </c>
    </row>
    <row r="15">
      <c r="A15" s="21" t="s">
        <v>154</v>
      </c>
      <c r="B15" s="49">
        <v>8000000.0</v>
      </c>
      <c r="C15" s="18">
        <v>1.0333397E7</v>
      </c>
      <c r="D15" s="25">
        <f t="shared" si="1"/>
        <v>0.7741887784</v>
      </c>
      <c r="E15" s="58">
        <v>30.0</v>
      </c>
      <c r="F15" s="23">
        <f t="shared" si="2"/>
        <v>266666.6667</v>
      </c>
      <c r="H15" s="35" t="s">
        <v>155</v>
      </c>
    </row>
    <row r="16">
      <c r="A16" s="13" t="s">
        <v>157</v>
      </c>
      <c r="B16" s="49">
        <v>9000000.0</v>
      </c>
      <c r="C16" s="18">
        <v>9047402.0</v>
      </c>
      <c r="D16" s="17">
        <f t="shared" si="1"/>
        <v>0.9947607059</v>
      </c>
      <c r="E16" s="57">
        <v>31.0</v>
      </c>
      <c r="F16" s="15">
        <f t="shared" si="2"/>
        <v>290322.5806</v>
      </c>
      <c r="H16" s="35" t="s">
        <v>158</v>
      </c>
    </row>
    <row r="17">
      <c r="A17" s="21" t="s">
        <v>159</v>
      </c>
      <c r="B17" s="49">
        <v>8000000.0</v>
      </c>
      <c r="C17" s="18">
        <v>3678375.0</v>
      </c>
      <c r="D17" s="25">
        <f t="shared" si="1"/>
        <v>2.174873416</v>
      </c>
      <c r="E17" s="58">
        <v>31.0</v>
      </c>
      <c r="F17" s="23">
        <f t="shared" si="2"/>
        <v>258064.5161</v>
      </c>
      <c r="H17" s="35" t="s">
        <v>161</v>
      </c>
    </row>
    <row r="18">
      <c r="A18" s="13" t="s">
        <v>162</v>
      </c>
      <c r="B18" s="49">
        <v>6000000.0</v>
      </c>
      <c r="C18" s="18">
        <v>4607699.0</v>
      </c>
      <c r="D18" s="17">
        <f t="shared" si="1"/>
        <v>1.302168393</v>
      </c>
      <c r="E18" s="57">
        <v>28.0</v>
      </c>
      <c r="F18" s="15">
        <f t="shared" si="2"/>
        <v>214285.7143</v>
      </c>
    </row>
    <row r="19">
      <c r="A19" s="21" t="s">
        <v>163</v>
      </c>
      <c r="B19" s="49">
        <v>7000000.0</v>
      </c>
      <c r="C19" s="18">
        <v>5388669.0</v>
      </c>
      <c r="D19" s="25">
        <f t="shared" si="1"/>
        <v>1.299022078</v>
      </c>
      <c r="E19" s="58">
        <v>31.0</v>
      </c>
      <c r="F19" s="23">
        <f t="shared" si="2"/>
        <v>225806.4516</v>
      </c>
      <c r="H19" s="35" t="s">
        <v>164</v>
      </c>
    </row>
    <row r="20">
      <c r="A20" s="36" t="s">
        <v>72</v>
      </c>
      <c r="B20" s="37">
        <f t="shared" ref="B20:C20" si="3">SUM(B8:B19)</f>
        <v>94225074</v>
      </c>
      <c r="C20" s="37">
        <f t="shared" si="3"/>
        <v>122771563</v>
      </c>
      <c r="D20" s="39">
        <f>IF(OR(B20=0,C20=0),"",IFERROR(B20/C20,""))</f>
        <v>0.7674828902</v>
      </c>
      <c r="E20" s="60">
        <f>SUM(E8:E19)</f>
        <v>365</v>
      </c>
      <c r="F20" s="37">
        <f>IF(B20=0,"",IFERROR(B20/E20,""))</f>
        <v>258150.8877</v>
      </c>
    </row>
    <row r="21" ht="15.75" customHeight="1"/>
    <row r="22" ht="15.75" customHeight="1"/>
    <row r="23" ht="15.75" customHeight="1">
      <c r="A23" s="38" t="s">
        <v>165</v>
      </c>
    </row>
    <row r="24" ht="15.75" customHeight="1">
      <c r="A24" s="61" t="s">
        <v>166</v>
      </c>
    </row>
    <row r="25" ht="15.75" customHeight="1">
      <c r="A25" s="61" t="s">
        <v>167</v>
      </c>
    </row>
    <row r="26" ht="15.75" customHeight="1">
      <c r="A26" s="61" t="s">
        <v>168</v>
      </c>
    </row>
    <row r="27" ht="15.75" customHeight="1">
      <c r="A27" s="61" t="s">
        <v>169</v>
      </c>
    </row>
    <row r="28" ht="15.75" customHeight="1">
      <c r="A28" s="61" t="s">
        <v>170</v>
      </c>
    </row>
    <row r="29" ht="15.75" customHeight="1">
      <c r="A29" s="61" t="s">
        <v>171</v>
      </c>
    </row>
    <row r="30" ht="15.75" customHeight="1">
      <c r="A30" s="61" t="s">
        <v>172</v>
      </c>
    </row>
    <row r="31" ht="15.75" customHeight="1">
      <c r="A31" s="61" t="s">
        <v>173</v>
      </c>
    </row>
    <row r="32" ht="15.75" customHeight="1">
      <c r="A32" s="61"/>
    </row>
    <row r="33" ht="15.75" customHeight="1">
      <c r="A33" s="38" t="s">
        <v>174</v>
      </c>
    </row>
    <row r="34" ht="15.75" customHeight="1">
      <c r="A34" s="61" t="s">
        <v>175</v>
      </c>
    </row>
    <row r="35" ht="15.75" customHeight="1">
      <c r="A35" s="61" t="s">
        <v>176</v>
      </c>
    </row>
    <row r="36" ht="15.75" customHeight="1">
      <c r="A36" s="61" t="s">
        <v>177</v>
      </c>
    </row>
    <row r="37" ht="15.75" customHeight="1">
      <c r="A37" s="61" t="s">
        <v>178</v>
      </c>
    </row>
    <row r="38" ht="15.75" customHeight="1">
      <c r="A38" s="61" t="s">
        <v>179</v>
      </c>
    </row>
    <row r="39" ht="15.75" customHeight="1">
      <c r="A39" s="61" t="s">
        <v>180</v>
      </c>
    </row>
    <row r="40" ht="15.75" customHeight="1">
      <c r="A40" s="61" t="s">
        <v>181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2026-07-30T09:07:14Z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